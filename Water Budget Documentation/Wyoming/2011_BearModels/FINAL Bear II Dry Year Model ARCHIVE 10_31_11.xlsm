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omments10.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bookViews>
    <workbookView xWindow="28755" yWindow="0" windowWidth="18945" windowHeight="3870" tabRatio="688" firstSheet="7" activeTab="21"/>
  </bookViews>
  <sheets>
    <sheet name="Navigation" sheetId="56" r:id="rId1"/>
    <sheet name="BasinMap" sheetId="122" r:id="rId2"/>
    <sheet name="NodeList" sheetId="93" r:id="rId3"/>
    <sheet name="Reach 1" sheetId="100" r:id="rId4"/>
    <sheet name="Reach 2" sheetId="148" r:id="rId5"/>
    <sheet name="Reach 3" sheetId="171" r:id="rId6"/>
    <sheet name="Reach 4" sheetId="175" r:id="rId7"/>
    <sheet name="Reach 5" sheetId="176" r:id="rId8"/>
    <sheet name="Reach 6" sheetId="177" r:id="rId9"/>
    <sheet name="Reach 7" sheetId="245" r:id="rId10"/>
    <sheet name="Reach 8" sheetId="244" r:id="rId11"/>
    <sheet name="Reach 9" sheetId="243" r:id="rId12"/>
    <sheet name="Reach 10" sheetId="242" r:id="rId13"/>
    <sheet name="Reach 11" sheetId="241" r:id="rId14"/>
    <sheet name="Reach 12" sheetId="240" r:id="rId15"/>
    <sheet name="Irrigation Returns" sheetId="109" r:id="rId16"/>
    <sheet name="Evaporation" sheetId="151" r:id="rId17"/>
    <sheet name="Option Tables" sheetId="103" r:id="rId18"/>
    <sheet name="GainLoss" sheetId="144" r:id="rId19"/>
    <sheet name="GainLossCalcs" sheetId="187" r:id="rId20"/>
    <sheet name="ImportExport" sheetId="164" r:id="rId21"/>
    <sheet name="USGS Gages" sheetId="157" r:id="rId22"/>
    <sheet name="Diversion Data" sheetId="133" r:id="rId23"/>
    <sheet name="Summary Navigator" sheetId="307" r:id="rId24"/>
    <sheet name="Outflow Summary" sheetId="253" r:id="rId25"/>
    <sheet name="Diversion Summary" sheetId="292" r:id="rId26"/>
    <sheet name="Upper Division" sheetId="300" r:id="rId27"/>
    <sheet name="Central Division" sheetId="299" r:id="rId28"/>
  </sheets>
  <externalReferences>
    <externalReference r:id="rId29"/>
  </externalReferences>
  <definedNames>
    <definedName name="basinmap">BasinMap!$A$3</definedName>
    <definedName name="CalcDiversionReach">'Diversion Summary'!$A$148</definedName>
    <definedName name="CalcDiversionsNode">'Diversion Summary'!$A$2</definedName>
    <definedName name="CentralDivision">'Central Division'!$A$5</definedName>
    <definedName name="CU_summary">#REF!</definedName>
    <definedName name="define_node">Navigation!$W$4</definedName>
    <definedName name="define_reach">Navigation!$S$18</definedName>
    <definedName name="DiversionData">'Diversion Data'!$A$7</definedName>
    <definedName name="EstHist">'Diversion Summary'!$A$171</definedName>
    <definedName name="GainLoss">GainLossCalcs!$A$2</definedName>
    <definedName name="GainLossSummaryTables">GainLoss!$A$2</definedName>
    <definedName name="HELP">Navigation!$A$100:$A$109</definedName>
    <definedName name="HelpReturns">'Irrigation Returns'!$AD$2</definedName>
    <definedName name="ImportsExports">ImportExport!$A$4</definedName>
    <definedName name="Navigation">Navigation!$A$1</definedName>
    <definedName name="NodeHelpScreen">'Reach 1'!$W$1</definedName>
    <definedName name="NodeMasterList">NodeList!$A$1</definedName>
    <definedName name="openscreen">NodeList!$A$1</definedName>
    <definedName name="OptionsTables">'Option Tables'!$A$1</definedName>
    <definedName name="OutflowNode">'Outflow Summary'!$A$2</definedName>
    <definedName name="_xlnm.Print_Area" localSheetId="22">'Diversion Data'!$A$1:$Q$96</definedName>
    <definedName name="_xlnm.Print_Area" localSheetId="18">GainLoss!$A$1:$O$27</definedName>
    <definedName name="_xlnm.Print_Area" localSheetId="20">ImportExport!$A$1:$P$71</definedName>
    <definedName name="_xlnm.Print_Area" localSheetId="15">'Irrigation Returns'!$A$1:$P$733</definedName>
    <definedName name="_xlnm.Print_Area" localSheetId="0">Navigation!$A$1:$O$35</definedName>
    <definedName name="_xlnm.Print_Area" localSheetId="24">'Outflow Summary'!$A$1:$Q$169</definedName>
    <definedName name="_xlnm.Print_Area" localSheetId="3">'Reach 1'!$A$1:$P$212</definedName>
    <definedName name="_xlnm.Print_Area" localSheetId="12">'Reach 10'!$A$1:$P$136</definedName>
    <definedName name="_xlnm.Print_Area" localSheetId="13">'Reach 11'!$A$1:$P$71</definedName>
    <definedName name="_xlnm.Print_Area" localSheetId="14">'Reach 12'!$A$1:$P$68</definedName>
    <definedName name="_xlnm.Print_Area" localSheetId="4">'Reach 2'!$A$1:$P$66</definedName>
    <definedName name="_xlnm.Print_Area" localSheetId="5">'Reach 3'!$A$1:$P$48</definedName>
    <definedName name="_xlnm.Print_Area" localSheetId="6">'Reach 4'!$B$1:$P$56</definedName>
    <definedName name="_xlnm.Print_Area" localSheetId="7">'Reach 5'!$B$1:$P$68</definedName>
    <definedName name="_xlnm.Print_Area" localSheetId="8">'Reach 6'!$A$1:$P$45</definedName>
    <definedName name="_xlnm.Print_Area" localSheetId="9">'Reach 7'!$A$1:$P$70</definedName>
    <definedName name="_xlnm.Print_Area" localSheetId="10">'Reach 8'!$A$1:$P$46</definedName>
    <definedName name="_xlnm.Print_Area" localSheetId="11">'Reach 9'!$A$1:$P$45</definedName>
    <definedName name="_xlnm.Print_Area" localSheetId="23">'Summary Navigator'!$A$1:$Q$31</definedName>
    <definedName name="Reach_1">'Reach 1'!$A$3</definedName>
    <definedName name="reach_10">'Reach 10'!$A$3</definedName>
    <definedName name="reach_11">'Reach 11'!$A$3</definedName>
    <definedName name="reach_12">'Reach 12'!$A$3:$A$14</definedName>
    <definedName name="reach_2">'Reach 2'!$A$3</definedName>
    <definedName name="Reach_3">'Reach 3'!$A$2</definedName>
    <definedName name="Reach_4">'Reach 4'!$A$2</definedName>
    <definedName name="Reach_5">'Reach 5'!$A$2</definedName>
    <definedName name="reach_6">'Reach 6'!$A$3</definedName>
    <definedName name="reach_7">'Reach 7'!$A$3:$A$14</definedName>
    <definedName name="Reach_8">'Reach 8'!$A$3:$A$14</definedName>
    <definedName name="reach_9">'Reach 9'!$A$3:$A$14</definedName>
    <definedName name="ReachTotalDiversions">'Diversion Data'!$A$81</definedName>
    <definedName name="Reservoir_Evaporative_Losses">Evaporation!$C$1</definedName>
    <definedName name="ReturnFlows">'Irrigation Returns'!$A$1</definedName>
    <definedName name="returnreachtotal">'Irrigation Returns'!$A$715</definedName>
    <definedName name="returnsummary">'Irrigation Returns'!$A$646</definedName>
    <definedName name="summaryReachOutflow">'Outflow Summary'!$A$163</definedName>
    <definedName name="SummaryTable">'Summary Navigator'!$A$1</definedName>
    <definedName name="topreturns">'Irrigation Returns'!$B$4</definedName>
    <definedName name="UpperDivision">'Upper Division'!$A$5</definedName>
    <definedName name="USGSData">'USGS Gages'!$A$2</definedName>
  </definedNames>
  <calcPr calcId="124519"/>
</workbook>
</file>

<file path=xl/calcChain.xml><?xml version="1.0" encoding="utf-8"?>
<calcChain xmlns="http://schemas.openxmlformats.org/spreadsheetml/2006/main">
  <c r="Q21" i="157"/>
  <c r="Q22" s="1"/>
  <c r="P96" i="133"/>
  <c r="P94"/>
  <c r="P84"/>
  <c r="P85"/>
  <c r="P86"/>
  <c r="P87"/>
  <c r="P88"/>
  <c r="P89"/>
  <c r="P90"/>
  <c r="P91"/>
  <c r="P92"/>
  <c r="P93"/>
  <c r="P83"/>
  <c r="Q84"/>
  <c r="Q85"/>
  <c r="Q96" s="1"/>
  <c r="Q86"/>
  <c r="Q87"/>
  <c r="Q88"/>
  <c r="Q89"/>
  <c r="Q90"/>
  <c r="Q91"/>
  <c r="Q92"/>
  <c r="Q93"/>
  <c r="Q94"/>
  <c r="Q83"/>
  <c r="R20" i="157"/>
  <c r="R22" s="1"/>
  <c r="R7"/>
  <c r="R8"/>
  <c r="R9"/>
  <c r="R10"/>
  <c r="R11"/>
  <c r="R12"/>
  <c r="R13"/>
  <c r="R14"/>
  <c r="R15"/>
  <c r="R16"/>
  <c r="R6"/>
  <c r="Q20"/>
  <c r="Q7"/>
  <c r="Q8"/>
  <c r="Q9"/>
  <c r="Q10"/>
  <c r="Q11"/>
  <c r="Q12"/>
  <c r="Q13"/>
  <c r="Q14"/>
  <c r="Q15"/>
  <c r="Q16"/>
  <c r="Q6"/>
  <c r="I4" i="151" l="1"/>
  <c r="J4"/>
  <c r="M4"/>
  <c r="N4"/>
  <c r="D5"/>
  <c r="G5"/>
  <c r="H5"/>
  <c r="Q5" s="1"/>
  <c r="K5"/>
  <c r="L5"/>
  <c r="O5"/>
  <c r="P16"/>
  <c r="D17"/>
  <c r="D4" s="1"/>
  <c r="E17"/>
  <c r="E4" s="1"/>
  <c r="F17"/>
  <c r="F4" s="1"/>
  <c r="G17"/>
  <c r="G4" s="1"/>
  <c r="H17"/>
  <c r="H4" s="1"/>
  <c r="I17"/>
  <c r="J17"/>
  <c r="K17"/>
  <c r="K4" s="1"/>
  <c r="L17"/>
  <c r="L4" s="1"/>
  <c r="M17"/>
  <c r="N17"/>
  <c r="O17"/>
  <c r="O4" s="1"/>
  <c r="P17"/>
  <c r="P27"/>
  <c r="D28"/>
  <c r="E28"/>
  <c r="E5" s="1"/>
  <c r="F28"/>
  <c r="F5" s="1"/>
  <c r="G28"/>
  <c r="H28"/>
  <c r="I28"/>
  <c r="I5" s="1"/>
  <c r="J28"/>
  <c r="J5" s="1"/>
  <c r="K28"/>
  <c r="L28"/>
  <c r="M28"/>
  <c r="M5" s="1"/>
  <c r="N28"/>
  <c r="N5" s="1"/>
  <c r="O28"/>
  <c r="G9" i="300"/>
  <c r="D9"/>
  <c r="E9"/>
  <c r="F9"/>
  <c r="C9"/>
  <c r="P43" i="133"/>
  <c r="D162" i="187"/>
  <c r="P5" i="151" l="1"/>
  <c r="Q4"/>
  <c r="P4"/>
  <c r="P28"/>
  <c r="C16" i="157"/>
  <c r="P9" i="133"/>
  <c r="G175" i="292" s="1"/>
  <c r="P8" i="133"/>
  <c r="G174" i="292" s="1"/>
  <c r="C7" i="133"/>
  <c r="P7"/>
  <c r="Q7"/>
  <c r="C8"/>
  <c r="Q8"/>
  <c r="C9"/>
  <c r="Q9"/>
  <c r="C10"/>
  <c r="P10"/>
  <c r="Q10"/>
  <c r="C11"/>
  <c r="P11"/>
  <c r="Q11"/>
  <c r="C12"/>
  <c r="P12"/>
  <c r="Q12"/>
  <c r="C13"/>
  <c r="P13"/>
  <c r="Q13"/>
  <c r="C14"/>
  <c r="P14"/>
  <c r="Q14"/>
  <c r="C15"/>
  <c r="P15"/>
  <c r="Q15"/>
  <c r="C16"/>
  <c r="P16"/>
  <c r="Q16"/>
  <c r="C17"/>
  <c r="P17"/>
  <c r="Q17"/>
  <c r="C18"/>
  <c r="P18"/>
  <c r="Q18"/>
  <c r="C19"/>
  <c r="P19"/>
  <c r="Q19"/>
  <c r="C20"/>
  <c r="P20"/>
  <c r="Q20"/>
  <c r="P21"/>
  <c r="Q21"/>
  <c r="C22"/>
  <c r="P22"/>
  <c r="Q22"/>
  <c r="C23"/>
  <c r="P23"/>
  <c r="Q23"/>
  <c r="C25"/>
  <c r="P25"/>
  <c r="Q25"/>
  <c r="C26"/>
  <c r="P26"/>
  <c r="Q26"/>
  <c r="C27"/>
  <c r="P27"/>
  <c r="Q27"/>
  <c r="C28"/>
  <c r="P28"/>
  <c r="Q28"/>
  <c r="C29"/>
  <c r="P29"/>
  <c r="Q29"/>
  <c r="C30"/>
  <c r="P30"/>
  <c r="Q30"/>
  <c r="C31"/>
  <c r="P31"/>
  <c r="Q31"/>
  <c r="C32"/>
  <c r="P32"/>
  <c r="Q32"/>
  <c r="C33"/>
  <c r="P33"/>
  <c r="Q33"/>
  <c r="C34"/>
  <c r="P34"/>
  <c r="Q34"/>
  <c r="C35"/>
  <c r="P35"/>
  <c r="Q35"/>
  <c r="C36"/>
  <c r="P36"/>
  <c r="Q36"/>
  <c r="C37"/>
  <c r="P37"/>
  <c r="Q37"/>
  <c r="C38"/>
  <c r="P38"/>
  <c r="Q38"/>
  <c r="C39"/>
  <c r="P39"/>
  <c r="Q39"/>
  <c r="C40"/>
  <c r="P40"/>
  <c r="Q40"/>
  <c r="C41"/>
  <c r="P41"/>
  <c r="Q41"/>
  <c r="C42"/>
  <c r="P42"/>
  <c r="Q42"/>
  <c r="C43"/>
  <c r="Q43"/>
  <c r="C44"/>
  <c r="P44"/>
  <c r="Q44"/>
  <c r="C45"/>
  <c r="P45"/>
  <c r="Q45"/>
  <c r="C46"/>
  <c r="P46"/>
  <c r="Q46"/>
  <c r="C47"/>
  <c r="P47"/>
  <c r="Q47"/>
  <c r="C48"/>
  <c r="P48"/>
  <c r="Q48"/>
  <c r="C49"/>
  <c r="P49"/>
  <c r="Q49"/>
  <c r="C50"/>
  <c r="P50"/>
  <c r="Q50"/>
  <c r="C51"/>
  <c r="P51"/>
  <c r="Q51"/>
  <c r="C52"/>
  <c r="P52"/>
  <c r="Q52"/>
  <c r="C53"/>
  <c r="P53"/>
  <c r="Q53"/>
  <c r="C54"/>
  <c r="P54"/>
  <c r="Q54"/>
  <c r="C55"/>
  <c r="P55"/>
  <c r="Q55"/>
  <c r="C56"/>
  <c r="P56"/>
  <c r="Q56"/>
  <c r="C57"/>
  <c r="P57"/>
  <c r="Q57"/>
  <c r="C58"/>
  <c r="P58"/>
  <c r="Q58"/>
  <c r="C59"/>
  <c r="P59"/>
  <c r="Q59"/>
  <c r="C60"/>
  <c r="P60"/>
  <c r="Q60"/>
  <c r="C61"/>
  <c r="P61"/>
  <c r="Q61"/>
  <c r="C62"/>
  <c r="P62"/>
  <c r="Q62"/>
  <c r="C63"/>
  <c r="P63"/>
  <c r="Q63"/>
  <c r="C64"/>
  <c r="P64"/>
  <c r="Q64"/>
  <c r="C65"/>
  <c r="P65"/>
  <c r="Q65"/>
  <c r="C66"/>
  <c r="P66"/>
  <c r="Q66"/>
  <c r="C67"/>
  <c r="C68"/>
  <c r="P68"/>
  <c r="Q68"/>
  <c r="C69"/>
  <c r="P69"/>
  <c r="Q69"/>
  <c r="C70"/>
  <c r="P70"/>
  <c r="Q70"/>
  <c r="C71"/>
  <c r="P71"/>
  <c r="Q71"/>
  <c r="C72"/>
  <c r="P72"/>
  <c r="Q72"/>
  <c r="C73"/>
  <c r="P73"/>
  <c r="Q73"/>
  <c r="Q78"/>
  <c r="D83"/>
  <c r="E19" i="187" s="1"/>
  <c r="E83" i="133"/>
  <c r="F83"/>
  <c r="G83"/>
  <c r="H83"/>
  <c r="I83"/>
  <c r="J83"/>
  <c r="K83"/>
  <c r="L83"/>
  <c r="M83"/>
  <c r="N83"/>
  <c r="O83"/>
  <c r="D84"/>
  <c r="E20" i="187" s="1"/>
  <c r="E84" i="133"/>
  <c r="F84"/>
  <c r="G84"/>
  <c r="H84"/>
  <c r="I20" i="187" s="1"/>
  <c r="I84" i="133"/>
  <c r="J84"/>
  <c r="K84"/>
  <c r="L84"/>
  <c r="M84"/>
  <c r="N84"/>
  <c r="O84"/>
  <c r="D85"/>
  <c r="E21" i="187" s="1"/>
  <c r="E85" i="133"/>
  <c r="F21" i="187" s="1"/>
  <c r="F85" i="133"/>
  <c r="G85"/>
  <c r="H85"/>
  <c r="I21" i="187" s="1"/>
  <c r="I85" i="133"/>
  <c r="J85"/>
  <c r="K85"/>
  <c r="L85"/>
  <c r="M21" i="187" s="1"/>
  <c r="M85" i="133"/>
  <c r="N85"/>
  <c r="O85"/>
  <c r="D86"/>
  <c r="E44" i="187" s="1"/>
  <c r="E86" i="133"/>
  <c r="F86"/>
  <c r="G86"/>
  <c r="H44" i="187" s="1"/>
  <c r="H86" i="133"/>
  <c r="I44" i="187" s="1"/>
  <c r="I86" i="133"/>
  <c r="J44" i="187" s="1"/>
  <c r="J86" i="133"/>
  <c r="K86"/>
  <c r="L86"/>
  <c r="M44" i="187" s="1"/>
  <c r="M86" i="133"/>
  <c r="N86"/>
  <c r="O86"/>
  <c r="D87"/>
  <c r="E45" i="187" s="1"/>
  <c r="E87" i="133"/>
  <c r="F45" i="187" s="1"/>
  <c r="F87" i="133"/>
  <c r="G87"/>
  <c r="H87"/>
  <c r="I45" i="187" s="1"/>
  <c r="I87" i="133"/>
  <c r="J87"/>
  <c r="K87"/>
  <c r="L45" i="187" s="1"/>
  <c r="L87" i="133"/>
  <c r="M45" i="187" s="1"/>
  <c r="M87" i="133"/>
  <c r="N45" i="187" s="1"/>
  <c r="N87" i="133"/>
  <c r="O87"/>
  <c r="D88"/>
  <c r="E88"/>
  <c r="F88"/>
  <c r="G66" i="187" s="1"/>
  <c r="G88" i="133"/>
  <c r="H66" i="187" s="1"/>
  <c r="H88" i="133"/>
  <c r="I88"/>
  <c r="J88"/>
  <c r="K66" i="187" s="1"/>
  <c r="K88" i="133"/>
  <c r="L66" i="187" s="1"/>
  <c r="L88" i="133"/>
  <c r="M88"/>
  <c r="N88"/>
  <c r="O88"/>
  <c r="D89"/>
  <c r="E89"/>
  <c r="F89" i="187" s="1"/>
  <c r="F90" s="1"/>
  <c r="F89" i="133"/>
  <c r="G89"/>
  <c r="H89"/>
  <c r="I89" i="187" s="1"/>
  <c r="I90" s="1"/>
  <c r="I89" i="133"/>
  <c r="J89"/>
  <c r="K89" i="187" s="1"/>
  <c r="K90" s="1"/>
  <c r="K89" i="133"/>
  <c r="L89"/>
  <c r="M89" i="187" s="1"/>
  <c r="M90" s="1"/>
  <c r="M89" i="133"/>
  <c r="N89"/>
  <c r="O89"/>
  <c r="P89" i="187" s="1"/>
  <c r="P90" s="1"/>
  <c r="D90" i="133"/>
  <c r="E90"/>
  <c r="F90"/>
  <c r="G107" i="187" s="1"/>
  <c r="G108" s="1"/>
  <c r="G90" i="133"/>
  <c r="H107" i="187" s="1"/>
  <c r="H108" s="1"/>
  <c r="H90" i="133"/>
  <c r="I90"/>
  <c r="J90"/>
  <c r="K107" i="187" s="1"/>
  <c r="K108" s="1"/>
  <c r="K90" i="133"/>
  <c r="L90"/>
  <c r="M90"/>
  <c r="N107" i="187" s="1"/>
  <c r="N108" s="1"/>
  <c r="N90" i="133"/>
  <c r="O90"/>
  <c r="D91"/>
  <c r="E126" i="187" s="1"/>
  <c r="E91" i="133"/>
  <c r="F126" i="187" s="1"/>
  <c r="F91" i="133"/>
  <c r="G126" i="187" s="1"/>
  <c r="G91" i="133"/>
  <c r="H126" i="187" s="1"/>
  <c r="H91" i="133"/>
  <c r="I91"/>
  <c r="J91"/>
  <c r="K91"/>
  <c r="L91"/>
  <c r="M91"/>
  <c r="N126" i="187" s="1"/>
  <c r="N91" i="133"/>
  <c r="O126" i="187" s="1"/>
  <c r="O91" i="133"/>
  <c r="P126" i="187" s="1"/>
  <c r="D92" i="133"/>
  <c r="E127" i="187" s="1"/>
  <c r="E92" i="133"/>
  <c r="F92"/>
  <c r="G127" i="187" s="1"/>
  <c r="G92" i="133"/>
  <c r="H92"/>
  <c r="I92"/>
  <c r="J92"/>
  <c r="K127" i="187" s="1"/>
  <c r="K92" i="133"/>
  <c r="L127" i="187" s="1"/>
  <c r="L92" i="133"/>
  <c r="M127" i="187" s="1"/>
  <c r="M92" i="133"/>
  <c r="N127" i="187" s="1"/>
  <c r="N92" i="133"/>
  <c r="O92"/>
  <c r="D93"/>
  <c r="E93"/>
  <c r="F93"/>
  <c r="G93"/>
  <c r="H93"/>
  <c r="I93"/>
  <c r="J93"/>
  <c r="K147" i="187" s="1"/>
  <c r="K149" s="1"/>
  <c r="K93" i="133"/>
  <c r="L93"/>
  <c r="M147" i="187" s="1"/>
  <c r="M149" s="1"/>
  <c r="M93" i="133"/>
  <c r="N93"/>
  <c r="O147" i="187" s="1"/>
  <c r="O149" s="1"/>
  <c r="O93" i="133"/>
  <c r="D94"/>
  <c r="E166" i="187" s="1"/>
  <c r="E168" s="1"/>
  <c r="E94" i="133"/>
  <c r="F94"/>
  <c r="G94"/>
  <c r="H166" i="187" s="1"/>
  <c r="H168" s="1"/>
  <c r="H94" i="133"/>
  <c r="I166" i="187" s="1"/>
  <c r="I168" s="1"/>
  <c r="I94" i="133"/>
  <c r="J94"/>
  <c r="K166" i="187" s="1"/>
  <c r="K168" s="1"/>
  <c r="K94" i="133"/>
  <c r="L166" i="187" s="1"/>
  <c r="L168" s="1"/>
  <c r="L94" i="133"/>
  <c r="M166" i="187" s="1"/>
  <c r="M168" s="1"/>
  <c r="M94" i="133"/>
  <c r="N94"/>
  <c r="O166" i="187" s="1"/>
  <c r="O168" s="1"/>
  <c r="O94" i="133"/>
  <c r="P166" i="187" s="1"/>
  <c r="P168" s="1"/>
  <c r="C7" i="292"/>
  <c r="C8"/>
  <c r="C9"/>
  <c r="C10"/>
  <c r="C11"/>
  <c r="C12"/>
  <c r="C13"/>
  <c r="C14"/>
  <c r="C15"/>
  <c r="C16"/>
  <c r="C17"/>
  <c r="C18"/>
  <c r="C19"/>
  <c r="C20"/>
  <c r="C21"/>
  <c r="C27"/>
  <c r="C28"/>
  <c r="C29"/>
  <c r="C30"/>
  <c r="C35"/>
  <c r="C36"/>
  <c r="C37"/>
  <c r="Q38"/>
  <c r="C43"/>
  <c r="C44"/>
  <c r="C45"/>
  <c r="C46"/>
  <c r="C52"/>
  <c r="C53"/>
  <c r="C54"/>
  <c r="C55"/>
  <c r="C56"/>
  <c r="Q57"/>
  <c r="C62"/>
  <c r="C63"/>
  <c r="C69"/>
  <c r="C70"/>
  <c r="C71"/>
  <c r="C72"/>
  <c r="C78"/>
  <c r="C79"/>
  <c r="C80"/>
  <c r="C86"/>
  <c r="C87"/>
  <c r="C88"/>
  <c r="C94"/>
  <c r="C95"/>
  <c r="C96"/>
  <c r="C97"/>
  <c r="C98"/>
  <c r="C99"/>
  <c r="C100"/>
  <c r="C101"/>
  <c r="C102"/>
  <c r="C103"/>
  <c r="C109"/>
  <c r="C110"/>
  <c r="C111"/>
  <c r="C112"/>
  <c r="C119"/>
  <c r="C120"/>
  <c r="C121"/>
  <c r="C122"/>
  <c r="C174"/>
  <c r="C175"/>
  <c r="C176"/>
  <c r="G176"/>
  <c r="C177"/>
  <c r="G177"/>
  <c r="C178"/>
  <c r="G178"/>
  <c r="C179"/>
  <c r="G179"/>
  <c r="C180"/>
  <c r="G180"/>
  <c r="C181"/>
  <c r="G181"/>
  <c r="C182"/>
  <c r="G182"/>
  <c r="C183"/>
  <c r="G183"/>
  <c r="C184"/>
  <c r="G184"/>
  <c r="C185"/>
  <c r="G185"/>
  <c r="C186"/>
  <c r="G186"/>
  <c r="C187"/>
  <c r="G187"/>
  <c r="C188"/>
  <c r="G188"/>
  <c r="C189"/>
  <c r="G189"/>
  <c r="C190"/>
  <c r="G190"/>
  <c r="C191"/>
  <c r="G191"/>
  <c r="C192"/>
  <c r="G192"/>
  <c r="C193"/>
  <c r="G193"/>
  <c r="C194"/>
  <c r="G194"/>
  <c r="C195"/>
  <c r="G195"/>
  <c r="C196"/>
  <c r="G196"/>
  <c r="C197"/>
  <c r="G197"/>
  <c r="C198"/>
  <c r="G198"/>
  <c r="C199"/>
  <c r="G199"/>
  <c r="C200"/>
  <c r="G200"/>
  <c r="C201"/>
  <c r="G201"/>
  <c r="C202"/>
  <c r="G202"/>
  <c r="C203"/>
  <c r="G203"/>
  <c r="C204"/>
  <c r="G204"/>
  <c r="C205"/>
  <c r="G205"/>
  <c r="C206"/>
  <c r="G206"/>
  <c r="C207"/>
  <c r="G207"/>
  <c r="C208"/>
  <c r="G208"/>
  <c r="C209"/>
  <c r="G209"/>
  <c r="C210"/>
  <c r="G210"/>
  <c r="C211"/>
  <c r="G211"/>
  <c r="C212"/>
  <c r="G212"/>
  <c r="C213"/>
  <c r="G213"/>
  <c r="C214"/>
  <c r="G214"/>
  <c r="C215"/>
  <c r="G215"/>
  <c r="C216"/>
  <c r="G216"/>
  <c r="C217"/>
  <c r="G217"/>
  <c r="D13" i="187"/>
  <c r="E13"/>
  <c r="F13"/>
  <c r="G13"/>
  <c r="H13"/>
  <c r="I13"/>
  <c r="J13"/>
  <c r="K13"/>
  <c r="L13"/>
  <c r="M13"/>
  <c r="N13"/>
  <c r="O13"/>
  <c r="P13"/>
  <c r="D14"/>
  <c r="E14"/>
  <c r="F14"/>
  <c r="G14"/>
  <c r="H14"/>
  <c r="I14"/>
  <c r="J14"/>
  <c r="K14"/>
  <c r="L14"/>
  <c r="M14"/>
  <c r="N14"/>
  <c r="O14"/>
  <c r="P14"/>
  <c r="D15"/>
  <c r="E15"/>
  <c r="F15"/>
  <c r="G15"/>
  <c r="H15"/>
  <c r="I15"/>
  <c r="J15"/>
  <c r="K15"/>
  <c r="L15"/>
  <c r="M15"/>
  <c r="N15"/>
  <c r="O15"/>
  <c r="P15"/>
  <c r="F19"/>
  <c r="G19"/>
  <c r="H19"/>
  <c r="I19"/>
  <c r="J19"/>
  <c r="K19"/>
  <c r="L19"/>
  <c r="M19"/>
  <c r="N19"/>
  <c r="O19"/>
  <c r="P19"/>
  <c r="F20"/>
  <c r="G20"/>
  <c r="H20"/>
  <c r="J20"/>
  <c r="K20"/>
  <c r="L20"/>
  <c r="M20"/>
  <c r="N20"/>
  <c r="O20"/>
  <c r="P20"/>
  <c r="G21"/>
  <c r="H21"/>
  <c r="J21"/>
  <c r="K21"/>
  <c r="L21"/>
  <c r="N21"/>
  <c r="O21"/>
  <c r="P21"/>
  <c r="D38"/>
  <c r="E38"/>
  <c r="F38"/>
  <c r="G38"/>
  <c r="H38"/>
  <c r="I38"/>
  <c r="J38"/>
  <c r="K38"/>
  <c r="L38"/>
  <c r="M38"/>
  <c r="N38"/>
  <c r="O38"/>
  <c r="P38"/>
  <c r="D39"/>
  <c r="E39"/>
  <c r="F39"/>
  <c r="G39"/>
  <c r="H39"/>
  <c r="I39"/>
  <c r="J39"/>
  <c r="K39"/>
  <c r="L39"/>
  <c r="M39"/>
  <c r="N39"/>
  <c r="O39"/>
  <c r="P39"/>
  <c r="F44"/>
  <c r="F48" s="1"/>
  <c r="G44"/>
  <c r="K44"/>
  <c r="L44"/>
  <c r="N44"/>
  <c r="O44"/>
  <c r="P44"/>
  <c r="G45"/>
  <c r="H45"/>
  <c r="J45"/>
  <c r="K45"/>
  <c r="O45"/>
  <c r="P45"/>
  <c r="D60"/>
  <c r="E60"/>
  <c r="F60"/>
  <c r="G60"/>
  <c r="H60"/>
  <c r="I60"/>
  <c r="J60"/>
  <c r="K60"/>
  <c r="L60"/>
  <c r="M60"/>
  <c r="N60"/>
  <c r="O60"/>
  <c r="P60"/>
  <c r="D61"/>
  <c r="E61"/>
  <c r="F61"/>
  <c r="G61"/>
  <c r="H61"/>
  <c r="I61"/>
  <c r="J61"/>
  <c r="K61"/>
  <c r="L61"/>
  <c r="M61"/>
  <c r="N61"/>
  <c r="O61"/>
  <c r="P61"/>
  <c r="E66"/>
  <c r="F66"/>
  <c r="I66"/>
  <c r="J66"/>
  <c r="M66"/>
  <c r="N66"/>
  <c r="O66"/>
  <c r="P66"/>
  <c r="D83"/>
  <c r="E83"/>
  <c r="F83"/>
  <c r="G83"/>
  <c r="H83"/>
  <c r="I83"/>
  <c r="J83"/>
  <c r="K83"/>
  <c r="L83"/>
  <c r="M83"/>
  <c r="N83"/>
  <c r="O83"/>
  <c r="P83"/>
  <c r="D84"/>
  <c r="E84"/>
  <c r="F84"/>
  <c r="G84"/>
  <c r="H84"/>
  <c r="I84"/>
  <c r="J84"/>
  <c r="K84"/>
  <c r="L84"/>
  <c r="M84"/>
  <c r="N84"/>
  <c r="O84"/>
  <c r="P84"/>
  <c r="E89"/>
  <c r="E90" s="1"/>
  <c r="G89"/>
  <c r="G90" s="1"/>
  <c r="H89"/>
  <c r="H90" s="1"/>
  <c r="J89"/>
  <c r="J90" s="1"/>
  <c r="L89"/>
  <c r="L90" s="1"/>
  <c r="N89"/>
  <c r="N90" s="1"/>
  <c r="O89"/>
  <c r="O90" s="1"/>
  <c r="D101"/>
  <c r="E101"/>
  <c r="F101"/>
  <c r="G101"/>
  <c r="H101"/>
  <c r="I101"/>
  <c r="J101"/>
  <c r="K101"/>
  <c r="L101"/>
  <c r="M101"/>
  <c r="N101"/>
  <c r="O101"/>
  <c r="P101"/>
  <c r="D102"/>
  <c r="E102"/>
  <c r="F102"/>
  <c r="G102"/>
  <c r="H102"/>
  <c r="I102"/>
  <c r="J102"/>
  <c r="K102"/>
  <c r="L102"/>
  <c r="M102"/>
  <c r="N102"/>
  <c r="O102"/>
  <c r="P102"/>
  <c r="E107"/>
  <c r="E108" s="1"/>
  <c r="F107"/>
  <c r="F108" s="1"/>
  <c r="I107"/>
  <c r="I108" s="1"/>
  <c r="J107"/>
  <c r="J108" s="1"/>
  <c r="L107"/>
  <c r="L108" s="1"/>
  <c r="M107"/>
  <c r="M108" s="1"/>
  <c r="O107"/>
  <c r="O108" s="1"/>
  <c r="P107"/>
  <c r="P108" s="1"/>
  <c r="D119"/>
  <c r="E119"/>
  <c r="F119"/>
  <c r="G119"/>
  <c r="H119"/>
  <c r="I119"/>
  <c r="J119"/>
  <c r="K119"/>
  <c r="L119"/>
  <c r="M119"/>
  <c r="N119"/>
  <c r="O119"/>
  <c r="P119"/>
  <c r="D120"/>
  <c r="E120"/>
  <c r="F120"/>
  <c r="G120"/>
  <c r="H120"/>
  <c r="I120"/>
  <c r="J120"/>
  <c r="K120"/>
  <c r="L120"/>
  <c r="M120"/>
  <c r="N120"/>
  <c r="O120"/>
  <c r="P120"/>
  <c r="D121"/>
  <c r="E121"/>
  <c r="F121"/>
  <c r="G121"/>
  <c r="H121"/>
  <c r="I121"/>
  <c r="J121"/>
  <c r="K121"/>
  <c r="L121"/>
  <c r="M121"/>
  <c r="N121"/>
  <c r="O121"/>
  <c r="P121"/>
  <c r="I126"/>
  <c r="J126"/>
  <c r="K126"/>
  <c r="L126"/>
  <c r="M126"/>
  <c r="F127"/>
  <c r="H127"/>
  <c r="I127"/>
  <c r="J127"/>
  <c r="O127"/>
  <c r="P127"/>
  <c r="D142"/>
  <c r="E142"/>
  <c r="F142"/>
  <c r="G142"/>
  <c r="H142"/>
  <c r="I142"/>
  <c r="J142"/>
  <c r="K142"/>
  <c r="L142"/>
  <c r="M142"/>
  <c r="N142"/>
  <c r="O142"/>
  <c r="P142"/>
  <c r="D143"/>
  <c r="E143"/>
  <c r="F143"/>
  <c r="G143"/>
  <c r="H143"/>
  <c r="I143"/>
  <c r="J143"/>
  <c r="K143"/>
  <c r="L143"/>
  <c r="M143"/>
  <c r="N143"/>
  <c r="O143"/>
  <c r="P143"/>
  <c r="E147"/>
  <c r="E149" s="1"/>
  <c r="F147"/>
  <c r="F149" s="1"/>
  <c r="G147"/>
  <c r="G149" s="1"/>
  <c r="H147"/>
  <c r="H149" s="1"/>
  <c r="I147"/>
  <c r="I149" s="1"/>
  <c r="J147"/>
  <c r="J149" s="1"/>
  <c r="L147"/>
  <c r="L149" s="1"/>
  <c r="N147"/>
  <c r="N149" s="1"/>
  <c r="P147"/>
  <c r="P149" s="1"/>
  <c r="E152"/>
  <c r="E154" s="1"/>
  <c r="D161"/>
  <c r="E161"/>
  <c r="F161"/>
  <c r="G161"/>
  <c r="H161"/>
  <c r="I161"/>
  <c r="J161"/>
  <c r="K161"/>
  <c r="L161"/>
  <c r="M161"/>
  <c r="N161"/>
  <c r="O161"/>
  <c r="P161"/>
  <c r="E162"/>
  <c r="F162"/>
  <c r="G162"/>
  <c r="H162"/>
  <c r="I162"/>
  <c r="J162"/>
  <c r="K162"/>
  <c r="L162"/>
  <c r="M162"/>
  <c r="N162"/>
  <c r="O162"/>
  <c r="P162"/>
  <c r="F166"/>
  <c r="F168" s="1"/>
  <c r="G166"/>
  <c r="G168" s="1"/>
  <c r="J166"/>
  <c r="J168" s="1"/>
  <c r="N166"/>
  <c r="N168" s="1"/>
  <c r="E171"/>
  <c r="E173" s="1"/>
  <c r="C6" i="164"/>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6" i="109"/>
  <c r="E7"/>
  <c r="F7"/>
  <c r="G7"/>
  <c r="H7"/>
  <c r="I7"/>
  <c r="J7"/>
  <c r="K7"/>
  <c r="L7"/>
  <c r="M7"/>
  <c r="N7"/>
  <c r="O7"/>
  <c r="P7"/>
  <c r="E8"/>
  <c r="F8"/>
  <c r="G8"/>
  <c r="H8"/>
  <c r="I8"/>
  <c r="J8"/>
  <c r="K8"/>
  <c r="L8"/>
  <c r="M8"/>
  <c r="N8"/>
  <c r="O8"/>
  <c r="P8"/>
  <c r="B11"/>
  <c r="B12"/>
  <c r="D15"/>
  <c r="C15" s="1"/>
  <c r="C16"/>
  <c r="E17"/>
  <c r="F17"/>
  <c r="G17"/>
  <c r="H17"/>
  <c r="I17"/>
  <c r="J17"/>
  <c r="K17"/>
  <c r="L17"/>
  <c r="M17"/>
  <c r="N17"/>
  <c r="O17"/>
  <c r="P17"/>
  <c r="E18"/>
  <c r="F18"/>
  <c r="G18"/>
  <c r="H18"/>
  <c r="I18"/>
  <c r="J18"/>
  <c r="K18"/>
  <c r="L18"/>
  <c r="M18"/>
  <c r="N18"/>
  <c r="O18"/>
  <c r="P18"/>
  <c r="B21"/>
  <c r="D25"/>
  <c r="C25" s="1"/>
  <c r="C26"/>
  <c r="E27"/>
  <c r="F27"/>
  <c r="G27"/>
  <c r="H27"/>
  <c r="I27"/>
  <c r="J27"/>
  <c r="K27"/>
  <c r="L27"/>
  <c r="M27"/>
  <c r="N27"/>
  <c r="O27"/>
  <c r="P27"/>
  <c r="E28"/>
  <c r="F28"/>
  <c r="G28"/>
  <c r="H28"/>
  <c r="I28"/>
  <c r="J28"/>
  <c r="K28"/>
  <c r="L28"/>
  <c r="M28"/>
  <c r="N28"/>
  <c r="O28"/>
  <c r="P28"/>
  <c r="B31"/>
  <c r="B32"/>
  <c r="D35"/>
  <c r="C35" s="1"/>
  <c r="C36"/>
  <c r="E37"/>
  <c r="F37"/>
  <c r="G37"/>
  <c r="H37"/>
  <c r="I37"/>
  <c r="J37"/>
  <c r="K37"/>
  <c r="L37"/>
  <c r="M37"/>
  <c r="N37"/>
  <c r="O37"/>
  <c r="P37"/>
  <c r="E38"/>
  <c r="F38"/>
  <c r="G38"/>
  <c r="H38"/>
  <c r="I38"/>
  <c r="J38"/>
  <c r="K38"/>
  <c r="L38"/>
  <c r="M38"/>
  <c r="N38"/>
  <c r="O38"/>
  <c r="P38"/>
  <c r="B41"/>
  <c r="B42"/>
  <c r="B43"/>
  <c r="D45"/>
  <c r="C45" s="1"/>
  <c r="C46"/>
  <c r="E47"/>
  <c r="F47"/>
  <c r="G47"/>
  <c r="H47"/>
  <c r="I47"/>
  <c r="J47"/>
  <c r="K47"/>
  <c r="L47"/>
  <c r="M47"/>
  <c r="N47"/>
  <c r="O47"/>
  <c r="P47"/>
  <c r="E48"/>
  <c r="F48"/>
  <c r="G48"/>
  <c r="H48"/>
  <c r="I48"/>
  <c r="J48"/>
  <c r="K48"/>
  <c r="L48"/>
  <c r="M48"/>
  <c r="N48"/>
  <c r="O48"/>
  <c r="P48"/>
  <c r="B51"/>
  <c r="D55"/>
  <c r="C55" s="1"/>
  <c r="C56"/>
  <c r="E57"/>
  <c r="F57"/>
  <c r="G57"/>
  <c r="H57"/>
  <c r="I57"/>
  <c r="J57"/>
  <c r="K57"/>
  <c r="L57"/>
  <c r="M57"/>
  <c r="N57"/>
  <c r="O57"/>
  <c r="P57"/>
  <c r="E58"/>
  <c r="F58"/>
  <c r="G58"/>
  <c r="H58"/>
  <c r="I58"/>
  <c r="J58"/>
  <c r="K58"/>
  <c r="L58"/>
  <c r="M58"/>
  <c r="N58"/>
  <c r="O58"/>
  <c r="P58"/>
  <c r="B61"/>
  <c r="D65"/>
  <c r="C65" s="1"/>
  <c r="C66"/>
  <c r="E67"/>
  <c r="F67"/>
  <c r="G67"/>
  <c r="H67"/>
  <c r="I67"/>
  <c r="J67"/>
  <c r="K67"/>
  <c r="L67"/>
  <c r="M67"/>
  <c r="N67"/>
  <c r="O67"/>
  <c r="P67"/>
  <c r="E68"/>
  <c r="F68"/>
  <c r="G68"/>
  <c r="H68"/>
  <c r="I68"/>
  <c r="J68"/>
  <c r="K68"/>
  <c r="L68"/>
  <c r="M68"/>
  <c r="N68"/>
  <c r="O68"/>
  <c r="P68"/>
  <c r="B71"/>
  <c r="D75"/>
  <c r="C75" s="1"/>
  <c r="C76"/>
  <c r="E77"/>
  <c r="F77"/>
  <c r="G77"/>
  <c r="H77"/>
  <c r="I77"/>
  <c r="J77"/>
  <c r="K77"/>
  <c r="L77"/>
  <c r="M77"/>
  <c r="N77"/>
  <c r="O77"/>
  <c r="P77"/>
  <c r="E78"/>
  <c r="F78"/>
  <c r="G78"/>
  <c r="H78"/>
  <c r="I78"/>
  <c r="J78"/>
  <c r="K78"/>
  <c r="L78"/>
  <c r="M78"/>
  <c r="N78"/>
  <c r="O78"/>
  <c r="P78"/>
  <c r="B81"/>
  <c r="D85"/>
  <c r="C85" s="1"/>
  <c r="C86"/>
  <c r="E87"/>
  <c r="F87"/>
  <c r="G87"/>
  <c r="H87"/>
  <c r="I87"/>
  <c r="J87"/>
  <c r="K87"/>
  <c r="L87"/>
  <c r="M87"/>
  <c r="N87"/>
  <c r="O87"/>
  <c r="P87"/>
  <c r="E88"/>
  <c r="F88"/>
  <c r="G88"/>
  <c r="H88"/>
  <c r="I88"/>
  <c r="J88"/>
  <c r="K88"/>
  <c r="L88"/>
  <c r="M88"/>
  <c r="N88"/>
  <c r="O88"/>
  <c r="P88"/>
  <c r="B91"/>
  <c r="B92"/>
  <c r="C95"/>
  <c r="D95"/>
  <c r="C96"/>
  <c r="E97"/>
  <c r="F97"/>
  <c r="G97"/>
  <c r="H97"/>
  <c r="I97"/>
  <c r="J97"/>
  <c r="K97"/>
  <c r="L97"/>
  <c r="M97"/>
  <c r="N97"/>
  <c r="O97"/>
  <c r="P97"/>
  <c r="E98"/>
  <c r="F98"/>
  <c r="G98"/>
  <c r="H98"/>
  <c r="I98"/>
  <c r="J98"/>
  <c r="K98"/>
  <c r="L98"/>
  <c r="M98"/>
  <c r="N98"/>
  <c r="O98"/>
  <c r="P98"/>
  <c r="B101"/>
  <c r="C105"/>
  <c r="D105"/>
  <c r="C106"/>
  <c r="E107"/>
  <c r="F107"/>
  <c r="G107"/>
  <c r="H107"/>
  <c r="I107"/>
  <c r="J107"/>
  <c r="K107"/>
  <c r="L107"/>
  <c r="M107"/>
  <c r="N107"/>
  <c r="O107"/>
  <c r="P107"/>
  <c r="E108"/>
  <c r="F108"/>
  <c r="G108"/>
  <c r="H108"/>
  <c r="I108"/>
  <c r="J108"/>
  <c r="K108"/>
  <c r="L108"/>
  <c r="M108"/>
  <c r="N108"/>
  <c r="O108"/>
  <c r="P108"/>
  <c r="B111"/>
  <c r="C115"/>
  <c r="D115"/>
  <c r="C116"/>
  <c r="E117"/>
  <c r="F117"/>
  <c r="G117"/>
  <c r="H117"/>
  <c r="I117"/>
  <c r="J117"/>
  <c r="K117"/>
  <c r="L117"/>
  <c r="M117"/>
  <c r="N117"/>
  <c r="O117"/>
  <c r="P117"/>
  <c r="E118"/>
  <c r="F118"/>
  <c r="G118"/>
  <c r="H118"/>
  <c r="I118"/>
  <c r="J118"/>
  <c r="K118"/>
  <c r="L118"/>
  <c r="M118"/>
  <c r="N118"/>
  <c r="O118"/>
  <c r="P118"/>
  <c r="B121"/>
  <c r="C125"/>
  <c r="D125"/>
  <c r="C126"/>
  <c r="E127"/>
  <c r="F127"/>
  <c r="G127"/>
  <c r="H127"/>
  <c r="I127"/>
  <c r="J127"/>
  <c r="K127"/>
  <c r="L127"/>
  <c r="M127"/>
  <c r="N127"/>
  <c r="O127"/>
  <c r="P127"/>
  <c r="E128"/>
  <c r="F128"/>
  <c r="G128"/>
  <c r="H128"/>
  <c r="I128"/>
  <c r="J128"/>
  <c r="K128"/>
  <c r="L128"/>
  <c r="M128"/>
  <c r="N128"/>
  <c r="O128"/>
  <c r="P128"/>
  <c r="B131"/>
  <c r="C135"/>
  <c r="D135"/>
  <c r="C136"/>
  <c r="E137"/>
  <c r="F137"/>
  <c r="G137"/>
  <c r="H137"/>
  <c r="I137"/>
  <c r="J137"/>
  <c r="K137"/>
  <c r="L137"/>
  <c r="M137"/>
  <c r="N137"/>
  <c r="O137"/>
  <c r="P137"/>
  <c r="E138"/>
  <c r="F138"/>
  <c r="G138"/>
  <c r="H138"/>
  <c r="I138"/>
  <c r="J138"/>
  <c r="K138"/>
  <c r="L138"/>
  <c r="M138"/>
  <c r="N138"/>
  <c r="O138"/>
  <c r="P138"/>
  <c r="B141"/>
  <c r="B142"/>
  <c r="D145"/>
  <c r="C145" s="1"/>
  <c r="C146"/>
  <c r="E147"/>
  <c r="F147"/>
  <c r="G147"/>
  <c r="H147"/>
  <c r="I147"/>
  <c r="J147"/>
  <c r="K147"/>
  <c r="L147"/>
  <c r="M147"/>
  <c r="N147"/>
  <c r="O147"/>
  <c r="P147"/>
  <c r="E148"/>
  <c r="F148"/>
  <c r="G148"/>
  <c r="H148"/>
  <c r="I148"/>
  <c r="J148"/>
  <c r="K148"/>
  <c r="L148"/>
  <c r="M148"/>
  <c r="N148"/>
  <c r="O148"/>
  <c r="P148"/>
  <c r="B151"/>
  <c r="D155"/>
  <c r="C155" s="1"/>
  <c r="C157"/>
  <c r="E158"/>
  <c r="F158"/>
  <c r="G158"/>
  <c r="H158"/>
  <c r="I158"/>
  <c r="J158"/>
  <c r="K158"/>
  <c r="L158"/>
  <c r="M158"/>
  <c r="N158"/>
  <c r="O158"/>
  <c r="P158"/>
  <c r="E159"/>
  <c r="F159"/>
  <c r="G159"/>
  <c r="H159"/>
  <c r="I159"/>
  <c r="J159"/>
  <c r="K159"/>
  <c r="L159"/>
  <c r="M159"/>
  <c r="N159"/>
  <c r="O159"/>
  <c r="P159"/>
  <c r="B162"/>
  <c r="D166"/>
  <c r="C166" s="1"/>
  <c r="C167"/>
  <c r="E168"/>
  <c r="F168"/>
  <c r="G168"/>
  <c r="H168"/>
  <c r="I168"/>
  <c r="J168"/>
  <c r="K168"/>
  <c r="L168"/>
  <c r="M168"/>
  <c r="N168"/>
  <c r="O168"/>
  <c r="P168"/>
  <c r="E169"/>
  <c r="F169"/>
  <c r="G169"/>
  <c r="H169"/>
  <c r="I169"/>
  <c r="J169"/>
  <c r="K169"/>
  <c r="L169"/>
  <c r="M169"/>
  <c r="N169"/>
  <c r="O169"/>
  <c r="P169"/>
  <c r="B172"/>
  <c r="D176"/>
  <c r="C176" s="1"/>
  <c r="C177"/>
  <c r="E178"/>
  <c r="F178"/>
  <c r="G178"/>
  <c r="H178"/>
  <c r="I178"/>
  <c r="J178"/>
  <c r="K178"/>
  <c r="L178"/>
  <c r="M178"/>
  <c r="N178"/>
  <c r="O178"/>
  <c r="P178"/>
  <c r="E179"/>
  <c r="F179"/>
  <c r="G179"/>
  <c r="H179"/>
  <c r="I179"/>
  <c r="J179"/>
  <c r="K179"/>
  <c r="L179"/>
  <c r="M179"/>
  <c r="N179"/>
  <c r="O179"/>
  <c r="P179"/>
  <c r="B182"/>
  <c r="D186"/>
  <c r="C186" s="1"/>
  <c r="C187"/>
  <c r="E188"/>
  <c r="F188"/>
  <c r="G188"/>
  <c r="H188"/>
  <c r="I188"/>
  <c r="J188"/>
  <c r="K188"/>
  <c r="L188"/>
  <c r="M188"/>
  <c r="N188"/>
  <c r="O188"/>
  <c r="P188"/>
  <c r="E189"/>
  <c r="F189"/>
  <c r="G189"/>
  <c r="H189"/>
  <c r="I189"/>
  <c r="J189"/>
  <c r="K189"/>
  <c r="L189"/>
  <c r="M189"/>
  <c r="N189"/>
  <c r="O189"/>
  <c r="P189"/>
  <c r="B192"/>
  <c r="D196"/>
  <c r="C196" s="1"/>
  <c r="C198"/>
  <c r="E199"/>
  <c r="F199"/>
  <c r="G199"/>
  <c r="H199"/>
  <c r="I199"/>
  <c r="J199"/>
  <c r="K199"/>
  <c r="L199"/>
  <c r="M199"/>
  <c r="N199"/>
  <c r="O199"/>
  <c r="P199"/>
  <c r="E200"/>
  <c r="F200"/>
  <c r="G200"/>
  <c r="H200"/>
  <c r="I200"/>
  <c r="J200"/>
  <c r="K200"/>
  <c r="L200"/>
  <c r="M200"/>
  <c r="N200"/>
  <c r="O200"/>
  <c r="P200"/>
  <c r="B203"/>
  <c r="D207"/>
  <c r="C207" s="1"/>
  <c r="C208"/>
  <c r="E209"/>
  <c r="F209"/>
  <c r="G209"/>
  <c r="H209"/>
  <c r="I209"/>
  <c r="J209"/>
  <c r="K209"/>
  <c r="L209"/>
  <c r="M209"/>
  <c r="N209"/>
  <c r="O209"/>
  <c r="P209"/>
  <c r="E210"/>
  <c r="F210"/>
  <c r="G210"/>
  <c r="H210"/>
  <c r="I210"/>
  <c r="J210"/>
  <c r="K210"/>
  <c r="L210"/>
  <c r="M210"/>
  <c r="N210"/>
  <c r="O210"/>
  <c r="P210"/>
  <c r="B213"/>
  <c r="D217"/>
  <c r="C217" s="1"/>
  <c r="C218"/>
  <c r="E219"/>
  <c r="F219"/>
  <c r="G219"/>
  <c r="H219"/>
  <c r="I219"/>
  <c r="J219"/>
  <c r="K219"/>
  <c r="L219"/>
  <c r="M219"/>
  <c r="N219"/>
  <c r="O219"/>
  <c r="P219"/>
  <c r="E220"/>
  <c r="F220"/>
  <c r="G220"/>
  <c r="H220"/>
  <c r="I220"/>
  <c r="J220"/>
  <c r="K220"/>
  <c r="L220"/>
  <c r="M220"/>
  <c r="N220"/>
  <c r="O220"/>
  <c r="P220"/>
  <c r="B223"/>
  <c r="B224"/>
  <c r="C227"/>
  <c r="D227"/>
  <c r="C229"/>
  <c r="E230"/>
  <c r="F230"/>
  <c r="G230"/>
  <c r="H230"/>
  <c r="I230"/>
  <c r="J230"/>
  <c r="K230"/>
  <c r="L230"/>
  <c r="M230"/>
  <c r="N230"/>
  <c r="O230"/>
  <c r="P230"/>
  <c r="E231"/>
  <c r="F231"/>
  <c r="G231"/>
  <c r="H231"/>
  <c r="I231"/>
  <c r="J231"/>
  <c r="K231"/>
  <c r="L231"/>
  <c r="M231"/>
  <c r="N231"/>
  <c r="O231"/>
  <c r="P231"/>
  <c r="B234"/>
  <c r="C238"/>
  <c r="D238"/>
  <c r="C239"/>
  <c r="E240"/>
  <c r="F240"/>
  <c r="G240"/>
  <c r="H240"/>
  <c r="I240"/>
  <c r="J240"/>
  <c r="K240"/>
  <c r="L240"/>
  <c r="M240"/>
  <c r="N240"/>
  <c r="O240"/>
  <c r="P240"/>
  <c r="E241"/>
  <c r="F241"/>
  <c r="G241"/>
  <c r="H241"/>
  <c r="I241"/>
  <c r="J241"/>
  <c r="K241"/>
  <c r="L241"/>
  <c r="M241"/>
  <c r="N241"/>
  <c r="O241"/>
  <c r="P241"/>
  <c r="B244"/>
  <c r="B245"/>
  <c r="C248"/>
  <c r="D248"/>
  <c r="C249"/>
  <c r="E250"/>
  <c r="F250"/>
  <c r="G250"/>
  <c r="H250"/>
  <c r="I250"/>
  <c r="J250"/>
  <c r="K250"/>
  <c r="L250"/>
  <c r="M250"/>
  <c r="N250"/>
  <c r="O250"/>
  <c r="P250"/>
  <c r="E251"/>
  <c r="F251"/>
  <c r="G251"/>
  <c r="H251"/>
  <c r="I251"/>
  <c r="J251"/>
  <c r="K251"/>
  <c r="L251"/>
  <c r="M251"/>
  <c r="N251"/>
  <c r="O251"/>
  <c r="P251"/>
  <c r="B254"/>
  <c r="B255"/>
  <c r="D258"/>
  <c r="C258" s="1"/>
  <c r="C259"/>
  <c r="E260"/>
  <c r="F260"/>
  <c r="G260"/>
  <c r="H260"/>
  <c r="I260"/>
  <c r="J260"/>
  <c r="K260"/>
  <c r="L260"/>
  <c r="M260"/>
  <c r="N260"/>
  <c r="O260"/>
  <c r="P260"/>
  <c r="E261"/>
  <c r="F261"/>
  <c r="G261"/>
  <c r="H261"/>
  <c r="I261"/>
  <c r="J261"/>
  <c r="K261"/>
  <c r="L261"/>
  <c r="M261"/>
  <c r="N261"/>
  <c r="O261"/>
  <c r="P261"/>
  <c r="B264"/>
  <c r="D268"/>
  <c r="C268" s="1"/>
  <c r="C270"/>
  <c r="E271"/>
  <c r="F271"/>
  <c r="G271"/>
  <c r="H271"/>
  <c r="I271"/>
  <c r="J271"/>
  <c r="K271"/>
  <c r="L271"/>
  <c r="M271"/>
  <c r="N271"/>
  <c r="O271"/>
  <c r="P271"/>
  <c r="E272"/>
  <c r="F272"/>
  <c r="G272"/>
  <c r="H272"/>
  <c r="I272"/>
  <c r="J272"/>
  <c r="K272"/>
  <c r="L272"/>
  <c r="M272"/>
  <c r="N272"/>
  <c r="O272"/>
  <c r="P272"/>
  <c r="B275"/>
  <c r="D279"/>
  <c r="C279" s="1"/>
  <c r="C280"/>
  <c r="E281"/>
  <c r="F281"/>
  <c r="G281"/>
  <c r="H281"/>
  <c r="I281"/>
  <c r="J281"/>
  <c r="K281"/>
  <c r="L281"/>
  <c r="M281"/>
  <c r="N281"/>
  <c r="O281"/>
  <c r="P281"/>
  <c r="E282"/>
  <c r="F282"/>
  <c r="G282"/>
  <c r="H282"/>
  <c r="I282"/>
  <c r="J282"/>
  <c r="K282"/>
  <c r="L282"/>
  <c r="M282"/>
  <c r="N282"/>
  <c r="O282"/>
  <c r="P282"/>
  <c r="B285"/>
  <c r="D289"/>
  <c r="C289" s="1"/>
  <c r="C290"/>
  <c r="E291"/>
  <c r="F291"/>
  <c r="G291"/>
  <c r="H291"/>
  <c r="I291"/>
  <c r="J291"/>
  <c r="K291"/>
  <c r="L291"/>
  <c r="M291"/>
  <c r="N291"/>
  <c r="O291"/>
  <c r="P291"/>
  <c r="E292"/>
  <c r="F292"/>
  <c r="G292"/>
  <c r="H292"/>
  <c r="I292"/>
  <c r="J292"/>
  <c r="K292"/>
  <c r="L292"/>
  <c r="M292"/>
  <c r="N292"/>
  <c r="O292"/>
  <c r="P292"/>
  <c r="B295"/>
  <c r="B296"/>
  <c r="D299"/>
  <c r="C299" s="1"/>
  <c r="C300"/>
  <c r="E301"/>
  <c r="F301"/>
  <c r="G301"/>
  <c r="H301"/>
  <c r="I301"/>
  <c r="J301"/>
  <c r="K301"/>
  <c r="L301"/>
  <c r="M301"/>
  <c r="N301"/>
  <c r="O301"/>
  <c r="P301"/>
  <c r="E302"/>
  <c r="F302"/>
  <c r="G302"/>
  <c r="H302"/>
  <c r="I302"/>
  <c r="J302"/>
  <c r="K302"/>
  <c r="L302"/>
  <c r="M302"/>
  <c r="N302"/>
  <c r="O302"/>
  <c r="P302"/>
  <c r="B305"/>
  <c r="D309"/>
  <c r="C309" s="1"/>
  <c r="C310"/>
  <c r="E311"/>
  <c r="F311"/>
  <c r="G311"/>
  <c r="H311"/>
  <c r="I311"/>
  <c r="J311"/>
  <c r="K311"/>
  <c r="L311"/>
  <c r="M311"/>
  <c r="N311"/>
  <c r="O311"/>
  <c r="P311"/>
  <c r="E312"/>
  <c r="F312"/>
  <c r="G312"/>
  <c r="H312"/>
  <c r="I312"/>
  <c r="J312"/>
  <c r="K312"/>
  <c r="L312"/>
  <c r="M312"/>
  <c r="N312"/>
  <c r="O312"/>
  <c r="P312"/>
  <c r="B315"/>
  <c r="D319"/>
  <c r="C319" s="1"/>
  <c r="C321"/>
  <c r="E322"/>
  <c r="F322"/>
  <c r="G322"/>
  <c r="H322"/>
  <c r="I322"/>
  <c r="J322"/>
  <c r="K322"/>
  <c r="L322"/>
  <c r="M322"/>
  <c r="N322"/>
  <c r="O322"/>
  <c r="P322"/>
  <c r="E323"/>
  <c r="F323"/>
  <c r="G323"/>
  <c r="H323"/>
  <c r="I323"/>
  <c r="J323"/>
  <c r="K323"/>
  <c r="L323"/>
  <c r="M323"/>
  <c r="N323"/>
  <c r="O323"/>
  <c r="P323"/>
  <c r="B326"/>
  <c r="D330"/>
  <c r="C330" s="1"/>
  <c r="C331"/>
  <c r="E332"/>
  <c r="F332"/>
  <c r="G332"/>
  <c r="H332"/>
  <c r="I332"/>
  <c r="J332"/>
  <c r="K332"/>
  <c r="L332"/>
  <c r="M332"/>
  <c r="N332"/>
  <c r="O332"/>
  <c r="P332"/>
  <c r="E333"/>
  <c r="F333"/>
  <c r="G333"/>
  <c r="H333"/>
  <c r="I333"/>
  <c r="J333"/>
  <c r="K333"/>
  <c r="L333"/>
  <c r="M333"/>
  <c r="N333"/>
  <c r="O333"/>
  <c r="P333"/>
  <c r="B336"/>
  <c r="D340"/>
  <c r="C340" s="1"/>
  <c r="C342"/>
  <c r="E343"/>
  <c r="F343"/>
  <c r="G343"/>
  <c r="H343"/>
  <c r="I343"/>
  <c r="J343"/>
  <c r="K343"/>
  <c r="L343"/>
  <c r="M343"/>
  <c r="N343"/>
  <c r="O343"/>
  <c r="P343"/>
  <c r="E344"/>
  <c r="F344"/>
  <c r="G344"/>
  <c r="H344"/>
  <c r="I344"/>
  <c r="J344"/>
  <c r="K344"/>
  <c r="L344"/>
  <c r="M344"/>
  <c r="N344"/>
  <c r="O344"/>
  <c r="P344"/>
  <c r="B347"/>
  <c r="D351"/>
  <c r="C351" s="1"/>
  <c r="C352"/>
  <c r="E353"/>
  <c r="F353"/>
  <c r="G353"/>
  <c r="H353"/>
  <c r="I353"/>
  <c r="J353"/>
  <c r="K353"/>
  <c r="L353"/>
  <c r="M353"/>
  <c r="N353"/>
  <c r="O353"/>
  <c r="P353"/>
  <c r="E354"/>
  <c r="F354"/>
  <c r="G354"/>
  <c r="H354"/>
  <c r="I354"/>
  <c r="J354"/>
  <c r="K354"/>
  <c r="L354"/>
  <c r="M354"/>
  <c r="N354"/>
  <c r="O354"/>
  <c r="P354"/>
  <c r="B357"/>
  <c r="D361"/>
  <c r="C361" s="1"/>
  <c r="C362"/>
  <c r="E363"/>
  <c r="F363"/>
  <c r="G363"/>
  <c r="H363"/>
  <c r="I363"/>
  <c r="J363"/>
  <c r="K363"/>
  <c r="L363"/>
  <c r="M363"/>
  <c r="N363"/>
  <c r="O363"/>
  <c r="P363"/>
  <c r="E364"/>
  <c r="F364"/>
  <c r="G364"/>
  <c r="H364"/>
  <c r="I364"/>
  <c r="J364"/>
  <c r="K364"/>
  <c r="L364"/>
  <c r="M364"/>
  <c r="N364"/>
  <c r="O364"/>
  <c r="P364"/>
  <c r="B367"/>
  <c r="D371"/>
  <c r="C371" s="1"/>
  <c r="C372"/>
  <c r="E373"/>
  <c r="F373"/>
  <c r="G373"/>
  <c r="H373"/>
  <c r="I373"/>
  <c r="J373"/>
  <c r="K373"/>
  <c r="L373"/>
  <c r="M373"/>
  <c r="N373"/>
  <c r="O373"/>
  <c r="P373"/>
  <c r="E374"/>
  <c r="F374"/>
  <c r="G374"/>
  <c r="H374"/>
  <c r="I374"/>
  <c r="J374"/>
  <c r="K374"/>
  <c r="L374"/>
  <c r="M374"/>
  <c r="N374"/>
  <c r="O374"/>
  <c r="P374"/>
  <c r="B377"/>
  <c r="B378"/>
  <c r="B379"/>
  <c r="C381"/>
  <c r="D381"/>
  <c r="C382"/>
  <c r="E383"/>
  <c r="F383"/>
  <c r="G383"/>
  <c r="H383"/>
  <c r="I383"/>
  <c r="J383"/>
  <c r="K383"/>
  <c r="L383"/>
  <c r="M383"/>
  <c r="N383"/>
  <c r="O383"/>
  <c r="P383"/>
  <c r="E384"/>
  <c r="F384"/>
  <c r="G384"/>
  <c r="H384"/>
  <c r="I384"/>
  <c r="J384"/>
  <c r="K384"/>
  <c r="L384"/>
  <c r="M384"/>
  <c r="N384"/>
  <c r="O384"/>
  <c r="P384"/>
  <c r="B387"/>
  <c r="C391"/>
  <c r="D391"/>
  <c r="C393"/>
  <c r="E394"/>
  <c r="F394"/>
  <c r="G394"/>
  <c r="H394"/>
  <c r="I394"/>
  <c r="J394"/>
  <c r="K394"/>
  <c r="L394"/>
  <c r="M394"/>
  <c r="N394"/>
  <c r="O394"/>
  <c r="P394"/>
  <c r="E395"/>
  <c r="F395"/>
  <c r="G395"/>
  <c r="H395"/>
  <c r="I395"/>
  <c r="J395"/>
  <c r="K395"/>
  <c r="L395"/>
  <c r="M395"/>
  <c r="N395"/>
  <c r="O395"/>
  <c r="P395"/>
  <c r="B398"/>
  <c r="C402"/>
  <c r="D402"/>
  <c r="C403"/>
  <c r="E404"/>
  <c r="F404"/>
  <c r="G404"/>
  <c r="H404"/>
  <c r="I404"/>
  <c r="J404"/>
  <c r="K404"/>
  <c r="L404"/>
  <c r="M404"/>
  <c r="N404"/>
  <c r="O404"/>
  <c r="P404"/>
  <c r="E405"/>
  <c r="F405"/>
  <c r="G405"/>
  <c r="H405"/>
  <c r="I405"/>
  <c r="J405"/>
  <c r="K405"/>
  <c r="L405"/>
  <c r="M405"/>
  <c r="N405"/>
  <c r="O405"/>
  <c r="P405"/>
  <c r="B408"/>
  <c r="C412"/>
  <c r="D412"/>
  <c r="C413"/>
  <c r="E414"/>
  <c r="F414"/>
  <c r="G414"/>
  <c r="H414"/>
  <c r="I414"/>
  <c r="J414"/>
  <c r="K414"/>
  <c r="L414"/>
  <c r="M414"/>
  <c r="N414"/>
  <c r="O414"/>
  <c r="P414"/>
  <c r="E415"/>
  <c r="F415"/>
  <c r="G415"/>
  <c r="H415"/>
  <c r="I415"/>
  <c r="J415"/>
  <c r="K415"/>
  <c r="L415"/>
  <c r="M415"/>
  <c r="N415"/>
  <c r="O415"/>
  <c r="P415"/>
  <c r="B418"/>
  <c r="C422"/>
  <c r="D422"/>
  <c r="C424"/>
  <c r="E425"/>
  <c r="F425"/>
  <c r="G425"/>
  <c r="H425"/>
  <c r="I425"/>
  <c r="J425"/>
  <c r="K425"/>
  <c r="L425"/>
  <c r="M425"/>
  <c r="N425"/>
  <c r="O425"/>
  <c r="P425"/>
  <c r="E426"/>
  <c r="F426"/>
  <c r="G426"/>
  <c r="H426"/>
  <c r="I426"/>
  <c r="J426"/>
  <c r="K426"/>
  <c r="L426"/>
  <c r="M426"/>
  <c r="N426"/>
  <c r="O426"/>
  <c r="P426"/>
  <c r="B429"/>
  <c r="C433"/>
  <c r="D433"/>
  <c r="C434"/>
  <c r="E435"/>
  <c r="F435"/>
  <c r="G435"/>
  <c r="H435"/>
  <c r="I435"/>
  <c r="J435"/>
  <c r="K435"/>
  <c r="L435"/>
  <c r="M435"/>
  <c r="N435"/>
  <c r="O435"/>
  <c r="P435"/>
  <c r="E436"/>
  <c r="F436"/>
  <c r="G436"/>
  <c r="H436"/>
  <c r="I436"/>
  <c r="J436"/>
  <c r="K436"/>
  <c r="L436"/>
  <c r="M436"/>
  <c r="N436"/>
  <c r="O436"/>
  <c r="P436"/>
  <c r="B439"/>
  <c r="C443"/>
  <c r="D443"/>
  <c r="C445"/>
  <c r="E446"/>
  <c r="F446"/>
  <c r="G446"/>
  <c r="H446"/>
  <c r="I446"/>
  <c r="J446"/>
  <c r="K446"/>
  <c r="L446"/>
  <c r="M446"/>
  <c r="N446"/>
  <c r="O446"/>
  <c r="P446"/>
  <c r="E447"/>
  <c r="F447"/>
  <c r="G447"/>
  <c r="H447"/>
  <c r="I447"/>
  <c r="J447"/>
  <c r="K447"/>
  <c r="L447"/>
  <c r="M447"/>
  <c r="N447"/>
  <c r="O447"/>
  <c r="P447"/>
  <c r="B450"/>
  <c r="C454"/>
  <c r="D454"/>
  <c r="C456"/>
  <c r="E457"/>
  <c r="F457"/>
  <c r="G457"/>
  <c r="H457"/>
  <c r="I457"/>
  <c r="J457"/>
  <c r="K457"/>
  <c r="L457"/>
  <c r="M457"/>
  <c r="N457"/>
  <c r="O457"/>
  <c r="P457"/>
  <c r="E458"/>
  <c r="F458"/>
  <c r="G458"/>
  <c r="H458"/>
  <c r="I458"/>
  <c r="J458"/>
  <c r="K458"/>
  <c r="L458"/>
  <c r="M458"/>
  <c r="N458"/>
  <c r="O458"/>
  <c r="P458"/>
  <c r="B461"/>
  <c r="C465"/>
  <c r="D465"/>
  <c r="C466"/>
  <c r="E467"/>
  <c r="F467"/>
  <c r="G467"/>
  <c r="H467"/>
  <c r="I467"/>
  <c r="J467"/>
  <c r="K467"/>
  <c r="L467"/>
  <c r="M467"/>
  <c r="N467"/>
  <c r="O467"/>
  <c r="P467"/>
  <c r="E468"/>
  <c r="F468"/>
  <c r="G468"/>
  <c r="H468"/>
  <c r="I468"/>
  <c r="J468"/>
  <c r="K468"/>
  <c r="L468"/>
  <c r="M468"/>
  <c r="N468"/>
  <c r="O468"/>
  <c r="P468"/>
  <c r="B471"/>
  <c r="C475"/>
  <c r="D475"/>
  <c r="C476"/>
  <c r="E477"/>
  <c r="F477"/>
  <c r="G477"/>
  <c r="H477"/>
  <c r="I477"/>
  <c r="J477"/>
  <c r="K477"/>
  <c r="L477"/>
  <c r="M477"/>
  <c r="N477"/>
  <c r="O477"/>
  <c r="P477"/>
  <c r="E478"/>
  <c r="F478"/>
  <c r="G478"/>
  <c r="H478"/>
  <c r="I478"/>
  <c r="J478"/>
  <c r="K478"/>
  <c r="L478"/>
  <c r="M478"/>
  <c r="N478"/>
  <c r="O478"/>
  <c r="P478"/>
  <c r="B481"/>
  <c r="B482"/>
  <c r="D485"/>
  <c r="C485" s="1"/>
  <c r="C486"/>
  <c r="E487"/>
  <c r="F487"/>
  <c r="G487"/>
  <c r="H487"/>
  <c r="I487"/>
  <c r="J487"/>
  <c r="K487"/>
  <c r="L487"/>
  <c r="M487"/>
  <c r="N487"/>
  <c r="O487"/>
  <c r="P487"/>
  <c r="E488"/>
  <c r="F488"/>
  <c r="G488"/>
  <c r="H488"/>
  <c r="I488"/>
  <c r="J488"/>
  <c r="K488"/>
  <c r="L488"/>
  <c r="M488"/>
  <c r="N488"/>
  <c r="O488"/>
  <c r="P488"/>
  <c r="B491"/>
  <c r="C495"/>
  <c r="D495"/>
  <c r="C496"/>
  <c r="E497"/>
  <c r="F497"/>
  <c r="G497"/>
  <c r="H497"/>
  <c r="I497"/>
  <c r="J497"/>
  <c r="K497"/>
  <c r="L497"/>
  <c r="M497"/>
  <c r="N497"/>
  <c r="O497"/>
  <c r="P497"/>
  <c r="E498"/>
  <c r="F498"/>
  <c r="G498"/>
  <c r="H498"/>
  <c r="I498"/>
  <c r="J498"/>
  <c r="K498"/>
  <c r="L498"/>
  <c r="M498"/>
  <c r="N498"/>
  <c r="O498"/>
  <c r="P498"/>
  <c r="B501"/>
  <c r="B502"/>
  <c r="D505"/>
  <c r="C505" s="1"/>
  <c r="C506"/>
  <c r="E507"/>
  <c r="F507"/>
  <c r="G507"/>
  <c r="H507"/>
  <c r="I507"/>
  <c r="J507"/>
  <c r="K507"/>
  <c r="L507"/>
  <c r="M507"/>
  <c r="N507"/>
  <c r="O507"/>
  <c r="P507"/>
  <c r="E508"/>
  <c r="F508"/>
  <c r="G508"/>
  <c r="H508"/>
  <c r="I508"/>
  <c r="J508"/>
  <c r="K508"/>
  <c r="L508"/>
  <c r="M508"/>
  <c r="N508"/>
  <c r="O508"/>
  <c r="P508"/>
  <c r="B511"/>
  <c r="D515"/>
  <c r="C515" s="1"/>
  <c r="C516"/>
  <c r="E517"/>
  <c r="F517"/>
  <c r="G517"/>
  <c r="H517"/>
  <c r="I517"/>
  <c r="J517"/>
  <c r="K517"/>
  <c r="L517"/>
  <c r="M517"/>
  <c r="N517"/>
  <c r="O517"/>
  <c r="P517"/>
  <c r="E518"/>
  <c r="F518"/>
  <c r="G518"/>
  <c r="H518"/>
  <c r="I518"/>
  <c r="J518"/>
  <c r="K518"/>
  <c r="L518"/>
  <c r="M518"/>
  <c r="N518"/>
  <c r="O518"/>
  <c r="P518"/>
  <c r="B521"/>
  <c r="D525"/>
  <c r="C525" s="1"/>
  <c r="C526"/>
  <c r="E527"/>
  <c r="F527"/>
  <c r="G527"/>
  <c r="H527"/>
  <c r="I527"/>
  <c r="J527"/>
  <c r="K527"/>
  <c r="L527"/>
  <c r="M527"/>
  <c r="N527"/>
  <c r="O527"/>
  <c r="P527"/>
  <c r="E528"/>
  <c r="F528"/>
  <c r="G528"/>
  <c r="H528"/>
  <c r="I528"/>
  <c r="J528"/>
  <c r="K528"/>
  <c r="L528"/>
  <c r="M528"/>
  <c r="N528"/>
  <c r="O528"/>
  <c r="P528"/>
  <c r="B531"/>
  <c r="D535"/>
  <c r="C535" s="1"/>
  <c r="C536"/>
  <c r="E537"/>
  <c r="F537"/>
  <c r="G537"/>
  <c r="H537"/>
  <c r="I537"/>
  <c r="J537"/>
  <c r="K537"/>
  <c r="L537"/>
  <c r="M537"/>
  <c r="N537"/>
  <c r="O537"/>
  <c r="P537"/>
  <c r="E538"/>
  <c r="F538"/>
  <c r="G538"/>
  <c r="H538"/>
  <c r="I538"/>
  <c r="J538"/>
  <c r="K538"/>
  <c r="L538"/>
  <c r="M538"/>
  <c r="N538"/>
  <c r="O538"/>
  <c r="P538"/>
  <c r="B541"/>
  <c r="D545"/>
  <c r="C545" s="1"/>
  <c r="C546"/>
  <c r="E547"/>
  <c r="F547"/>
  <c r="G547"/>
  <c r="H547"/>
  <c r="I547"/>
  <c r="J547"/>
  <c r="K547"/>
  <c r="L547"/>
  <c r="M547"/>
  <c r="N547"/>
  <c r="O547"/>
  <c r="P547"/>
  <c r="E548"/>
  <c r="F548"/>
  <c r="G548"/>
  <c r="H548"/>
  <c r="I548"/>
  <c r="J548"/>
  <c r="K548"/>
  <c r="L548"/>
  <c r="M548"/>
  <c r="N548"/>
  <c r="O548"/>
  <c r="P548"/>
  <c r="B551"/>
  <c r="D555"/>
  <c r="C555" s="1"/>
  <c r="C557"/>
  <c r="E558"/>
  <c r="F558"/>
  <c r="G558"/>
  <c r="H558"/>
  <c r="I558"/>
  <c r="J558"/>
  <c r="K558"/>
  <c r="L558"/>
  <c r="M558"/>
  <c r="N558"/>
  <c r="O558"/>
  <c r="P558"/>
  <c r="E559"/>
  <c r="F559"/>
  <c r="G559"/>
  <c r="H559"/>
  <c r="I559"/>
  <c r="J559"/>
  <c r="K559"/>
  <c r="L559"/>
  <c r="M559"/>
  <c r="N559"/>
  <c r="O559"/>
  <c r="P559"/>
  <c r="B562"/>
  <c r="B563"/>
  <c r="B564"/>
  <c r="C566"/>
  <c r="D566"/>
  <c r="C567"/>
  <c r="E568"/>
  <c r="F568"/>
  <c r="G568"/>
  <c r="H568"/>
  <c r="I568"/>
  <c r="J568"/>
  <c r="K568"/>
  <c r="L568"/>
  <c r="M568"/>
  <c r="N568"/>
  <c r="O568"/>
  <c r="P568"/>
  <c r="E569"/>
  <c r="F569"/>
  <c r="G569"/>
  <c r="H569"/>
  <c r="I569"/>
  <c r="J569"/>
  <c r="K569"/>
  <c r="L569"/>
  <c r="M569"/>
  <c r="N569"/>
  <c r="O569"/>
  <c r="P569"/>
  <c r="B572"/>
  <c r="B573"/>
  <c r="D576"/>
  <c r="C576" s="1"/>
  <c r="C577"/>
  <c r="E578"/>
  <c r="F578"/>
  <c r="G578"/>
  <c r="H578"/>
  <c r="I578"/>
  <c r="J578"/>
  <c r="K578"/>
  <c r="L578"/>
  <c r="M578"/>
  <c r="N578"/>
  <c r="O578"/>
  <c r="P578"/>
  <c r="E579"/>
  <c r="F579"/>
  <c r="G579"/>
  <c r="H579"/>
  <c r="I579"/>
  <c r="J579"/>
  <c r="K579"/>
  <c r="L579"/>
  <c r="M579"/>
  <c r="N579"/>
  <c r="O579"/>
  <c r="P579"/>
  <c r="B582"/>
  <c r="B583"/>
  <c r="C586"/>
  <c r="D586"/>
  <c r="C587"/>
  <c r="E588"/>
  <c r="F588"/>
  <c r="G588"/>
  <c r="H588"/>
  <c r="I588"/>
  <c r="J588"/>
  <c r="K588"/>
  <c r="L588"/>
  <c r="M588"/>
  <c r="N588"/>
  <c r="O588"/>
  <c r="P588"/>
  <c r="E589"/>
  <c r="F589"/>
  <c r="G589"/>
  <c r="H589"/>
  <c r="I589"/>
  <c r="J589"/>
  <c r="K589"/>
  <c r="L589"/>
  <c r="M589"/>
  <c r="N589"/>
  <c r="O589"/>
  <c r="P589"/>
  <c r="B592"/>
  <c r="B593"/>
  <c r="C596"/>
  <c r="D596"/>
  <c r="C598"/>
  <c r="E599"/>
  <c r="F599"/>
  <c r="G599"/>
  <c r="H599"/>
  <c r="I599"/>
  <c r="J599"/>
  <c r="K599"/>
  <c r="L599"/>
  <c r="M599"/>
  <c r="N599"/>
  <c r="O599"/>
  <c r="P599"/>
  <c r="E600"/>
  <c r="F600"/>
  <c r="G600"/>
  <c r="H600"/>
  <c r="I600"/>
  <c r="J600"/>
  <c r="K600"/>
  <c r="L600"/>
  <c r="M600"/>
  <c r="N600"/>
  <c r="O600"/>
  <c r="P600"/>
  <c r="B603"/>
  <c r="C607"/>
  <c r="D607"/>
  <c r="C608"/>
  <c r="E609"/>
  <c r="F609"/>
  <c r="G609"/>
  <c r="H609"/>
  <c r="I609"/>
  <c r="J609"/>
  <c r="K609"/>
  <c r="L609"/>
  <c r="M609"/>
  <c r="N609"/>
  <c r="O609"/>
  <c r="P609"/>
  <c r="E610"/>
  <c r="F610"/>
  <c r="G610"/>
  <c r="H610"/>
  <c r="I610"/>
  <c r="J610"/>
  <c r="K610"/>
  <c r="L610"/>
  <c r="M610"/>
  <c r="N610"/>
  <c r="O610"/>
  <c r="P610"/>
  <c r="B613"/>
  <c r="C617"/>
  <c r="D617"/>
  <c r="C618"/>
  <c r="E619"/>
  <c r="F619"/>
  <c r="G619"/>
  <c r="H619"/>
  <c r="I619"/>
  <c r="J619"/>
  <c r="K619"/>
  <c r="L619"/>
  <c r="M619"/>
  <c r="N619"/>
  <c r="O619"/>
  <c r="P619"/>
  <c r="E620"/>
  <c r="F620"/>
  <c r="G620"/>
  <c r="H620"/>
  <c r="I620"/>
  <c r="J620"/>
  <c r="K620"/>
  <c r="L620"/>
  <c r="M620"/>
  <c r="N620"/>
  <c r="O620"/>
  <c r="P620"/>
  <c r="B623"/>
  <c r="B624"/>
  <c r="C627"/>
  <c r="D627"/>
  <c r="C646"/>
  <c r="R646"/>
  <c r="C647"/>
  <c r="R647"/>
  <c r="C648"/>
  <c r="R648"/>
  <c r="C649"/>
  <c r="R649"/>
  <c r="C650"/>
  <c r="R650"/>
  <c r="C651"/>
  <c r="R651"/>
  <c r="C652"/>
  <c r="R652"/>
  <c r="C653"/>
  <c r="R653"/>
  <c r="C654"/>
  <c r="R654"/>
  <c r="C655"/>
  <c r="R655"/>
  <c r="C656"/>
  <c r="R656"/>
  <c r="C657"/>
  <c r="R657"/>
  <c r="C658"/>
  <c r="R658"/>
  <c r="C659"/>
  <c r="R659"/>
  <c r="C660"/>
  <c r="R660"/>
  <c r="C661"/>
  <c r="R661"/>
  <c r="C662"/>
  <c r="R662"/>
  <c r="C663"/>
  <c r="R663"/>
  <c r="C664"/>
  <c r="R664"/>
  <c r="C665"/>
  <c r="R665"/>
  <c r="C666"/>
  <c r="R666"/>
  <c r="C667"/>
  <c r="R667"/>
  <c r="C668"/>
  <c r="R668"/>
  <c r="C669"/>
  <c r="R669"/>
  <c r="C670"/>
  <c r="R670"/>
  <c r="C671"/>
  <c r="R671"/>
  <c r="C672"/>
  <c r="R672"/>
  <c r="C673"/>
  <c r="R673"/>
  <c r="C674"/>
  <c r="R674"/>
  <c r="C675"/>
  <c r="R675"/>
  <c r="C676"/>
  <c r="R676"/>
  <c r="C677"/>
  <c r="R677"/>
  <c r="C678"/>
  <c r="R678"/>
  <c r="C679"/>
  <c r="R679"/>
  <c r="C680"/>
  <c r="R680"/>
  <c r="C681"/>
  <c r="R681"/>
  <c r="C682"/>
  <c r="R682"/>
  <c r="C683"/>
  <c r="R683"/>
  <c r="C684"/>
  <c r="R684"/>
  <c r="C685"/>
  <c r="R685"/>
  <c r="C686"/>
  <c r="R686"/>
  <c r="C687"/>
  <c r="R687"/>
  <c r="C688"/>
  <c r="R688"/>
  <c r="C689"/>
  <c r="R689"/>
  <c r="C690"/>
  <c r="R690"/>
  <c r="C691"/>
  <c r="R691"/>
  <c r="C692"/>
  <c r="R692"/>
  <c r="C693"/>
  <c r="R693"/>
  <c r="C694"/>
  <c r="R694"/>
  <c r="C695"/>
  <c r="R695"/>
  <c r="C696"/>
  <c r="R696"/>
  <c r="C697"/>
  <c r="R697"/>
  <c r="C698"/>
  <c r="R698"/>
  <c r="C699"/>
  <c r="R699"/>
  <c r="C700"/>
  <c r="R700"/>
  <c r="C701"/>
  <c r="R701"/>
  <c r="C702"/>
  <c r="R702"/>
  <c r="C703"/>
  <c r="R703"/>
  <c r="C704"/>
  <c r="C705"/>
  <c r="C706"/>
  <c r="R706"/>
  <c r="C707"/>
  <c r="R707"/>
  <c r="C708"/>
  <c r="R708"/>
  <c r="C709"/>
  <c r="R709"/>
  <c r="C710"/>
  <c r="R710"/>
  <c r="H4" i="56"/>
  <c r="S24"/>
  <c r="H10" s="1"/>
  <c r="I10" s="1"/>
  <c r="S25"/>
  <c r="H11" s="1"/>
  <c r="I11" s="1"/>
  <c r="S26"/>
  <c r="H12" s="1"/>
  <c r="I12" s="1"/>
  <c r="S27"/>
  <c r="H13" s="1"/>
  <c r="I13" s="1"/>
  <c r="S28"/>
  <c r="H14" s="1"/>
  <c r="I14" s="1"/>
  <c r="S29"/>
  <c r="H15" s="1"/>
  <c r="I15" s="1"/>
  <c r="S30"/>
  <c r="H16" s="1"/>
  <c r="I16" s="1"/>
  <c r="S31"/>
  <c r="H17" s="1"/>
  <c r="I17" s="1"/>
  <c r="S32"/>
  <c r="H18" s="1"/>
  <c r="I18" s="1"/>
  <c r="S33"/>
  <c r="H19" s="1"/>
  <c r="I19" s="1"/>
  <c r="S34"/>
  <c r="H20" s="1"/>
  <c r="I20" s="1"/>
  <c r="S35"/>
  <c r="H21" s="1"/>
  <c r="I21" s="1"/>
  <c r="S36"/>
  <c r="H22" s="1"/>
  <c r="I22" s="1"/>
  <c r="S37"/>
  <c r="H23" s="1"/>
  <c r="I23" s="1"/>
  <c r="S38"/>
  <c r="H24" s="1"/>
  <c r="I24" s="1"/>
  <c r="S39"/>
  <c r="H25" s="1"/>
  <c r="I25" s="1"/>
  <c r="S40"/>
  <c r="H26" s="1"/>
  <c r="I26" s="1"/>
  <c r="S41"/>
  <c r="H27" s="1"/>
  <c r="I27" s="1"/>
  <c r="S42"/>
  <c r="H28" s="1"/>
  <c r="I28" s="1"/>
  <c r="S43"/>
  <c r="H29" s="1"/>
  <c r="I29" s="1"/>
  <c r="S44"/>
  <c r="H30" s="1"/>
  <c r="I30" s="1"/>
  <c r="S45"/>
  <c r="S46"/>
  <c r="S47"/>
  <c r="S48"/>
  <c r="H31" s="1"/>
  <c r="I31" s="1"/>
  <c r="G23" i="103"/>
  <c r="H23" s="1"/>
  <c r="G24"/>
  <c r="H24" s="1"/>
  <c r="G25"/>
  <c r="G26"/>
  <c r="H26" s="1"/>
  <c r="C3" i="100"/>
  <c r="B5"/>
  <c r="D5"/>
  <c r="E5"/>
  <c r="F5"/>
  <c r="G5"/>
  <c r="H5"/>
  <c r="I5"/>
  <c r="J5"/>
  <c r="K5"/>
  <c r="L5"/>
  <c r="M5"/>
  <c r="N5"/>
  <c r="O5"/>
  <c r="B6"/>
  <c r="B8"/>
  <c r="D8"/>
  <c r="E8"/>
  <c r="F8"/>
  <c r="G8"/>
  <c r="H8"/>
  <c r="I8"/>
  <c r="J8"/>
  <c r="K8"/>
  <c r="L8"/>
  <c r="M8"/>
  <c r="N8"/>
  <c r="O8"/>
  <c r="B9"/>
  <c r="D11"/>
  <c r="E11"/>
  <c r="F11"/>
  <c r="G11"/>
  <c r="H11"/>
  <c r="I11"/>
  <c r="J11"/>
  <c r="K11"/>
  <c r="L11"/>
  <c r="M11"/>
  <c r="N11"/>
  <c r="O11"/>
  <c r="B12"/>
  <c r="B13"/>
  <c r="B14"/>
  <c r="C17"/>
  <c r="B19"/>
  <c r="B20"/>
  <c r="D21"/>
  <c r="E21"/>
  <c r="F21"/>
  <c r="G21"/>
  <c r="H21"/>
  <c r="I21"/>
  <c r="J21"/>
  <c r="K21"/>
  <c r="L21"/>
  <c r="M21"/>
  <c r="N21"/>
  <c r="O21"/>
  <c r="B22"/>
  <c r="D22"/>
  <c r="E22"/>
  <c r="F22"/>
  <c r="G22"/>
  <c r="H22"/>
  <c r="I22"/>
  <c r="J22"/>
  <c r="K22"/>
  <c r="L22"/>
  <c r="M22"/>
  <c r="N22"/>
  <c r="O22"/>
  <c r="B23"/>
  <c r="D25"/>
  <c r="E25"/>
  <c r="F25"/>
  <c r="G25"/>
  <c r="H25"/>
  <c r="I25"/>
  <c r="J25"/>
  <c r="K25"/>
  <c r="L25"/>
  <c r="M25"/>
  <c r="N25"/>
  <c r="O25"/>
  <c r="B26"/>
  <c r="B27"/>
  <c r="B28"/>
  <c r="C30"/>
  <c r="B32"/>
  <c r="B33"/>
  <c r="D34"/>
  <c r="E34"/>
  <c r="F34"/>
  <c r="G34"/>
  <c r="H34"/>
  <c r="I34"/>
  <c r="J34"/>
  <c r="K34"/>
  <c r="L34"/>
  <c r="M34"/>
  <c r="N34"/>
  <c r="O34"/>
  <c r="B35"/>
  <c r="D35"/>
  <c r="E35"/>
  <c r="F35"/>
  <c r="G35"/>
  <c r="H35"/>
  <c r="I35"/>
  <c r="J35"/>
  <c r="K35"/>
  <c r="L35"/>
  <c r="M35"/>
  <c r="N35"/>
  <c r="O35"/>
  <c r="B36"/>
  <c r="D38"/>
  <c r="E38"/>
  <c r="F38"/>
  <c r="G38"/>
  <c r="H38"/>
  <c r="I38"/>
  <c r="J38"/>
  <c r="K38"/>
  <c r="L38"/>
  <c r="M38"/>
  <c r="N38"/>
  <c r="O38"/>
  <c r="B39"/>
  <c r="B40"/>
  <c r="B41"/>
  <c r="C43"/>
  <c r="B45"/>
  <c r="B46"/>
  <c r="D47"/>
  <c r="E47"/>
  <c r="F47"/>
  <c r="G47"/>
  <c r="H47"/>
  <c r="I47"/>
  <c r="J47"/>
  <c r="K47"/>
  <c r="L47"/>
  <c r="M47"/>
  <c r="N47"/>
  <c r="O47"/>
  <c r="B48"/>
  <c r="D48"/>
  <c r="E48"/>
  <c r="F48"/>
  <c r="G48"/>
  <c r="H48"/>
  <c r="I48"/>
  <c r="J48"/>
  <c r="K48"/>
  <c r="L48"/>
  <c r="M48"/>
  <c r="N48"/>
  <c r="O48"/>
  <c r="B49"/>
  <c r="D51"/>
  <c r="E51"/>
  <c r="F51"/>
  <c r="G51"/>
  <c r="H51"/>
  <c r="I51"/>
  <c r="J51"/>
  <c r="K51"/>
  <c r="L51"/>
  <c r="M51"/>
  <c r="N51"/>
  <c r="O51"/>
  <c r="B52"/>
  <c r="B53"/>
  <c r="B54"/>
  <c r="C56"/>
  <c r="B58"/>
  <c r="B59"/>
  <c r="D60"/>
  <c r="E60"/>
  <c r="F60"/>
  <c r="G60"/>
  <c r="H60"/>
  <c r="I60"/>
  <c r="J60"/>
  <c r="K60"/>
  <c r="L60"/>
  <c r="M60"/>
  <c r="N60"/>
  <c r="O60"/>
  <c r="B61"/>
  <c r="D61"/>
  <c r="E61"/>
  <c r="F61"/>
  <c r="G61"/>
  <c r="H61"/>
  <c r="I61"/>
  <c r="J61"/>
  <c r="K61"/>
  <c r="L61"/>
  <c r="M61"/>
  <c r="N61"/>
  <c r="O61"/>
  <c r="B62"/>
  <c r="D64"/>
  <c r="E64"/>
  <c r="F64"/>
  <c r="G64"/>
  <c r="H64"/>
  <c r="I64"/>
  <c r="J64"/>
  <c r="K64"/>
  <c r="L64"/>
  <c r="M64"/>
  <c r="N64"/>
  <c r="O64"/>
  <c r="B65"/>
  <c r="B66"/>
  <c r="B67"/>
  <c r="C69"/>
  <c r="B71"/>
  <c r="B72"/>
  <c r="D73"/>
  <c r="E73"/>
  <c r="F73"/>
  <c r="G73"/>
  <c r="H73"/>
  <c r="I73"/>
  <c r="J73"/>
  <c r="K73"/>
  <c r="L73"/>
  <c r="M73"/>
  <c r="N73"/>
  <c r="O73"/>
  <c r="B74"/>
  <c r="D74"/>
  <c r="E74"/>
  <c r="F74"/>
  <c r="G74"/>
  <c r="H74"/>
  <c r="I74"/>
  <c r="J74"/>
  <c r="K74"/>
  <c r="L74"/>
  <c r="M74"/>
  <c r="N74"/>
  <c r="O74"/>
  <c r="B75"/>
  <c r="D77"/>
  <c r="E77"/>
  <c r="F77"/>
  <c r="G77"/>
  <c r="H77"/>
  <c r="I77"/>
  <c r="J77"/>
  <c r="K77"/>
  <c r="L77"/>
  <c r="M77"/>
  <c r="N77"/>
  <c r="O77"/>
  <c r="B78"/>
  <c r="B79"/>
  <c r="B80"/>
  <c r="C82"/>
  <c r="B84"/>
  <c r="B85"/>
  <c r="D86"/>
  <c r="E86"/>
  <c r="F86"/>
  <c r="G86"/>
  <c r="H86"/>
  <c r="I86"/>
  <c r="J86"/>
  <c r="K86"/>
  <c r="L86"/>
  <c r="M86"/>
  <c r="N86"/>
  <c r="O86"/>
  <c r="B87"/>
  <c r="D87"/>
  <c r="E87"/>
  <c r="F87"/>
  <c r="G87"/>
  <c r="H87"/>
  <c r="I87"/>
  <c r="J87"/>
  <c r="K87"/>
  <c r="L87"/>
  <c r="M87"/>
  <c r="N87"/>
  <c r="O87"/>
  <c r="B88"/>
  <c r="D90"/>
  <c r="E90"/>
  <c r="F90"/>
  <c r="G90"/>
  <c r="H90"/>
  <c r="I90"/>
  <c r="J90"/>
  <c r="K90"/>
  <c r="L90"/>
  <c r="M90"/>
  <c r="N90"/>
  <c r="O90"/>
  <c r="B91"/>
  <c r="B92"/>
  <c r="B93"/>
  <c r="C95"/>
  <c r="B97"/>
  <c r="B98"/>
  <c r="D99"/>
  <c r="E99"/>
  <c r="F99"/>
  <c r="G99"/>
  <c r="H99"/>
  <c r="I99"/>
  <c r="J99"/>
  <c r="K99"/>
  <c r="L99"/>
  <c r="M99"/>
  <c r="N99"/>
  <c r="O99"/>
  <c r="B100"/>
  <c r="D100"/>
  <c r="E100"/>
  <c r="F100"/>
  <c r="G100"/>
  <c r="H100"/>
  <c r="I100"/>
  <c r="J100"/>
  <c r="K100"/>
  <c r="L100"/>
  <c r="M100"/>
  <c r="N100"/>
  <c r="O100"/>
  <c r="B101"/>
  <c r="D103"/>
  <c r="E103"/>
  <c r="F103"/>
  <c r="G103"/>
  <c r="H103"/>
  <c r="I103"/>
  <c r="J103"/>
  <c r="K103"/>
  <c r="L103"/>
  <c r="M103"/>
  <c r="N103"/>
  <c r="O103"/>
  <c r="B104"/>
  <c r="B105"/>
  <c r="B106"/>
  <c r="C108"/>
  <c r="B110"/>
  <c r="B111"/>
  <c r="D112"/>
  <c r="E112"/>
  <c r="F112"/>
  <c r="G112"/>
  <c r="H112"/>
  <c r="I112"/>
  <c r="J112"/>
  <c r="K112"/>
  <c r="L112"/>
  <c r="M112"/>
  <c r="N112"/>
  <c r="O112"/>
  <c r="B113"/>
  <c r="D113"/>
  <c r="E113"/>
  <c r="F113"/>
  <c r="G113"/>
  <c r="H113"/>
  <c r="I113"/>
  <c r="J113"/>
  <c r="K113"/>
  <c r="L113"/>
  <c r="M113"/>
  <c r="N113"/>
  <c r="O113"/>
  <c r="B114"/>
  <c r="D116"/>
  <c r="E116"/>
  <c r="F116"/>
  <c r="G116"/>
  <c r="H116"/>
  <c r="I116"/>
  <c r="J116"/>
  <c r="K116"/>
  <c r="L116"/>
  <c r="M116"/>
  <c r="N116"/>
  <c r="O116"/>
  <c r="B117"/>
  <c r="B118"/>
  <c r="B119"/>
  <c r="C121"/>
  <c r="B123"/>
  <c r="B124"/>
  <c r="D125"/>
  <c r="E125"/>
  <c r="F125"/>
  <c r="G125"/>
  <c r="H125"/>
  <c r="I125"/>
  <c r="J125"/>
  <c r="K125"/>
  <c r="L125"/>
  <c r="M125"/>
  <c r="N125"/>
  <c r="O125"/>
  <c r="B126"/>
  <c r="D126"/>
  <c r="E126"/>
  <c r="F126"/>
  <c r="G126"/>
  <c r="H126"/>
  <c r="I126"/>
  <c r="J126"/>
  <c r="K126"/>
  <c r="L126"/>
  <c r="M126"/>
  <c r="N126"/>
  <c r="O126"/>
  <c r="B127"/>
  <c r="D129"/>
  <c r="E129"/>
  <c r="F129"/>
  <c r="G129"/>
  <c r="H129"/>
  <c r="I129"/>
  <c r="J129"/>
  <c r="K129"/>
  <c r="L129"/>
  <c r="M129"/>
  <c r="N129"/>
  <c r="O129"/>
  <c r="B130"/>
  <c r="B131"/>
  <c r="B132"/>
  <c r="C134"/>
  <c r="B136"/>
  <c r="B137"/>
  <c r="D138"/>
  <c r="E138"/>
  <c r="F138"/>
  <c r="G138"/>
  <c r="H138"/>
  <c r="I138"/>
  <c r="J138"/>
  <c r="K138"/>
  <c r="L138"/>
  <c r="M138"/>
  <c r="N138"/>
  <c r="O138"/>
  <c r="B139"/>
  <c r="D139"/>
  <c r="E139"/>
  <c r="F139"/>
  <c r="G139"/>
  <c r="H139"/>
  <c r="I139"/>
  <c r="J139"/>
  <c r="K139"/>
  <c r="L139"/>
  <c r="M139"/>
  <c r="N139"/>
  <c r="O139"/>
  <c r="B140"/>
  <c r="D142"/>
  <c r="E142"/>
  <c r="F142"/>
  <c r="G142"/>
  <c r="H142"/>
  <c r="I142"/>
  <c r="J142"/>
  <c r="K142"/>
  <c r="L142"/>
  <c r="M142"/>
  <c r="N142"/>
  <c r="O142"/>
  <c r="B143"/>
  <c r="B144"/>
  <c r="B145"/>
  <c r="C147"/>
  <c r="B149"/>
  <c r="B150"/>
  <c r="D151"/>
  <c r="E151"/>
  <c r="F151"/>
  <c r="G151"/>
  <c r="H151"/>
  <c r="I151"/>
  <c r="J151"/>
  <c r="K151"/>
  <c r="L151"/>
  <c r="M151"/>
  <c r="N151"/>
  <c r="O151"/>
  <c r="B152"/>
  <c r="D152"/>
  <c r="E152"/>
  <c r="F152"/>
  <c r="G152"/>
  <c r="H152"/>
  <c r="I152"/>
  <c r="J152"/>
  <c r="K152"/>
  <c r="L152"/>
  <c r="M152"/>
  <c r="N152"/>
  <c r="O152"/>
  <c r="B153"/>
  <c r="D155"/>
  <c r="E155"/>
  <c r="F155"/>
  <c r="G155"/>
  <c r="H155"/>
  <c r="I155"/>
  <c r="J155"/>
  <c r="K155"/>
  <c r="L155"/>
  <c r="M155"/>
  <c r="N155"/>
  <c r="O155"/>
  <c r="B156"/>
  <c r="B157"/>
  <c r="B158"/>
  <c r="C160"/>
  <c r="B162"/>
  <c r="B163"/>
  <c r="D164"/>
  <c r="E164"/>
  <c r="F164"/>
  <c r="G164"/>
  <c r="H164"/>
  <c r="I164"/>
  <c r="J164"/>
  <c r="K164"/>
  <c r="L164"/>
  <c r="M164"/>
  <c r="N164"/>
  <c r="O164"/>
  <c r="B165"/>
  <c r="D165"/>
  <c r="E165"/>
  <c r="F165"/>
  <c r="G165"/>
  <c r="H165"/>
  <c r="I165"/>
  <c r="J165"/>
  <c r="K165"/>
  <c r="L165"/>
  <c r="M165"/>
  <c r="N165"/>
  <c r="O165"/>
  <c r="B166"/>
  <c r="D168"/>
  <c r="E168"/>
  <c r="F168"/>
  <c r="G168"/>
  <c r="H168"/>
  <c r="I168"/>
  <c r="J168"/>
  <c r="K168"/>
  <c r="L168"/>
  <c r="M168"/>
  <c r="N168"/>
  <c r="O168"/>
  <c r="B169"/>
  <c r="B170"/>
  <c r="B171"/>
  <c r="C173"/>
  <c r="B175"/>
  <c r="B176"/>
  <c r="D177"/>
  <c r="E177"/>
  <c r="F177"/>
  <c r="G177"/>
  <c r="H177"/>
  <c r="I177"/>
  <c r="J177"/>
  <c r="K177"/>
  <c r="L177"/>
  <c r="M177"/>
  <c r="N177"/>
  <c r="O177"/>
  <c r="B178"/>
  <c r="D178"/>
  <c r="E178"/>
  <c r="F178"/>
  <c r="G178"/>
  <c r="H178"/>
  <c r="I178"/>
  <c r="J178"/>
  <c r="K178"/>
  <c r="L178"/>
  <c r="M178"/>
  <c r="N178"/>
  <c r="O178"/>
  <c r="B179"/>
  <c r="D181"/>
  <c r="E181"/>
  <c r="F181"/>
  <c r="G181"/>
  <c r="H181"/>
  <c r="I181"/>
  <c r="J181"/>
  <c r="K181"/>
  <c r="L181"/>
  <c r="M181"/>
  <c r="N181"/>
  <c r="O181"/>
  <c r="B182"/>
  <c r="B183"/>
  <c r="B184"/>
  <c r="C186"/>
  <c r="B188"/>
  <c r="B189"/>
  <c r="D190"/>
  <c r="E190"/>
  <c r="F190"/>
  <c r="G190"/>
  <c r="H190"/>
  <c r="I190"/>
  <c r="J190"/>
  <c r="K190"/>
  <c r="L190"/>
  <c r="M190"/>
  <c r="N190"/>
  <c r="O190"/>
  <c r="B191"/>
  <c r="D191"/>
  <c r="E191"/>
  <c r="F191"/>
  <c r="G191"/>
  <c r="H191"/>
  <c r="I191"/>
  <c r="J191"/>
  <c r="K191"/>
  <c r="L191"/>
  <c r="M191"/>
  <c r="N191"/>
  <c r="O191"/>
  <c r="B192"/>
  <c r="D194"/>
  <c r="E194"/>
  <c r="F194"/>
  <c r="G194"/>
  <c r="H194"/>
  <c r="I194"/>
  <c r="J194"/>
  <c r="K194"/>
  <c r="L194"/>
  <c r="M194"/>
  <c r="N194"/>
  <c r="O194"/>
  <c r="B195"/>
  <c r="B196"/>
  <c r="B197"/>
  <c r="C199"/>
  <c r="B201"/>
  <c r="B202"/>
  <c r="D203"/>
  <c r="E203"/>
  <c r="F203"/>
  <c r="G203"/>
  <c r="H203"/>
  <c r="I203"/>
  <c r="J203"/>
  <c r="K203"/>
  <c r="L203"/>
  <c r="M203"/>
  <c r="N203"/>
  <c r="O203"/>
  <c r="B204"/>
  <c r="D204"/>
  <c r="E204"/>
  <c r="F204"/>
  <c r="G204"/>
  <c r="H204"/>
  <c r="I204"/>
  <c r="J204"/>
  <c r="K204"/>
  <c r="L204"/>
  <c r="M204"/>
  <c r="N204"/>
  <c r="O204"/>
  <c r="B205"/>
  <c r="D207"/>
  <c r="E207"/>
  <c r="F207"/>
  <c r="G207"/>
  <c r="H207"/>
  <c r="I207"/>
  <c r="J207"/>
  <c r="K207"/>
  <c r="L207"/>
  <c r="M207"/>
  <c r="N207"/>
  <c r="O207"/>
  <c r="B208"/>
  <c r="B209"/>
  <c r="B210"/>
  <c r="C3" i="242"/>
  <c r="B5"/>
  <c r="D5"/>
  <c r="E5"/>
  <c r="F5"/>
  <c r="G5"/>
  <c r="H5"/>
  <c r="I5"/>
  <c r="J5"/>
  <c r="K5"/>
  <c r="L5"/>
  <c r="M5"/>
  <c r="N5"/>
  <c r="O5"/>
  <c r="B6"/>
  <c r="B8"/>
  <c r="D8"/>
  <c r="E8"/>
  <c r="F8"/>
  <c r="G8"/>
  <c r="H8"/>
  <c r="I8"/>
  <c r="J8"/>
  <c r="K8"/>
  <c r="L8"/>
  <c r="M8"/>
  <c r="N8"/>
  <c r="O8"/>
  <c r="B9"/>
  <c r="D11"/>
  <c r="E11"/>
  <c r="F11"/>
  <c r="G11"/>
  <c r="H11"/>
  <c r="I11"/>
  <c r="J11"/>
  <c r="K11"/>
  <c r="L11"/>
  <c r="M11"/>
  <c r="N11"/>
  <c r="O11"/>
  <c r="B12"/>
  <c r="B13"/>
  <c r="B14"/>
  <c r="C16"/>
  <c r="B18"/>
  <c r="B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3"/>
  <c r="E33"/>
  <c r="F33"/>
  <c r="G33"/>
  <c r="H33"/>
  <c r="I33"/>
  <c r="J33"/>
  <c r="K33"/>
  <c r="L33"/>
  <c r="M33"/>
  <c r="N33"/>
  <c r="O33"/>
  <c r="B34"/>
  <c r="D34"/>
  <c r="E34"/>
  <c r="F34"/>
  <c r="G34"/>
  <c r="H34"/>
  <c r="I34"/>
  <c r="J34"/>
  <c r="K34"/>
  <c r="L34"/>
  <c r="M34"/>
  <c r="N34"/>
  <c r="O34"/>
  <c r="B35"/>
  <c r="D37"/>
  <c r="E37"/>
  <c r="F37"/>
  <c r="G37"/>
  <c r="H37"/>
  <c r="I37"/>
  <c r="J37"/>
  <c r="K37"/>
  <c r="L37"/>
  <c r="M37"/>
  <c r="N37"/>
  <c r="O37"/>
  <c r="B38"/>
  <c r="B39"/>
  <c r="B40"/>
  <c r="C42"/>
  <c r="B44"/>
  <c r="B45"/>
  <c r="D46"/>
  <c r="E46"/>
  <c r="F46"/>
  <c r="G46"/>
  <c r="H46"/>
  <c r="I46"/>
  <c r="J46"/>
  <c r="K46"/>
  <c r="L46"/>
  <c r="M46"/>
  <c r="N46"/>
  <c r="O46"/>
  <c r="B47"/>
  <c r="D47"/>
  <c r="E47"/>
  <c r="F47"/>
  <c r="G47"/>
  <c r="H47"/>
  <c r="I47"/>
  <c r="J47"/>
  <c r="K47"/>
  <c r="L47"/>
  <c r="M47"/>
  <c r="N47"/>
  <c r="O47"/>
  <c r="B48"/>
  <c r="D50"/>
  <c r="E50"/>
  <c r="F50"/>
  <c r="G50"/>
  <c r="H50"/>
  <c r="I50"/>
  <c r="J50"/>
  <c r="K50"/>
  <c r="L50"/>
  <c r="M50"/>
  <c r="N50"/>
  <c r="O50"/>
  <c r="B51"/>
  <c r="B52"/>
  <c r="B53"/>
  <c r="C55"/>
  <c r="B57"/>
  <c r="B58"/>
  <c r="D59"/>
  <c r="E59"/>
  <c r="F59"/>
  <c r="G59"/>
  <c r="H59"/>
  <c r="I59"/>
  <c r="J59"/>
  <c r="K59"/>
  <c r="L59"/>
  <c r="M59"/>
  <c r="N59"/>
  <c r="O59"/>
  <c r="B60"/>
  <c r="D60"/>
  <c r="E60"/>
  <c r="F60"/>
  <c r="G60"/>
  <c r="H60"/>
  <c r="I60"/>
  <c r="J60"/>
  <c r="K60"/>
  <c r="L60"/>
  <c r="M60"/>
  <c r="N60"/>
  <c r="O60"/>
  <c r="B61"/>
  <c r="D63"/>
  <c r="E63"/>
  <c r="F63"/>
  <c r="G63"/>
  <c r="H63"/>
  <c r="I63"/>
  <c r="J63"/>
  <c r="K63"/>
  <c r="L63"/>
  <c r="M63"/>
  <c r="N63"/>
  <c r="O63"/>
  <c r="B64"/>
  <c r="B65"/>
  <c r="B66"/>
  <c r="C68"/>
  <c r="B70"/>
  <c r="B71"/>
  <c r="D72"/>
  <c r="E72"/>
  <c r="F72"/>
  <c r="G72"/>
  <c r="H72"/>
  <c r="I72"/>
  <c r="J72"/>
  <c r="K72"/>
  <c r="L72"/>
  <c r="M72"/>
  <c r="N72"/>
  <c r="O72"/>
  <c r="B73"/>
  <c r="D73"/>
  <c r="E73"/>
  <c r="F73"/>
  <c r="G73"/>
  <c r="H73"/>
  <c r="I73"/>
  <c r="J73"/>
  <c r="K73"/>
  <c r="L73"/>
  <c r="M73"/>
  <c r="N73"/>
  <c r="O73"/>
  <c r="B74"/>
  <c r="D76"/>
  <c r="E76"/>
  <c r="F76"/>
  <c r="G76"/>
  <c r="H76"/>
  <c r="I76"/>
  <c r="J76"/>
  <c r="K76"/>
  <c r="L76"/>
  <c r="M76"/>
  <c r="N76"/>
  <c r="O76"/>
  <c r="B77"/>
  <c r="B78"/>
  <c r="B79"/>
  <c r="C81"/>
  <c r="B83"/>
  <c r="B84"/>
  <c r="D85"/>
  <c r="E85"/>
  <c r="F85"/>
  <c r="G85"/>
  <c r="H85"/>
  <c r="I85"/>
  <c r="J85"/>
  <c r="K85"/>
  <c r="L85"/>
  <c r="M85"/>
  <c r="N85"/>
  <c r="O85"/>
  <c r="B86"/>
  <c r="D86"/>
  <c r="E86"/>
  <c r="F86"/>
  <c r="G86"/>
  <c r="H86"/>
  <c r="I86"/>
  <c r="J86"/>
  <c r="K86"/>
  <c r="L86"/>
  <c r="M86"/>
  <c r="N86"/>
  <c r="O86"/>
  <c r="B87"/>
  <c r="D89"/>
  <c r="E89"/>
  <c r="F89"/>
  <c r="G89"/>
  <c r="H89"/>
  <c r="I89"/>
  <c r="J89"/>
  <c r="K89"/>
  <c r="L89"/>
  <c r="M89"/>
  <c r="N89"/>
  <c r="O89"/>
  <c r="B90"/>
  <c r="B91"/>
  <c r="B92"/>
  <c r="C94"/>
  <c r="B96"/>
  <c r="B97"/>
  <c r="D98"/>
  <c r="E98"/>
  <c r="F98"/>
  <c r="G98"/>
  <c r="H98"/>
  <c r="I98"/>
  <c r="J98"/>
  <c r="K98"/>
  <c r="L98"/>
  <c r="M98"/>
  <c r="N98"/>
  <c r="O98"/>
  <c r="B99"/>
  <c r="D99"/>
  <c r="E99"/>
  <c r="F99"/>
  <c r="G99"/>
  <c r="H99"/>
  <c r="I99"/>
  <c r="J99"/>
  <c r="K99"/>
  <c r="L99"/>
  <c r="M99"/>
  <c r="N99"/>
  <c r="O99"/>
  <c r="B100"/>
  <c r="D102"/>
  <c r="E102"/>
  <c r="F102"/>
  <c r="G102"/>
  <c r="H102"/>
  <c r="I102"/>
  <c r="J102"/>
  <c r="K102"/>
  <c r="L102"/>
  <c r="M102"/>
  <c r="N102"/>
  <c r="O102"/>
  <c r="B103"/>
  <c r="B104"/>
  <c r="B105"/>
  <c r="C107"/>
  <c r="B109"/>
  <c r="B110"/>
  <c r="D111"/>
  <c r="E111"/>
  <c r="F111"/>
  <c r="G111"/>
  <c r="H111"/>
  <c r="I111"/>
  <c r="J111"/>
  <c r="K111"/>
  <c r="L111"/>
  <c r="M111"/>
  <c r="N111"/>
  <c r="O111"/>
  <c r="B112"/>
  <c r="D112"/>
  <c r="E112"/>
  <c r="F112"/>
  <c r="G112"/>
  <c r="H112"/>
  <c r="I112"/>
  <c r="J112"/>
  <c r="K112"/>
  <c r="L112"/>
  <c r="M112"/>
  <c r="N112"/>
  <c r="O112"/>
  <c r="B113"/>
  <c r="D115"/>
  <c r="E115"/>
  <c r="F115"/>
  <c r="G115"/>
  <c r="H115"/>
  <c r="I115"/>
  <c r="J115"/>
  <c r="K115"/>
  <c r="L115"/>
  <c r="M115"/>
  <c r="N115"/>
  <c r="O115"/>
  <c r="B116"/>
  <c r="B117"/>
  <c r="B118"/>
  <c r="C120"/>
  <c r="B122"/>
  <c r="B123"/>
  <c r="D124"/>
  <c r="E124"/>
  <c r="F124"/>
  <c r="G124"/>
  <c r="H124"/>
  <c r="I124"/>
  <c r="J124"/>
  <c r="K124"/>
  <c r="L124"/>
  <c r="M124"/>
  <c r="N124"/>
  <c r="O124"/>
  <c r="B125"/>
  <c r="D125"/>
  <c r="E125"/>
  <c r="F125"/>
  <c r="G125"/>
  <c r="H125"/>
  <c r="I125"/>
  <c r="J125"/>
  <c r="K125"/>
  <c r="L125"/>
  <c r="M125"/>
  <c r="N125"/>
  <c r="O125"/>
  <c r="B126"/>
  <c r="B129"/>
  <c r="B130"/>
  <c r="B131"/>
  <c r="C3" i="241"/>
  <c r="B5"/>
  <c r="B6"/>
  <c r="B8"/>
  <c r="D8"/>
  <c r="E8"/>
  <c r="F8"/>
  <c r="G8"/>
  <c r="H8"/>
  <c r="I8"/>
  <c r="J8"/>
  <c r="K8"/>
  <c r="L8"/>
  <c r="M8"/>
  <c r="N8"/>
  <c r="O8"/>
  <c r="B9"/>
  <c r="D11"/>
  <c r="E11"/>
  <c r="F11"/>
  <c r="G11"/>
  <c r="H11"/>
  <c r="I11"/>
  <c r="J11"/>
  <c r="K11"/>
  <c r="L11"/>
  <c r="M11"/>
  <c r="N11"/>
  <c r="O11"/>
  <c r="B12"/>
  <c r="B13"/>
  <c r="B14"/>
  <c r="C16"/>
  <c r="B18"/>
  <c r="B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3"/>
  <c r="E33"/>
  <c r="F33"/>
  <c r="G33"/>
  <c r="H33"/>
  <c r="I33"/>
  <c r="J33"/>
  <c r="K33"/>
  <c r="L33"/>
  <c r="M33"/>
  <c r="N33"/>
  <c r="O33"/>
  <c r="B34"/>
  <c r="D34"/>
  <c r="E34"/>
  <c r="F34"/>
  <c r="G34"/>
  <c r="H34"/>
  <c r="I34"/>
  <c r="J34"/>
  <c r="K34"/>
  <c r="L34"/>
  <c r="M34"/>
  <c r="N34"/>
  <c r="O34"/>
  <c r="B35"/>
  <c r="D37"/>
  <c r="E37"/>
  <c r="F37"/>
  <c r="G37"/>
  <c r="H37"/>
  <c r="I37"/>
  <c r="J37"/>
  <c r="K37"/>
  <c r="L37"/>
  <c r="M37"/>
  <c r="N37"/>
  <c r="O37"/>
  <c r="B38"/>
  <c r="B39"/>
  <c r="B40"/>
  <c r="C42"/>
  <c r="B44"/>
  <c r="B45"/>
  <c r="D46"/>
  <c r="E46"/>
  <c r="F46"/>
  <c r="G46"/>
  <c r="H46"/>
  <c r="I46"/>
  <c r="J46"/>
  <c r="K46"/>
  <c r="L46"/>
  <c r="M46"/>
  <c r="N46"/>
  <c r="O46"/>
  <c r="B47"/>
  <c r="D47"/>
  <c r="E47"/>
  <c r="F47"/>
  <c r="G47"/>
  <c r="H47"/>
  <c r="I47"/>
  <c r="J47"/>
  <c r="K47"/>
  <c r="L47"/>
  <c r="M47"/>
  <c r="N47"/>
  <c r="O47"/>
  <c r="B48"/>
  <c r="D50"/>
  <c r="E50"/>
  <c r="F50"/>
  <c r="G50"/>
  <c r="H50"/>
  <c r="I50"/>
  <c r="J50"/>
  <c r="K50"/>
  <c r="L50"/>
  <c r="M50"/>
  <c r="N50"/>
  <c r="O50"/>
  <c r="B51"/>
  <c r="B52"/>
  <c r="B53"/>
  <c r="C55"/>
  <c r="B57"/>
  <c r="B58"/>
  <c r="D59"/>
  <c r="E59"/>
  <c r="F59"/>
  <c r="G59"/>
  <c r="H59"/>
  <c r="I59"/>
  <c r="J59"/>
  <c r="K59"/>
  <c r="L59"/>
  <c r="M59"/>
  <c r="N59"/>
  <c r="O59"/>
  <c r="B60"/>
  <c r="D60"/>
  <c r="E60"/>
  <c r="F60"/>
  <c r="G60"/>
  <c r="H60"/>
  <c r="I60"/>
  <c r="J60"/>
  <c r="K60"/>
  <c r="L60"/>
  <c r="M60"/>
  <c r="N60"/>
  <c r="O60"/>
  <c r="B61"/>
  <c r="B64"/>
  <c r="B65"/>
  <c r="B66"/>
  <c r="C4" i="240"/>
  <c r="B6"/>
  <c r="B7"/>
  <c r="D8"/>
  <c r="E8"/>
  <c r="F8"/>
  <c r="G8"/>
  <c r="H8"/>
  <c r="I8"/>
  <c r="J8"/>
  <c r="K8"/>
  <c r="L8"/>
  <c r="M8"/>
  <c r="N8"/>
  <c r="O8"/>
  <c r="B9"/>
  <c r="D9"/>
  <c r="E9"/>
  <c r="F9"/>
  <c r="G9"/>
  <c r="H9"/>
  <c r="I9"/>
  <c r="J9"/>
  <c r="K9"/>
  <c r="L9"/>
  <c r="M9"/>
  <c r="N9"/>
  <c r="O9"/>
  <c r="B10"/>
  <c r="D12"/>
  <c r="E12"/>
  <c r="F12"/>
  <c r="G12"/>
  <c r="H12"/>
  <c r="I12"/>
  <c r="J12"/>
  <c r="K12"/>
  <c r="L12"/>
  <c r="M12"/>
  <c r="N12"/>
  <c r="O12"/>
  <c r="B13"/>
  <c r="B14"/>
  <c r="B15"/>
  <c r="C17"/>
  <c r="B19"/>
  <c r="B20"/>
  <c r="B22"/>
  <c r="D22"/>
  <c r="E22"/>
  <c r="F22"/>
  <c r="G22"/>
  <c r="H22"/>
  <c r="I22"/>
  <c r="J22"/>
  <c r="K22"/>
  <c r="L22"/>
  <c r="M22"/>
  <c r="N22"/>
  <c r="O22"/>
  <c r="B23"/>
  <c r="D25"/>
  <c r="E25"/>
  <c r="F25"/>
  <c r="G25"/>
  <c r="H25"/>
  <c r="I25"/>
  <c r="J25"/>
  <c r="K25"/>
  <c r="L25"/>
  <c r="M25"/>
  <c r="N25"/>
  <c r="O25"/>
  <c r="B26"/>
  <c r="B27"/>
  <c r="B28"/>
  <c r="C30"/>
  <c r="B32"/>
  <c r="B33"/>
  <c r="D34"/>
  <c r="E34"/>
  <c r="F34"/>
  <c r="G34"/>
  <c r="H34"/>
  <c r="I34"/>
  <c r="J34"/>
  <c r="K34"/>
  <c r="L34"/>
  <c r="M34"/>
  <c r="N34"/>
  <c r="O34"/>
  <c r="B35"/>
  <c r="D35"/>
  <c r="E35"/>
  <c r="F35"/>
  <c r="G35"/>
  <c r="H35"/>
  <c r="I35"/>
  <c r="J35"/>
  <c r="K35"/>
  <c r="L35"/>
  <c r="M35"/>
  <c r="N35"/>
  <c r="O35"/>
  <c r="B36"/>
  <c r="D38"/>
  <c r="E38"/>
  <c r="F38"/>
  <c r="G38"/>
  <c r="H38"/>
  <c r="I38"/>
  <c r="J38"/>
  <c r="K38"/>
  <c r="L38"/>
  <c r="M38"/>
  <c r="N38"/>
  <c r="O38"/>
  <c r="B39"/>
  <c r="B40"/>
  <c r="B41"/>
  <c r="C43"/>
  <c r="B45"/>
  <c r="B46"/>
  <c r="D47"/>
  <c r="E47"/>
  <c r="F47"/>
  <c r="G47"/>
  <c r="H47"/>
  <c r="I47"/>
  <c r="J47"/>
  <c r="K47"/>
  <c r="L47"/>
  <c r="M47"/>
  <c r="N47"/>
  <c r="O47"/>
  <c r="B48"/>
  <c r="D48"/>
  <c r="E48"/>
  <c r="F48"/>
  <c r="G48"/>
  <c r="H48"/>
  <c r="I48"/>
  <c r="J48"/>
  <c r="K48"/>
  <c r="L48"/>
  <c r="M48"/>
  <c r="N48"/>
  <c r="O48"/>
  <c r="B49"/>
  <c r="D51"/>
  <c r="E51"/>
  <c r="F51"/>
  <c r="G51"/>
  <c r="H51"/>
  <c r="I51"/>
  <c r="J51"/>
  <c r="K51"/>
  <c r="L51"/>
  <c r="M51"/>
  <c r="N51"/>
  <c r="O51"/>
  <c r="B52"/>
  <c r="B53"/>
  <c r="B54"/>
  <c r="C56"/>
  <c r="B58"/>
  <c r="B59"/>
  <c r="H60"/>
  <c r="I60"/>
  <c r="J60"/>
  <c r="K60"/>
  <c r="L60"/>
  <c r="B61"/>
  <c r="H61"/>
  <c r="I61"/>
  <c r="J61"/>
  <c r="K61"/>
  <c r="L61"/>
  <c r="B62"/>
  <c r="B65"/>
  <c r="B66"/>
  <c r="B67"/>
  <c r="C3" i="148"/>
  <c r="B5"/>
  <c r="D5"/>
  <c r="E5"/>
  <c r="F5"/>
  <c r="G5"/>
  <c r="H5"/>
  <c r="I5"/>
  <c r="J5"/>
  <c r="K5"/>
  <c r="L5"/>
  <c r="M5"/>
  <c r="N5"/>
  <c r="O5"/>
  <c r="B6"/>
  <c r="D7"/>
  <c r="E7"/>
  <c r="F7"/>
  <c r="G7"/>
  <c r="H7"/>
  <c r="I7"/>
  <c r="J7"/>
  <c r="K7"/>
  <c r="L7"/>
  <c r="M7"/>
  <c r="N7"/>
  <c r="O7"/>
  <c r="B8"/>
  <c r="D8"/>
  <c r="E8"/>
  <c r="F8"/>
  <c r="G8"/>
  <c r="H8"/>
  <c r="I8"/>
  <c r="J8"/>
  <c r="K8"/>
  <c r="L8"/>
  <c r="M8"/>
  <c r="N8"/>
  <c r="O8"/>
  <c r="B9"/>
  <c r="D11"/>
  <c r="E11"/>
  <c r="F11"/>
  <c r="G11"/>
  <c r="H11"/>
  <c r="I11"/>
  <c r="J11"/>
  <c r="K11"/>
  <c r="L11"/>
  <c r="M11"/>
  <c r="N11"/>
  <c r="O11"/>
  <c r="B12"/>
  <c r="B13"/>
  <c r="B14"/>
  <c r="C16"/>
  <c r="B18"/>
  <c r="B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3"/>
  <c r="E33"/>
  <c r="F33"/>
  <c r="G33"/>
  <c r="H33"/>
  <c r="I33"/>
  <c r="J33"/>
  <c r="K33"/>
  <c r="L33"/>
  <c r="M33"/>
  <c r="N33"/>
  <c r="O33"/>
  <c r="B34"/>
  <c r="D34"/>
  <c r="E34"/>
  <c r="F34"/>
  <c r="G34"/>
  <c r="H34"/>
  <c r="I34"/>
  <c r="J34"/>
  <c r="K34"/>
  <c r="L34"/>
  <c r="M34"/>
  <c r="N34"/>
  <c r="O34"/>
  <c r="B35"/>
  <c r="B37"/>
  <c r="D37"/>
  <c r="E37"/>
  <c r="F37"/>
  <c r="G37"/>
  <c r="H37"/>
  <c r="I37"/>
  <c r="J37"/>
  <c r="K37"/>
  <c r="L37"/>
  <c r="M37"/>
  <c r="N37"/>
  <c r="O37"/>
  <c r="B38"/>
  <c r="B39"/>
  <c r="D39"/>
  <c r="E39"/>
  <c r="G39"/>
  <c r="H39"/>
  <c r="I39"/>
  <c r="K39"/>
  <c r="L39"/>
  <c r="M39"/>
  <c r="O39"/>
  <c r="B40"/>
  <c r="B47"/>
  <c r="B48"/>
  <c r="B49"/>
  <c r="B50"/>
  <c r="C52"/>
  <c r="B54"/>
  <c r="B55"/>
  <c r="B57"/>
  <c r="D57"/>
  <c r="E57"/>
  <c r="F57"/>
  <c r="G57"/>
  <c r="H57"/>
  <c r="I57"/>
  <c r="J57"/>
  <c r="K57"/>
  <c r="L57"/>
  <c r="M57"/>
  <c r="N57"/>
  <c r="O57"/>
  <c r="B58"/>
  <c r="D60"/>
  <c r="E60"/>
  <c r="F60"/>
  <c r="G60"/>
  <c r="H60"/>
  <c r="I60"/>
  <c r="J60"/>
  <c r="K60"/>
  <c r="L60"/>
  <c r="M60"/>
  <c r="N60"/>
  <c r="O60"/>
  <c r="B61"/>
  <c r="B62"/>
  <c r="B63"/>
  <c r="C3" i="171"/>
  <c r="B5"/>
  <c r="B6"/>
  <c r="B7"/>
  <c r="D8"/>
  <c r="E8"/>
  <c r="F8"/>
  <c r="G8"/>
  <c r="H8"/>
  <c r="I8"/>
  <c r="J8"/>
  <c r="K8"/>
  <c r="L8"/>
  <c r="M8"/>
  <c r="N8"/>
  <c r="O8"/>
  <c r="B9"/>
  <c r="D9"/>
  <c r="E9"/>
  <c r="F9"/>
  <c r="G9"/>
  <c r="H9"/>
  <c r="I9"/>
  <c r="J9"/>
  <c r="K9"/>
  <c r="L9"/>
  <c r="M9"/>
  <c r="N9"/>
  <c r="O9"/>
  <c r="B10"/>
  <c r="D12"/>
  <c r="E12"/>
  <c r="F12"/>
  <c r="G12"/>
  <c r="H12"/>
  <c r="I12"/>
  <c r="J12"/>
  <c r="K12"/>
  <c r="L12"/>
  <c r="M12"/>
  <c r="N12"/>
  <c r="O12"/>
  <c r="B13"/>
  <c r="B14"/>
  <c r="B15"/>
  <c r="C17"/>
  <c r="B19"/>
  <c r="B20"/>
  <c r="D21"/>
  <c r="E21"/>
  <c r="F21"/>
  <c r="G21"/>
  <c r="H21"/>
  <c r="I21"/>
  <c r="J21"/>
  <c r="K21"/>
  <c r="L21"/>
  <c r="M21"/>
  <c r="N21"/>
  <c r="O21"/>
  <c r="B22"/>
  <c r="D22"/>
  <c r="E22"/>
  <c r="F22"/>
  <c r="G22"/>
  <c r="H22"/>
  <c r="I22"/>
  <c r="J22"/>
  <c r="K22"/>
  <c r="L22"/>
  <c r="M22"/>
  <c r="N22"/>
  <c r="O22"/>
  <c r="B23"/>
  <c r="D25"/>
  <c r="E25"/>
  <c r="F25"/>
  <c r="G25"/>
  <c r="H25"/>
  <c r="I25"/>
  <c r="J25"/>
  <c r="K25"/>
  <c r="L25"/>
  <c r="M25"/>
  <c r="N25"/>
  <c r="O25"/>
  <c r="B26"/>
  <c r="B27"/>
  <c r="B28"/>
  <c r="C30"/>
  <c r="B32"/>
  <c r="B33"/>
  <c r="D34"/>
  <c r="E34"/>
  <c r="F34"/>
  <c r="G34"/>
  <c r="H34"/>
  <c r="I34"/>
  <c r="J34"/>
  <c r="K34"/>
  <c r="L34"/>
  <c r="M34"/>
  <c r="N34"/>
  <c r="O34"/>
  <c r="B35"/>
  <c r="D35"/>
  <c r="E35"/>
  <c r="F35"/>
  <c r="G35"/>
  <c r="H35"/>
  <c r="I35"/>
  <c r="J35"/>
  <c r="K35"/>
  <c r="L35"/>
  <c r="M35"/>
  <c r="N35"/>
  <c r="O35"/>
  <c r="B36"/>
  <c r="B39"/>
  <c r="B40"/>
  <c r="B41"/>
  <c r="C3" i="175"/>
  <c r="B5"/>
  <c r="B6"/>
  <c r="B8"/>
  <c r="D8"/>
  <c r="E8"/>
  <c r="F8"/>
  <c r="G8"/>
  <c r="H8"/>
  <c r="I8"/>
  <c r="J8"/>
  <c r="K8"/>
  <c r="L8"/>
  <c r="M8"/>
  <c r="N8"/>
  <c r="O8"/>
  <c r="B9"/>
  <c r="D11"/>
  <c r="E11"/>
  <c r="F11"/>
  <c r="G11"/>
  <c r="H11"/>
  <c r="I11"/>
  <c r="J11"/>
  <c r="K11"/>
  <c r="L11"/>
  <c r="M11"/>
  <c r="N11"/>
  <c r="O11"/>
  <c r="B12"/>
  <c r="B13"/>
  <c r="B14"/>
  <c r="C16"/>
  <c r="B18"/>
  <c r="B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3"/>
  <c r="E33"/>
  <c r="F33"/>
  <c r="G33"/>
  <c r="H33"/>
  <c r="I33"/>
  <c r="J33"/>
  <c r="K33"/>
  <c r="L33"/>
  <c r="M33"/>
  <c r="N33"/>
  <c r="O33"/>
  <c r="B34"/>
  <c r="D34"/>
  <c r="E34"/>
  <c r="F34"/>
  <c r="G34"/>
  <c r="H34"/>
  <c r="I34"/>
  <c r="J34"/>
  <c r="K34"/>
  <c r="L34"/>
  <c r="M34"/>
  <c r="N34"/>
  <c r="O34"/>
  <c r="B35"/>
  <c r="D37"/>
  <c r="E37"/>
  <c r="F37"/>
  <c r="G37"/>
  <c r="H37"/>
  <c r="I37"/>
  <c r="J37"/>
  <c r="K37"/>
  <c r="L37"/>
  <c r="M37"/>
  <c r="N37"/>
  <c r="O37"/>
  <c r="B38"/>
  <c r="B39"/>
  <c r="B40"/>
  <c r="C42"/>
  <c r="B44"/>
  <c r="B45"/>
  <c r="D46"/>
  <c r="E46"/>
  <c r="F46"/>
  <c r="G46"/>
  <c r="H46"/>
  <c r="I46"/>
  <c r="J46"/>
  <c r="K46"/>
  <c r="L46"/>
  <c r="M46"/>
  <c r="N46"/>
  <c r="O46"/>
  <c r="B47"/>
  <c r="D47"/>
  <c r="E47"/>
  <c r="F47"/>
  <c r="G47"/>
  <c r="H47"/>
  <c r="I47"/>
  <c r="J47"/>
  <c r="K47"/>
  <c r="L47"/>
  <c r="M47"/>
  <c r="N47"/>
  <c r="O47"/>
  <c r="B48"/>
  <c r="D50"/>
  <c r="E50"/>
  <c r="F50"/>
  <c r="G50"/>
  <c r="H50"/>
  <c r="I50"/>
  <c r="J50"/>
  <c r="K50"/>
  <c r="L50"/>
  <c r="M50"/>
  <c r="N50"/>
  <c r="O50"/>
  <c r="B51"/>
  <c r="B52"/>
  <c r="B53"/>
  <c r="C3" i="176"/>
  <c r="B5"/>
  <c r="B6"/>
  <c r="D7"/>
  <c r="E7"/>
  <c r="F7"/>
  <c r="G7"/>
  <c r="H7"/>
  <c r="I7"/>
  <c r="J7"/>
  <c r="K7"/>
  <c r="L7"/>
  <c r="M7"/>
  <c r="N7"/>
  <c r="O7"/>
  <c r="B8"/>
  <c r="D8"/>
  <c r="E8"/>
  <c r="F8"/>
  <c r="G8"/>
  <c r="H8"/>
  <c r="I8"/>
  <c r="J8"/>
  <c r="K8"/>
  <c r="L8"/>
  <c r="M8"/>
  <c r="N8"/>
  <c r="O8"/>
  <c r="B9"/>
  <c r="D11"/>
  <c r="E11"/>
  <c r="F11"/>
  <c r="G11"/>
  <c r="H11"/>
  <c r="I11"/>
  <c r="J11"/>
  <c r="K11"/>
  <c r="L11"/>
  <c r="M11"/>
  <c r="N11"/>
  <c r="O11"/>
  <c r="B12"/>
  <c r="B13"/>
  <c r="B14"/>
  <c r="C16"/>
  <c r="B18"/>
  <c r="B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3"/>
  <c r="E33"/>
  <c r="F33"/>
  <c r="G33"/>
  <c r="H33"/>
  <c r="I33"/>
  <c r="J33"/>
  <c r="K33"/>
  <c r="L33"/>
  <c r="M33"/>
  <c r="N33"/>
  <c r="O33"/>
  <c r="B34"/>
  <c r="D34"/>
  <c r="E34"/>
  <c r="F34"/>
  <c r="G34"/>
  <c r="H34"/>
  <c r="I34"/>
  <c r="J34"/>
  <c r="K34"/>
  <c r="L34"/>
  <c r="M34"/>
  <c r="N34"/>
  <c r="O34"/>
  <c r="B35"/>
  <c r="D37"/>
  <c r="E37"/>
  <c r="F37"/>
  <c r="G37"/>
  <c r="H37"/>
  <c r="I37"/>
  <c r="J37"/>
  <c r="K37"/>
  <c r="L37"/>
  <c r="M37"/>
  <c r="N37"/>
  <c r="O37"/>
  <c r="B38"/>
  <c r="B39"/>
  <c r="B40"/>
  <c r="C42"/>
  <c r="B44"/>
  <c r="B45"/>
  <c r="D46"/>
  <c r="E46"/>
  <c r="F46"/>
  <c r="G46"/>
  <c r="H46"/>
  <c r="I46"/>
  <c r="J46"/>
  <c r="K46"/>
  <c r="L46"/>
  <c r="M46"/>
  <c r="N46"/>
  <c r="O46"/>
  <c r="B47"/>
  <c r="D47"/>
  <c r="E47"/>
  <c r="F47"/>
  <c r="G47"/>
  <c r="H47"/>
  <c r="I47"/>
  <c r="J47"/>
  <c r="K47"/>
  <c r="L47"/>
  <c r="M47"/>
  <c r="N47"/>
  <c r="O47"/>
  <c r="B48"/>
  <c r="D50"/>
  <c r="E50"/>
  <c r="F50"/>
  <c r="G50"/>
  <c r="H50"/>
  <c r="I50"/>
  <c r="J50"/>
  <c r="K50"/>
  <c r="L50"/>
  <c r="M50"/>
  <c r="N50"/>
  <c r="O50"/>
  <c r="B51"/>
  <c r="B52"/>
  <c r="B53"/>
  <c r="C55"/>
  <c r="B57"/>
  <c r="B58"/>
  <c r="D59"/>
  <c r="E59"/>
  <c r="F59"/>
  <c r="G59"/>
  <c r="H59"/>
  <c r="I59"/>
  <c r="J59"/>
  <c r="K59"/>
  <c r="L59"/>
  <c r="M59"/>
  <c r="N59"/>
  <c r="O59"/>
  <c r="B60"/>
  <c r="D60"/>
  <c r="E60"/>
  <c r="F60"/>
  <c r="G60"/>
  <c r="H60"/>
  <c r="I60"/>
  <c r="J60"/>
  <c r="K60"/>
  <c r="L60"/>
  <c r="M60"/>
  <c r="N60"/>
  <c r="O60"/>
  <c r="B61"/>
  <c r="B64"/>
  <c r="B65"/>
  <c r="B66"/>
  <c r="C3" i="177"/>
  <c r="B5"/>
  <c r="B6"/>
  <c r="B8"/>
  <c r="D8"/>
  <c r="E8"/>
  <c r="F8"/>
  <c r="G8"/>
  <c r="H8"/>
  <c r="I8"/>
  <c r="J8"/>
  <c r="K8"/>
  <c r="L8"/>
  <c r="M8"/>
  <c r="N8"/>
  <c r="O8"/>
  <c r="B9"/>
  <c r="D11"/>
  <c r="E11"/>
  <c r="F11"/>
  <c r="G11"/>
  <c r="H11"/>
  <c r="I11"/>
  <c r="J11"/>
  <c r="K11"/>
  <c r="L11"/>
  <c r="M11"/>
  <c r="N11"/>
  <c r="O11"/>
  <c r="B12"/>
  <c r="B13"/>
  <c r="B14"/>
  <c r="C16"/>
  <c r="B18"/>
  <c r="B19"/>
  <c r="D20"/>
  <c r="E20"/>
  <c r="F20"/>
  <c r="G20"/>
  <c r="H20"/>
  <c r="I20"/>
  <c r="J20"/>
  <c r="K20"/>
  <c r="L20"/>
  <c r="M20"/>
  <c r="N20"/>
  <c r="O20"/>
  <c r="B21"/>
  <c r="D21"/>
  <c r="E21"/>
  <c r="F21"/>
  <c r="G21"/>
  <c r="H21"/>
  <c r="I21"/>
  <c r="J21"/>
  <c r="K21"/>
  <c r="L21"/>
  <c r="M21"/>
  <c r="N21"/>
  <c r="O21"/>
  <c r="B22"/>
  <c r="B24"/>
  <c r="D24"/>
  <c r="E24"/>
  <c r="F24"/>
  <c r="G24"/>
  <c r="G27" s="1"/>
  <c r="H24"/>
  <c r="I24"/>
  <c r="J24"/>
  <c r="K24"/>
  <c r="L24"/>
  <c r="M24"/>
  <c r="N24"/>
  <c r="O24"/>
  <c r="B25"/>
  <c r="B26"/>
  <c r="D26"/>
  <c r="F26"/>
  <c r="G26"/>
  <c r="H26"/>
  <c r="J26"/>
  <c r="K26"/>
  <c r="L26"/>
  <c r="N26"/>
  <c r="O26"/>
  <c r="B27"/>
  <c r="B34"/>
  <c r="B35"/>
  <c r="B36"/>
  <c r="B37"/>
  <c r="C3" i="245"/>
  <c r="B5"/>
  <c r="B6"/>
  <c r="B8"/>
  <c r="D8"/>
  <c r="E8"/>
  <c r="F8"/>
  <c r="G8"/>
  <c r="H8"/>
  <c r="I8"/>
  <c r="J8"/>
  <c r="K8"/>
  <c r="L8"/>
  <c r="M8"/>
  <c r="N8"/>
  <c r="O8"/>
  <c r="B9"/>
  <c r="D11"/>
  <c r="E11"/>
  <c r="F11"/>
  <c r="G11"/>
  <c r="H11"/>
  <c r="I11"/>
  <c r="J11"/>
  <c r="K11"/>
  <c r="L11"/>
  <c r="M11"/>
  <c r="N11"/>
  <c r="O11"/>
  <c r="B12"/>
  <c r="B13"/>
  <c r="B14"/>
  <c r="C16"/>
  <c r="B18"/>
  <c r="B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3"/>
  <c r="E33"/>
  <c r="F33"/>
  <c r="G33"/>
  <c r="H33"/>
  <c r="I33"/>
  <c r="J33"/>
  <c r="K33"/>
  <c r="L33"/>
  <c r="M33"/>
  <c r="N33"/>
  <c r="O33"/>
  <c r="B34"/>
  <c r="D34"/>
  <c r="E34"/>
  <c r="F34"/>
  <c r="G34"/>
  <c r="H34"/>
  <c r="I34"/>
  <c r="J34"/>
  <c r="K34"/>
  <c r="L34"/>
  <c r="M34"/>
  <c r="N34"/>
  <c r="O34"/>
  <c r="B35"/>
  <c r="D37"/>
  <c r="E37"/>
  <c r="F37"/>
  <c r="G37"/>
  <c r="H37"/>
  <c r="I37"/>
  <c r="J37"/>
  <c r="K37"/>
  <c r="L37"/>
  <c r="M37"/>
  <c r="N37"/>
  <c r="O37"/>
  <c r="B38"/>
  <c r="B39"/>
  <c r="B40"/>
  <c r="C42"/>
  <c r="B44"/>
  <c r="B45"/>
  <c r="D46"/>
  <c r="E46"/>
  <c r="F46"/>
  <c r="G46"/>
  <c r="H46"/>
  <c r="I46"/>
  <c r="J46"/>
  <c r="K46"/>
  <c r="L46"/>
  <c r="M46"/>
  <c r="N46"/>
  <c r="O46"/>
  <c r="B47"/>
  <c r="D47"/>
  <c r="E47"/>
  <c r="F47"/>
  <c r="G47"/>
  <c r="H47"/>
  <c r="I47"/>
  <c r="J47"/>
  <c r="K47"/>
  <c r="L47"/>
  <c r="M47"/>
  <c r="N47"/>
  <c r="O47"/>
  <c r="B48"/>
  <c r="D50"/>
  <c r="E50"/>
  <c r="F50"/>
  <c r="G50"/>
  <c r="H50"/>
  <c r="I50"/>
  <c r="J50"/>
  <c r="K50"/>
  <c r="L50"/>
  <c r="M50"/>
  <c r="N50"/>
  <c r="O50"/>
  <c r="B51"/>
  <c r="B52"/>
  <c r="B53"/>
  <c r="C55"/>
  <c r="B57"/>
  <c r="B58"/>
  <c r="D59"/>
  <c r="E59"/>
  <c r="F59"/>
  <c r="G59"/>
  <c r="H59"/>
  <c r="I59"/>
  <c r="J59"/>
  <c r="K59"/>
  <c r="L59"/>
  <c r="M59"/>
  <c r="N59"/>
  <c r="O59"/>
  <c r="B60"/>
  <c r="D60"/>
  <c r="E60"/>
  <c r="F60"/>
  <c r="G60"/>
  <c r="H60"/>
  <c r="I60"/>
  <c r="J60"/>
  <c r="K60"/>
  <c r="L60"/>
  <c r="M60"/>
  <c r="N60"/>
  <c r="O60"/>
  <c r="B61"/>
  <c r="B64"/>
  <c r="B65"/>
  <c r="B66"/>
  <c r="C3" i="244"/>
  <c r="B5"/>
  <c r="B6"/>
  <c r="B8"/>
  <c r="D8"/>
  <c r="E8"/>
  <c r="F8"/>
  <c r="G8"/>
  <c r="H8"/>
  <c r="I8"/>
  <c r="J8"/>
  <c r="K8"/>
  <c r="L8"/>
  <c r="M8"/>
  <c r="N8"/>
  <c r="O8"/>
  <c r="B9"/>
  <c r="D11"/>
  <c r="E11"/>
  <c r="F11"/>
  <c r="G11"/>
  <c r="H11"/>
  <c r="I11"/>
  <c r="J11"/>
  <c r="K11"/>
  <c r="L11"/>
  <c r="M11"/>
  <c r="N11"/>
  <c r="O11"/>
  <c r="B12"/>
  <c r="B13"/>
  <c r="B14"/>
  <c r="C16"/>
  <c r="B18"/>
  <c r="B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3"/>
  <c r="E33"/>
  <c r="F33"/>
  <c r="G33"/>
  <c r="H33"/>
  <c r="I33"/>
  <c r="J33"/>
  <c r="K33"/>
  <c r="L33"/>
  <c r="M33"/>
  <c r="N33"/>
  <c r="O33"/>
  <c r="B34"/>
  <c r="D34"/>
  <c r="E34"/>
  <c r="F34"/>
  <c r="G34"/>
  <c r="H34"/>
  <c r="I34"/>
  <c r="J34"/>
  <c r="K34"/>
  <c r="L34"/>
  <c r="M34"/>
  <c r="N34"/>
  <c r="O34"/>
  <c r="B35"/>
  <c r="B38"/>
  <c r="B39"/>
  <c r="B40"/>
  <c r="C3" i="243"/>
  <c r="B5"/>
  <c r="B6"/>
  <c r="B8"/>
  <c r="D8"/>
  <c r="E8"/>
  <c r="F8"/>
  <c r="G8"/>
  <c r="H8"/>
  <c r="I8"/>
  <c r="J8"/>
  <c r="K8"/>
  <c r="L8"/>
  <c r="M8"/>
  <c r="N8"/>
  <c r="O8"/>
  <c r="B9"/>
  <c r="D11"/>
  <c r="E11"/>
  <c r="F11"/>
  <c r="G11"/>
  <c r="H11"/>
  <c r="I11"/>
  <c r="J11"/>
  <c r="K11"/>
  <c r="L11"/>
  <c r="M11"/>
  <c r="N11"/>
  <c r="O11"/>
  <c r="B12"/>
  <c r="B13"/>
  <c r="B14"/>
  <c r="C16"/>
  <c r="B18"/>
  <c r="B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B33"/>
  <c r="D34"/>
  <c r="E34"/>
  <c r="F34"/>
  <c r="G34"/>
  <c r="H34"/>
  <c r="I34"/>
  <c r="J34"/>
  <c r="K34"/>
  <c r="L34"/>
  <c r="M34"/>
  <c r="N34"/>
  <c r="O34"/>
  <c r="B35"/>
  <c r="D35"/>
  <c r="E35"/>
  <c r="F35"/>
  <c r="G35"/>
  <c r="H35"/>
  <c r="I35"/>
  <c r="J35"/>
  <c r="K35"/>
  <c r="L35"/>
  <c r="M35"/>
  <c r="N35"/>
  <c r="O35"/>
  <c r="B36"/>
  <c r="B39"/>
  <c r="B40"/>
  <c r="B41"/>
  <c r="C6" i="157"/>
  <c r="C7"/>
  <c r="C8"/>
  <c r="C9"/>
  <c r="C10"/>
  <c r="C11"/>
  <c r="C12"/>
  <c r="C13"/>
  <c r="C14"/>
  <c r="C15"/>
  <c r="E40" i="148" l="1"/>
  <c r="G40"/>
  <c r="N27" i="177"/>
  <c r="E144" i="187"/>
  <c r="M144"/>
  <c r="I144"/>
  <c r="L123"/>
  <c r="F63"/>
  <c r="O63"/>
  <c r="K63"/>
  <c r="G63"/>
  <c r="O16"/>
  <c r="K16"/>
  <c r="G16"/>
  <c r="F163"/>
  <c r="N128"/>
  <c r="O128"/>
  <c r="K128"/>
  <c r="P48"/>
  <c r="M48"/>
  <c r="I48"/>
  <c r="J128"/>
  <c r="G128"/>
  <c r="M128"/>
  <c r="I128"/>
  <c r="P128"/>
  <c r="L128"/>
  <c r="H128"/>
  <c r="L48"/>
  <c r="H48"/>
  <c r="N48"/>
  <c r="J48"/>
  <c r="O48"/>
  <c r="K48"/>
  <c r="G48"/>
  <c r="F128"/>
  <c r="E128"/>
  <c r="E48"/>
  <c r="L144"/>
  <c r="O86"/>
  <c r="K86"/>
  <c r="G86"/>
  <c r="H41"/>
  <c r="O24" i="109"/>
  <c r="G24"/>
  <c r="K104" i="187"/>
  <c r="N16"/>
  <c r="O163"/>
  <c r="K163"/>
  <c r="G163"/>
  <c r="N163"/>
  <c r="J163"/>
  <c r="P86"/>
  <c r="E41"/>
  <c r="J16"/>
  <c r="H123"/>
  <c r="E86"/>
  <c r="P16"/>
  <c r="L16"/>
  <c r="P163"/>
  <c r="L163"/>
  <c r="H163"/>
  <c r="E104"/>
  <c r="O123"/>
  <c r="K123"/>
  <c r="G123"/>
  <c r="H16"/>
  <c r="P144"/>
  <c r="H144"/>
  <c r="P123"/>
  <c r="M104"/>
  <c r="I104"/>
  <c r="F104"/>
  <c r="M86"/>
  <c r="I86"/>
  <c r="I63"/>
  <c r="N63"/>
  <c r="M41"/>
  <c r="I41"/>
  <c r="F144"/>
  <c r="F16"/>
  <c r="N144"/>
  <c r="J144"/>
  <c r="O144"/>
  <c r="K144"/>
  <c r="G144"/>
  <c r="N104"/>
  <c r="J104"/>
  <c r="O104"/>
  <c r="G104"/>
  <c r="L86"/>
  <c r="H86"/>
  <c r="J63"/>
  <c r="O41"/>
  <c r="K41"/>
  <c r="G41"/>
  <c r="P41"/>
  <c r="L41"/>
  <c r="N86"/>
  <c r="J86"/>
  <c r="F86"/>
  <c r="M63"/>
  <c r="E63"/>
  <c r="G102" i="109"/>
  <c r="O554"/>
  <c r="H552"/>
  <c r="P512"/>
  <c r="L511"/>
  <c r="H483"/>
  <c r="P439"/>
  <c r="G173"/>
  <c r="K31"/>
  <c r="J27" i="177"/>
  <c r="F27"/>
  <c r="M40" i="148"/>
  <c r="I40"/>
  <c r="M123" i="187"/>
  <c r="I123"/>
  <c r="E123"/>
  <c r="N123"/>
  <c r="J123"/>
  <c r="F123"/>
  <c r="N41"/>
  <c r="J41"/>
  <c r="F41"/>
  <c r="O27" i="177"/>
  <c r="K27"/>
  <c r="E583" i="109"/>
  <c r="J203"/>
  <c r="O182"/>
  <c r="H21"/>
  <c r="M163" i="187"/>
  <c r="I163"/>
  <c r="E163"/>
  <c r="E176" s="1"/>
  <c r="P63"/>
  <c r="L63"/>
  <c r="H63"/>
  <c r="O40" i="148"/>
  <c r="K40"/>
  <c r="J306" i="109"/>
  <c r="O104"/>
  <c r="H62"/>
  <c r="M16" i="187"/>
  <c r="I16"/>
  <c r="E16"/>
  <c r="L40" i="148"/>
  <c r="H40"/>
  <c r="D40"/>
  <c r="P623" i="109"/>
  <c r="K493"/>
  <c r="P245"/>
  <c r="O33"/>
  <c r="K34"/>
  <c r="G33"/>
  <c r="O14"/>
  <c r="P104" i="187"/>
  <c r="L104"/>
  <c r="H104"/>
  <c r="O625" i="109"/>
  <c r="K626"/>
  <c r="G625"/>
  <c r="O552"/>
  <c r="L553"/>
  <c r="P524"/>
  <c r="L523"/>
  <c r="H522"/>
  <c r="L442"/>
  <c r="J337"/>
  <c r="M285"/>
  <c r="I285"/>
  <c r="E285"/>
  <c r="J216"/>
  <c r="K175"/>
  <c r="J162"/>
  <c r="P73"/>
  <c r="H44"/>
  <c r="O22"/>
  <c r="K21"/>
  <c r="H23"/>
  <c r="L606"/>
  <c r="H594"/>
  <c r="P574"/>
  <c r="K574"/>
  <c r="G573"/>
  <c r="L503"/>
  <c r="L481"/>
  <c r="G484"/>
  <c r="H461"/>
  <c r="L429"/>
  <c r="P410"/>
  <c r="H408"/>
  <c r="K255"/>
  <c r="N194"/>
  <c r="L54"/>
  <c r="K33"/>
  <c r="H22"/>
  <c r="J563"/>
  <c r="L471"/>
  <c r="H474"/>
  <c r="P380"/>
  <c r="N357"/>
  <c r="J359"/>
  <c r="F359"/>
  <c r="G277"/>
  <c r="E236"/>
  <c r="G122"/>
  <c r="L81"/>
  <c r="H34"/>
  <c r="G12"/>
  <c r="H615"/>
  <c r="P534"/>
  <c r="L533"/>
  <c r="H532"/>
  <c r="M493"/>
  <c r="I492"/>
  <c r="E493"/>
  <c r="J482"/>
  <c r="L462"/>
  <c r="P451"/>
  <c r="O432"/>
  <c r="G432"/>
  <c r="P390"/>
  <c r="H388"/>
  <c r="N315"/>
  <c r="J318"/>
  <c r="F317"/>
  <c r="F305"/>
  <c r="N298"/>
  <c r="F296"/>
  <c r="K264"/>
  <c r="G267"/>
  <c r="L254"/>
  <c r="H254"/>
  <c r="E225"/>
  <c r="E213"/>
  <c r="M213"/>
  <c r="I213"/>
  <c r="F192"/>
  <c r="J172"/>
  <c r="F175"/>
  <c r="O141"/>
  <c r="O131"/>
  <c r="K134"/>
  <c r="G113"/>
  <c r="G93"/>
  <c r="H84"/>
  <c r="P64"/>
  <c r="O12"/>
  <c r="K13"/>
  <c r="L616"/>
  <c r="P605"/>
  <c r="L604"/>
  <c r="H603"/>
  <c r="E584"/>
  <c r="M584"/>
  <c r="I583"/>
  <c r="P542"/>
  <c r="L541"/>
  <c r="H544"/>
  <c r="O492"/>
  <c r="H491"/>
  <c r="P461"/>
  <c r="L464"/>
  <c r="H463"/>
  <c r="P430"/>
  <c r="P419"/>
  <c r="L419"/>
  <c r="H418"/>
  <c r="P388"/>
  <c r="L387"/>
  <c r="H390"/>
  <c r="N348"/>
  <c r="J347"/>
  <c r="F350"/>
  <c r="F336"/>
  <c r="J297"/>
  <c r="O265"/>
  <c r="E244"/>
  <c r="L246"/>
  <c r="H245"/>
  <c r="M234"/>
  <c r="I237"/>
  <c r="N223"/>
  <c r="I226"/>
  <c r="F215"/>
  <c r="N204"/>
  <c r="F206"/>
  <c r="J193"/>
  <c r="N185"/>
  <c r="J184"/>
  <c r="L173"/>
  <c r="H174"/>
  <c r="M151"/>
  <c r="I151"/>
  <c r="E151"/>
  <c r="F144"/>
  <c r="O124"/>
  <c r="K123"/>
  <c r="O114"/>
  <c r="K94"/>
  <c r="P82"/>
  <c r="P72"/>
  <c r="L71"/>
  <c r="H74"/>
  <c r="L63"/>
  <c r="P53"/>
  <c r="L52"/>
  <c r="H51"/>
  <c r="N41"/>
  <c r="O34"/>
  <c r="P613"/>
  <c r="P595"/>
  <c r="L594"/>
  <c r="H593"/>
  <c r="N572"/>
  <c r="E574"/>
  <c r="E563"/>
  <c r="M564"/>
  <c r="H564"/>
  <c r="J554"/>
  <c r="L543"/>
  <c r="H514"/>
  <c r="I481"/>
  <c r="H441"/>
  <c r="N408"/>
  <c r="J408"/>
  <c r="F408"/>
  <c r="M378"/>
  <c r="J377"/>
  <c r="F329"/>
  <c r="O288"/>
  <c r="G286"/>
  <c r="O275"/>
  <c r="K278"/>
  <c r="N154"/>
  <c r="K32"/>
  <c r="G21"/>
  <c r="L22"/>
  <c r="H24"/>
  <c r="L595"/>
  <c r="I584"/>
  <c r="L573"/>
  <c r="K551"/>
  <c r="N551"/>
  <c r="J552"/>
  <c r="F553"/>
  <c r="H534"/>
  <c r="P491"/>
  <c r="G481"/>
  <c r="O482"/>
  <c r="P472"/>
  <c r="P420"/>
  <c r="P398"/>
  <c r="L401"/>
  <c r="H400"/>
  <c r="H380"/>
  <c r="N336"/>
  <c r="J339"/>
  <c r="F338"/>
  <c r="N327"/>
  <c r="F318"/>
  <c r="N305"/>
  <c r="J308"/>
  <c r="F307"/>
  <c r="G295"/>
  <c r="O295"/>
  <c r="K295"/>
  <c r="F298"/>
  <c r="O278"/>
  <c r="K277"/>
  <c r="G276"/>
  <c r="P254"/>
  <c r="K257"/>
  <c r="G256"/>
  <c r="M225"/>
  <c r="J223"/>
  <c r="F223"/>
  <c r="N203"/>
  <c r="J206"/>
  <c r="F205"/>
  <c r="N184"/>
  <c r="J182"/>
  <c r="F184"/>
  <c r="N173"/>
  <c r="K172"/>
  <c r="G175"/>
  <c r="N163"/>
  <c r="F165"/>
  <c r="N142"/>
  <c r="J144"/>
  <c r="F143"/>
  <c r="O122"/>
  <c r="K121"/>
  <c r="G124"/>
  <c r="K113"/>
  <c r="G111"/>
  <c r="L72"/>
  <c r="N61"/>
  <c r="J61"/>
  <c r="F61"/>
  <c r="H53"/>
  <c r="M41"/>
  <c r="I41"/>
  <c r="E41"/>
  <c r="N34"/>
  <c r="J34"/>
  <c r="F34"/>
  <c r="K24"/>
  <c r="L11"/>
  <c r="O624"/>
  <c r="G624"/>
  <c r="O626"/>
  <c r="H623"/>
  <c r="P603"/>
  <c r="P594"/>
  <c r="I592"/>
  <c r="E592"/>
  <c r="M585"/>
  <c r="F582"/>
  <c r="N582"/>
  <c r="M583"/>
  <c r="N575"/>
  <c r="I572"/>
  <c r="H562"/>
  <c r="N562"/>
  <c r="L565"/>
  <c r="F565"/>
  <c r="G22"/>
  <c r="G626"/>
  <c r="P615"/>
  <c r="L614"/>
  <c r="H613"/>
  <c r="H605"/>
  <c r="G553"/>
  <c r="O551"/>
  <c r="H551"/>
  <c r="O511"/>
  <c r="K511"/>
  <c r="G511"/>
  <c r="E501"/>
  <c r="L502"/>
  <c r="H502"/>
  <c r="G494"/>
  <c r="O481"/>
  <c r="K483"/>
  <c r="G482"/>
  <c r="P474"/>
  <c r="L473"/>
  <c r="H472"/>
  <c r="P453"/>
  <c r="L450"/>
  <c r="H453"/>
  <c r="P429"/>
  <c r="L431"/>
  <c r="H430"/>
  <c r="P401"/>
  <c r="H399"/>
  <c r="N377"/>
  <c r="N368"/>
  <c r="J367"/>
  <c r="N358"/>
  <c r="F358"/>
  <c r="N338"/>
  <c r="J326"/>
  <c r="J315"/>
  <c r="N307"/>
  <c r="F275"/>
  <c r="N275"/>
  <c r="J275"/>
  <c r="O256"/>
  <c r="H247"/>
  <c r="I244"/>
  <c r="E234"/>
  <c r="M236"/>
  <c r="I235"/>
  <c r="O203"/>
  <c r="K203"/>
  <c r="G203"/>
  <c r="F185"/>
  <c r="N183"/>
  <c r="H183"/>
  <c r="G172"/>
  <c r="L172"/>
  <c r="J173"/>
  <c r="F152"/>
  <c r="N151"/>
  <c r="J154"/>
  <c r="F153"/>
  <c r="O123"/>
  <c r="K122"/>
  <c r="G121"/>
  <c r="O111"/>
  <c r="O101"/>
  <c r="K103"/>
  <c r="G103"/>
  <c r="O81"/>
  <c r="K81"/>
  <c r="G81"/>
  <c r="P63"/>
  <c r="L62"/>
  <c r="H61"/>
  <c r="P43"/>
  <c r="L44"/>
  <c r="H43"/>
  <c r="O31"/>
  <c r="L33"/>
  <c r="G31"/>
  <c r="L23"/>
  <c r="P21"/>
  <c r="G14"/>
  <c r="E157" i="187"/>
  <c r="D12" i="144" s="1"/>
  <c r="N542" i="109"/>
  <c r="J541"/>
  <c r="F542"/>
  <c r="L531"/>
  <c r="P532"/>
  <c r="P513"/>
  <c r="L512"/>
  <c r="H511"/>
  <c r="I501"/>
  <c r="O494"/>
  <c r="G492"/>
  <c r="O493"/>
  <c r="N491"/>
  <c r="G493"/>
  <c r="P463"/>
  <c r="P462"/>
  <c r="L461"/>
  <c r="H464"/>
  <c r="P441"/>
  <c r="L440"/>
  <c r="H439"/>
  <c r="P431"/>
  <c r="L430"/>
  <c r="H429"/>
  <c r="H419"/>
  <c r="P411"/>
  <c r="L410"/>
  <c r="H409"/>
  <c r="L389"/>
  <c r="P389"/>
  <c r="L388"/>
  <c r="H387"/>
  <c r="P379"/>
  <c r="L379"/>
  <c r="I378"/>
  <c r="F370"/>
  <c r="J360"/>
  <c r="F347"/>
  <c r="N349"/>
  <c r="J348"/>
  <c r="N316"/>
  <c r="E315"/>
  <c r="M315"/>
  <c r="I315"/>
  <c r="K287"/>
  <c r="O287"/>
  <c r="K286"/>
  <c r="G285"/>
  <c r="O267"/>
  <c r="K266"/>
  <c r="G265"/>
  <c r="M244"/>
  <c r="M235"/>
  <c r="I234"/>
  <c r="E237"/>
  <c r="N213"/>
  <c r="N216"/>
  <c r="J215"/>
  <c r="F214"/>
  <c r="N192"/>
  <c r="J195"/>
  <c r="F194"/>
  <c r="J153"/>
  <c r="G133"/>
  <c r="O93"/>
  <c r="K92"/>
  <c r="P83"/>
  <c r="L82"/>
  <c r="H81"/>
  <c r="H71"/>
  <c r="P71"/>
  <c r="L74"/>
  <c r="H73"/>
  <c r="P51"/>
  <c r="K624"/>
  <c r="L623"/>
  <c r="O623"/>
  <c r="O627" s="1"/>
  <c r="K623"/>
  <c r="G623"/>
  <c r="G627" s="1"/>
  <c r="H616"/>
  <c r="P614"/>
  <c r="L613"/>
  <c r="O613"/>
  <c r="K613"/>
  <c r="G613"/>
  <c r="H606"/>
  <c r="P604"/>
  <c r="L603"/>
  <c r="O603"/>
  <c r="K603"/>
  <c r="G603"/>
  <c r="H595"/>
  <c r="P593"/>
  <c r="M592"/>
  <c r="P592"/>
  <c r="L592"/>
  <c r="H592"/>
  <c r="I585"/>
  <c r="M582"/>
  <c r="M586" s="1"/>
  <c r="I582"/>
  <c r="E582"/>
  <c r="I575"/>
  <c r="O573"/>
  <c r="L572"/>
  <c r="F572"/>
  <c r="N563"/>
  <c r="I563"/>
  <c r="I675" s="1"/>
  <c r="H45" i="241" s="1"/>
  <c r="G562" i="109"/>
  <c r="N554"/>
  <c r="H554"/>
  <c r="K553"/>
  <c r="N552"/>
  <c r="G552"/>
  <c r="J551"/>
  <c r="P504"/>
  <c r="H503"/>
  <c r="M494"/>
  <c r="E494"/>
  <c r="I493"/>
  <c r="M492"/>
  <c r="F491"/>
  <c r="O484"/>
  <c r="P483"/>
  <c r="F483"/>
  <c r="O472"/>
  <c r="K471"/>
  <c r="G472"/>
  <c r="P464"/>
  <c r="L463"/>
  <c r="H462"/>
  <c r="H451"/>
  <c r="H442"/>
  <c r="P440"/>
  <c r="L439"/>
  <c r="L432"/>
  <c r="N429"/>
  <c r="J429"/>
  <c r="F429"/>
  <c r="L420"/>
  <c r="L418"/>
  <c r="P408"/>
  <c r="L411"/>
  <c r="H410"/>
  <c r="L390"/>
  <c r="H389"/>
  <c r="P387"/>
  <c r="P391" s="1"/>
  <c r="F360"/>
  <c r="P357"/>
  <c r="L357"/>
  <c r="H357"/>
  <c r="N339"/>
  <c r="J338"/>
  <c r="F337"/>
  <c r="F326"/>
  <c r="N328"/>
  <c r="J327"/>
  <c r="N317"/>
  <c r="J316"/>
  <c r="F315"/>
  <c r="N308"/>
  <c r="J307"/>
  <c r="F306"/>
  <c r="J298"/>
  <c r="F297"/>
  <c r="M295"/>
  <c r="I295"/>
  <c r="E295"/>
  <c r="K288"/>
  <c r="G287"/>
  <c r="O285"/>
  <c r="F285"/>
  <c r="N285"/>
  <c r="J285"/>
  <c r="G278"/>
  <c r="O276"/>
  <c r="K275"/>
  <c r="O266"/>
  <c r="K265"/>
  <c r="G264"/>
  <c r="O257"/>
  <c r="K256"/>
  <c r="G255"/>
  <c r="N254"/>
  <c r="J254"/>
  <c r="F254"/>
  <c r="P246"/>
  <c r="L245"/>
  <c r="O244"/>
  <c r="K244"/>
  <c r="G244"/>
  <c r="O234"/>
  <c r="K234"/>
  <c r="G234"/>
  <c r="E226"/>
  <c r="M224"/>
  <c r="E223"/>
  <c r="M223"/>
  <c r="I223"/>
  <c r="F216"/>
  <c r="N214"/>
  <c r="J213"/>
  <c r="O213"/>
  <c r="K213"/>
  <c r="G213"/>
  <c r="N205"/>
  <c r="J204"/>
  <c r="F203"/>
  <c r="N195"/>
  <c r="J194"/>
  <c r="F193"/>
  <c r="J185"/>
  <c r="J175"/>
  <c r="L174"/>
  <c r="G174"/>
  <c r="G176" s="1"/>
  <c r="K173"/>
  <c r="O172"/>
  <c r="H172"/>
  <c r="M142"/>
  <c r="I142"/>
  <c r="E142"/>
  <c r="K124"/>
  <c r="G123"/>
  <c r="O121"/>
  <c r="K114"/>
  <c r="K112"/>
  <c r="G114"/>
  <c r="O112"/>
  <c r="K111"/>
  <c r="K104"/>
  <c r="P74"/>
  <c r="P75" s="1"/>
  <c r="L73"/>
  <c r="L75" s="1"/>
  <c r="H72"/>
  <c r="H75" s="1"/>
  <c r="N71"/>
  <c r="J71"/>
  <c r="F71"/>
  <c r="L64"/>
  <c r="H63"/>
  <c r="P61"/>
  <c r="H54"/>
  <c r="P52"/>
  <c r="L51"/>
  <c r="O51"/>
  <c r="K51"/>
  <c r="G51"/>
  <c r="M42"/>
  <c r="P42"/>
  <c r="L42"/>
  <c r="H42"/>
  <c r="J33"/>
  <c r="G32"/>
  <c r="P24"/>
  <c r="K23"/>
  <c r="P13"/>
  <c r="I11"/>
  <c r="H13"/>
  <c r="L27" i="177"/>
  <c r="O21" i="109"/>
  <c r="K22"/>
  <c r="H27" i="177"/>
  <c r="M623" i="109"/>
  <c r="I623"/>
  <c r="E623"/>
  <c r="P616"/>
  <c r="P617" s="1"/>
  <c r="L615"/>
  <c r="H614"/>
  <c r="H617" s="1"/>
  <c r="M613"/>
  <c r="I613"/>
  <c r="E613"/>
  <c r="P606"/>
  <c r="P607" s="1"/>
  <c r="L605"/>
  <c r="H604"/>
  <c r="H607" s="1"/>
  <c r="M603"/>
  <c r="I603"/>
  <c r="E603"/>
  <c r="N592"/>
  <c r="J592"/>
  <c r="F592"/>
  <c r="J582"/>
  <c r="O582"/>
  <c r="K582"/>
  <c r="G582"/>
  <c r="O563"/>
  <c r="K554"/>
  <c r="N553"/>
  <c r="O553"/>
  <c r="L551"/>
  <c r="G551"/>
  <c r="O531"/>
  <c r="K531"/>
  <c r="G531"/>
  <c r="P521"/>
  <c r="L524"/>
  <c r="H523"/>
  <c r="L514"/>
  <c r="H513"/>
  <c r="P511"/>
  <c r="P503"/>
  <c r="I494"/>
  <c r="K491"/>
  <c r="P492"/>
  <c r="L491"/>
  <c r="J491"/>
  <c r="J484"/>
  <c r="L482"/>
  <c r="L452"/>
  <c r="O451"/>
  <c r="K450"/>
  <c r="G451"/>
  <c r="P442"/>
  <c r="L441"/>
  <c r="H440"/>
  <c r="P432"/>
  <c r="H432"/>
  <c r="H431"/>
  <c r="H421"/>
  <c r="N387"/>
  <c r="J387"/>
  <c r="F387"/>
  <c r="P377"/>
  <c r="L377"/>
  <c r="H377"/>
  <c r="N360"/>
  <c r="J357"/>
  <c r="F339"/>
  <c r="N337"/>
  <c r="J336"/>
  <c r="P315"/>
  <c r="L315"/>
  <c r="H315"/>
  <c r="F308"/>
  <c r="F309" s="1"/>
  <c r="N306"/>
  <c r="N309" s="1"/>
  <c r="J305"/>
  <c r="J309" s="1"/>
  <c r="E305"/>
  <c r="M305"/>
  <c r="I305"/>
  <c r="N297"/>
  <c r="J296"/>
  <c r="O296"/>
  <c r="K296"/>
  <c r="G296"/>
  <c r="M275"/>
  <c r="I275"/>
  <c r="E275"/>
  <c r="K267"/>
  <c r="K268" s="1"/>
  <c r="G266"/>
  <c r="O264"/>
  <c r="O268" s="1"/>
  <c r="F264"/>
  <c r="N264"/>
  <c r="J264"/>
  <c r="G257"/>
  <c r="O255"/>
  <c r="P255"/>
  <c r="L255"/>
  <c r="H255"/>
  <c r="L247"/>
  <c r="H246"/>
  <c r="M245"/>
  <c r="I245"/>
  <c r="E245"/>
  <c r="M237"/>
  <c r="M238" s="1"/>
  <c r="I236"/>
  <c r="I238" s="1"/>
  <c r="E235"/>
  <c r="E238" s="1"/>
  <c r="M226"/>
  <c r="I225"/>
  <c r="E224"/>
  <c r="E203"/>
  <c r="M203"/>
  <c r="I203"/>
  <c r="F195"/>
  <c r="F196" s="1"/>
  <c r="N193"/>
  <c r="N196" s="1"/>
  <c r="J192"/>
  <c r="J196" s="1"/>
  <c r="O192"/>
  <c r="K192"/>
  <c r="G192"/>
  <c r="P183"/>
  <c r="L182"/>
  <c r="H184"/>
  <c r="L175"/>
  <c r="J174"/>
  <c r="J176" s="1"/>
  <c r="H173"/>
  <c r="N172"/>
  <c r="I172"/>
  <c r="E172"/>
  <c r="F162"/>
  <c r="N164"/>
  <c r="J163"/>
  <c r="N153"/>
  <c r="J152"/>
  <c r="F151"/>
  <c r="N121"/>
  <c r="J121"/>
  <c r="F121"/>
  <c r="N111"/>
  <c r="J111"/>
  <c r="G104"/>
  <c r="O102"/>
  <c r="K101"/>
  <c r="L84"/>
  <c r="H83"/>
  <c r="P81"/>
  <c r="O71"/>
  <c r="K71"/>
  <c r="G71"/>
  <c r="P54"/>
  <c r="P55" s="1"/>
  <c r="L53"/>
  <c r="H52"/>
  <c r="N51"/>
  <c r="J51"/>
  <c r="F51"/>
  <c r="E42"/>
  <c r="F41"/>
  <c r="P34"/>
  <c r="O32"/>
  <c r="P32"/>
  <c r="L32"/>
  <c r="H32"/>
  <c r="L24"/>
  <c r="P23"/>
  <c r="P22"/>
  <c r="D27" i="177"/>
  <c r="K625" i="109"/>
  <c r="N624"/>
  <c r="J624"/>
  <c r="F624"/>
  <c r="N613"/>
  <c r="J613"/>
  <c r="F613"/>
  <c r="N603"/>
  <c r="J603"/>
  <c r="F603"/>
  <c r="L593"/>
  <c r="O593"/>
  <c r="K593"/>
  <c r="G593"/>
  <c r="E585"/>
  <c r="P583"/>
  <c r="L583"/>
  <c r="H583"/>
  <c r="P572"/>
  <c r="J572"/>
  <c r="E572"/>
  <c r="P563"/>
  <c r="L563"/>
  <c r="H563"/>
  <c r="L554"/>
  <c r="P553"/>
  <c r="H553"/>
  <c r="H555" s="1"/>
  <c r="L552"/>
  <c r="P544"/>
  <c r="H542"/>
  <c r="P514"/>
  <c r="L513"/>
  <c r="L515" s="1"/>
  <c r="H512"/>
  <c r="L504"/>
  <c r="P502"/>
  <c r="M501"/>
  <c r="H504"/>
  <c r="K494"/>
  <c r="K492"/>
  <c r="L484"/>
  <c r="N483"/>
  <c r="K432"/>
  <c r="P421"/>
  <c r="N418"/>
  <c r="J418"/>
  <c r="F418"/>
  <c r="L409"/>
  <c r="L400"/>
  <c r="F367"/>
  <c r="N369"/>
  <c r="J368"/>
  <c r="P336"/>
  <c r="L336"/>
  <c r="H336"/>
  <c r="N318"/>
  <c r="J317"/>
  <c r="F316"/>
  <c r="P305"/>
  <c r="L305"/>
  <c r="H305"/>
  <c r="N296"/>
  <c r="F295"/>
  <c r="F299" s="1"/>
  <c r="N295"/>
  <c r="J295"/>
  <c r="G288"/>
  <c r="O286"/>
  <c r="K285"/>
  <c r="K289" s="1"/>
  <c r="O277"/>
  <c r="K276"/>
  <c r="G275"/>
  <c r="G279" s="1"/>
  <c r="M264"/>
  <c r="I264"/>
  <c r="E264"/>
  <c r="O254"/>
  <c r="K254"/>
  <c r="K258" s="1"/>
  <c r="G254"/>
  <c r="G258" s="1"/>
  <c r="P247"/>
  <c r="P244"/>
  <c r="L244"/>
  <c r="H244"/>
  <c r="H248" s="1"/>
  <c r="P234"/>
  <c r="L234"/>
  <c r="H234"/>
  <c r="I224"/>
  <c r="P225"/>
  <c r="L225"/>
  <c r="H224"/>
  <c r="N215"/>
  <c r="N217" s="1"/>
  <c r="J214"/>
  <c r="F213"/>
  <c r="N206"/>
  <c r="J205"/>
  <c r="J207" s="1"/>
  <c r="F204"/>
  <c r="E192"/>
  <c r="M192"/>
  <c r="I192"/>
  <c r="N182"/>
  <c r="N186" s="1"/>
  <c r="L183"/>
  <c r="H182"/>
  <c r="P175"/>
  <c r="H175"/>
  <c r="K174"/>
  <c r="F174"/>
  <c r="F172"/>
  <c r="F154"/>
  <c r="N152"/>
  <c r="J151"/>
  <c r="G141"/>
  <c r="N143"/>
  <c r="K141"/>
  <c r="O113"/>
  <c r="P84"/>
  <c r="L83"/>
  <c r="L85" s="1"/>
  <c r="H82"/>
  <c r="N81"/>
  <c r="J81"/>
  <c r="F81"/>
  <c r="H64"/>
  <c r="P62"/>
  <c r="L61"/>
  <c r="L65" s="1"/>
  <c r="O61"/>
  <c r="K61"/>
  <c r="G61"/>
  <c r="P44"/>
  <c r="L43"/>
  <c r="I42"/>
  <c r="J41"/>
  <c r="O43"/>
  <c r="K43"/>
  <c r="G43"/>
  <c r="E63" i="292"/>
  <c r="I63"/>
  <c r="M63"/>
  <c r="H63"/>
  <c r="L63"/>
  <c r="P63"/>
  <c r="G63"/>
  <c r="K63"/>
  <c r="O63"/>
  <c r="F63"/>
  <c r="J63"/>
  <c r="N63"/>
  <c r="E29"/>
  <c r="I29"/>
  <c r="M29"/>
  <c r="H29"/>
  <c r="L29"/>
  <c r="P29"/>
  <c r="G29"/>
  <c r="K29"/>
  <c r="O29"/>
  <c r="F29"/>
  <c r="J29"/>
  <c r="N29"/>
  <c r="E646" i="109"/>
  <c r="I646"/>
  <c r="M646"/>
  <c r="G647"/>
  <c r="F20" i="100" s="1"/>
  <c r="K647" i="109"/>
  <c r="J20" i="100" s="1"/>
  <c r="O647" i="109"/>
  <c r="N20" i="100" s="1"/>
  <c r="E648" i="109"/>
  <c r="D33" i="100" s="1"/>
  <c r="I648" i="109"/>
  <c r="H33" i="100" s="1"/>
  <c r="M648" i="109"/>
  <c r="L33" i="100" s="1"/>
  <c r="G649" i="109"/>
  <c r="F46" i="100" s="1"/>
  <c r="K649" i="109"/>
  <c r="J46" i="100" s="1"/>
  <c r="O649" i="109"/>
  <c r="N46" i="100" s="1"/>
  <c r="E650" i="109"/>
  <c r="D59" i="100" s="1"/>
  <c r="I650" i="109"/>
  <c r="H59" i="100" s="1"/>
  <c r="M650" i="109"/>
  <c r="L59" i="100" s="1"/>
  <c r="G651" i="109"/>
  <c r="F72" i="100" s="1"/>
  <c r="K651" i="109"/>
  <c r="J72" i="100" s="1"/>
  <c r="O651" i="109"/>
  <c r="N72" i="100" s="1"/>
  <c r="G653" i="109"/>
  <c r="F98" i="100" s="1"/>
  <c r="K653" i="109"/>
  <c r="J98" i="100" s="1"/>
  <c r="O653" i="109"/>
  <c r="N98" i="100" s="1"/>
  <c r="G655" i="109"/>
  <c r="F137" i="100" s="1"/>
  <c r="K655" i="109"/>
  <c r="J137" i="100" s="1"/>
  <c r="O655" i="109"/>
  <c r="N137" i="100" s="1"/>
  <c r="E656" i="109"/>
  <c r="D150" i="100" s="1"/>
  <c r="I656" i="109"/>
  <c r="H150" i="100" s="1"/>
  <c r="M656" i="109"/>
  <c r="L150" i="100" s="1"/>
  <c r="G659" i="109"/>
  <c r="F189" i="100" s="1"/>
  <c r="K659" i="109"/>
  <c r="J189" i="100" s="1"/>
  <c r="O659" i="109"/>
  <c r="N189" i="100" s="1"/>
  <c r="E662" i="109"/>
  <c r="I662"/>
  <c r="M662"/>
  <c r="G663"/>
  <c r="F19" i="242" s="1"/>
  <c r="K663" i="109"/>
  <c r="J19" i="242" s="1"/>
  <c r="O663" i="109"/>
  <c r="N19" i="242" s="1"/>
  <c r="G665" i="109"/>
  <c r="F45" i="242" s="1"/>
  <c r="O665" i="109"/>
  <c r="N45" i="242" s="1"/>
  <c r="G667" i="109"/>
  <c r="F71" i="242" s="1"/>
  <c r="K667" i="109"/>
  <c r="J71" i="242" s="1"/>
  <c r="O667" i="109"/>
  <c r="N71" i="242" s="1"/>
  <c r="E668" i="109"/>
  <c r="D84" i="242" s="1"/>
  <c r="I668" i="109"/>
  <c r="H84" i="242" s="1"/>
  <c r="M668" i="109"/>
  <c r="L84" i="242" s="1"/>
  <c r="E670" i="109"/>
  <c r="D110" i="242" s="1"/>
  <c r="I670" i="109"/>
  <c r="H110" i="242" s="1"/>
  <c r="M670" i="109"/>
  <c r="L110" i="242" s="1"/>
  <c r="G671" i="109"/>
  <c r="F123" i="242" s="1"/>
  <c r="K671" i="109"/>
  <c r="J123" i="242" s="1"/>
  <c r="O671" i="109"/>
  <c r="N123" i="242" s="1"/>
  <c r="E672" i="109"/>
  <c r="I672"/>
  <c r="M672"/>
  <c r="E678"/>
  <c r="D20" i="240" s="1"/>
  <c r="I678" i="109"/>
  <c r="H20" i="240" s="1"/>
  <c r="M678" i="109"/>
  <c r="L20" i="240" s="1"/>
  <c r="G679" i="109"/>
  <c r="F33" i="240" s="1"/>
  <c r="K679" i="109"/>
  <c r="J33" i="240" s="1"/>
  <c r="O679" i="109"/>
  <c r="N33" i="240" s="1"/>
  <c r="E680" i="109"/>
  <c r="D46" i="240" s="1"/>
  <c r="I680" i="109"/>
  <c r="H46" i="240" s="1"/>
  <c r="M680" i="109"/>
  <c r="L46" i="240" s="1"/>
  <c r="G681" i="109"/>
  <c r="K681"/>
  <c r="J59" i="240" s="1"/>
  <c r="O681" i="109"/>
  <c r="E682"/>
  <c r="I682"/>
  <c r="M682"/>
  <c r="G683"/>
  <c r="F19" i="148" s="1"/>
  <c r="K683" i="109"/>
  <c r="J19" i="148" s="1"/>
  <c r="O683" i="109"/>
  <c r="N19" i="148" s="1"/>
  <c r="K685" i="109"/>
  <c r="J55" i="148" s="1"/>
  <c r="E686" i="109"/>
  <c r="I686"/>
  <c r="M686"/>
  <c r="G687"/>
  <c r="F20" i="171" s="1"/>
  <c r="K687" i="109"/>
  <c r="J20" i="171" s="1"/>
  <c r="O687" i="109"/>
  <c r="N20" i="171" s="1"/>
  <c r="G689" i="109"/>
  <c r="K689"/>
  <c r="O689"/>
  <c r="E690"/>
  <c r="D19" i="175" s="1"/>
  <c r="I690" i="109"/>
  <c r="H19" i="175" s="1"/>
  <c r="M690" i="109"/>
  <c r="L19" i="175" s="1"/>
  <c r="G693" i="109"/>
  <c r="K693"/>
  <c r="O693"/>
  <c r="G695"/>
  <c r="F32" i="176" s="1"/>
  <c r="K695" i="109"/>
  <c r="J32" i="176" s="1"/>
  <c r="O695" i="109"/>
  <c r="N32" i="176" s="1"/>
  <c r="E696" i="109"/>
  <c r="D45" i="176" s="1"/>
  <c r="I696" i="109"/>
  <c r="H45" i="176" s="1"/>
  <c r="M696" i="109"/>
  <c r="L45" i="176" s="1"/>
  <c r="E698" i="109"/>
  <c r="I698"/>
  <c r="M698"/>
  <c r="E700"/>
  <c r="I700"/>
  <c r="M700"/>
  <c r="G701"/>
  <c r="F32" i="245" s="1"/>
  <c r="K701" i="109"/>
  <c r="J32" i="245" s="1"/>
  <c r="O701" i="109"/>
  <c r="N32" i="245" s="1"/>
  <c r="E702" i="109"/>
  <c r="D45" i="245" s="1"/>
  <c r="I702" i="109"/>
  <c r="H45" i="245" s="1"/>
  <c r="M702" i="109"/>
  <c r="L45" i="245" s="1"/>
  <c r="G703" i="109"/>
  <c r="F19" i="245" s="1"/>
  <c r="K703" i="109"/>
  <c r="J19" i="245" s="1"/>
  <c r="O703" i="109"/>
  <c r="N19" i="245" s="1"/>
  <c r="E707" i="109"/>
  <c r="D19" i="244" s="1"/>
  <c r="I707" i="109"/>
  <c r="H19" i="244" s="1"/>
  <c r="M707" i="109"/>
  <c r="L19" i="244" s="1"/>
  <c r="G708" i="109"/>
  <c r="K708"/>
  <c r="O708"/>
  <c r="G710"/>
  <c r="F19" i="243" s="1"/>
  <c r="K710" i="109"/>
  <c r="J19" i="243" s="1"/>
  <c r="O710" i="109"/>
  <c r="N19" i="243" s="1"/>
  <c r="H646" i="109"/>
  <c r="L646"/>
  <c r="P646"/>
  <c r="F647"/>
  <c r="E20" i="100" s="1"/>
  <c r="J647" i="109"/>
  <c r="I20" i="100" s="1"/>
  <c r="N647" i="109"/>
  <c r="M20" i="100" s="1"/>
  <c r="H648" i="109"/>
  <c r="G33" i="100" s="1"/>
  <c r="L648" i="109"/>
  <c r="K33" i="100" s="1"/>
  <c r="P648" i="109"/>
  <c r="O33" i="100" s="1"/>
  <c r="F649" i="109"/>
  <c r="E46" i="100" s="1"/>
  <c r="J649" i="109"/>
  <c r="I46" i="100" s="1"/>
  <c r="N649" i="109"/>
  <c r="M46" i="100" s="1"/>
  <c r="H650" i="109"/>
  <c r="G59" i="100" s="1"/>
  <c r="L650" i="109"/>
  <c r="K59" i="100" s="1"/>
  <c r="P650" i="109"/>
  <c r="O59" i="100" s="1"/>
  <c r="F651" i="109"/>
  <c r="E72" i="100" s="1"/>
  <c r="J651" i="109"/>
  <c r="I72" i="100" s="1"/>
  <c r="N651" i="109"/>
  <c r="M72" i="100" s="1"/>
  <c r="H654" i="109"/>
  <c r="G124" i="100" s="1"/>
  <c r="L654" i="109"/>
  <c r="K124" i="100" s="1"/>
  <c r="P654" i="109"/>
  <c r="O124" i="100" s="1"/>
  <c r="F655" i="109"/>
  <c r="E137" i="100" s="1"/>
  <c r="J655" i="109"/>
  <c r="I137" i="100" s="1"/>
  <c r="N655" i="109"/>
  <c r="M137" i="100" s="1"/>
  <c r="H656" i="109"/>
  <c r="G150" i="100" s="1"/>
  <c r="L656" i="109"/>
  <c r="K150" i="100" s="1"/>
  <c r="P656" i="109"/>
  <c r="O150" i="100" s="1"/>
  <c r="F659" i="109"/>
  <c r="E189" i="100" s="1"/>
  <c r="J659" i="109"/>
  <c r="I189" i="100" s="1"/>
  <c r="N659" i="109"/>
  <c r="M189" i="100" s="1"/>
  <c r="H662" i="109"/>
  <c r="L662"/>
  <c r="P662"/>
  <c r="F663"/>
  <c r="E19" i="242" s="1"/>
  <c r="J663" i="109"/>
  <c r="I19" i="242" s="1"/>
  <c r="N663" i="109"/>
  <c r="M19" i="242" s="1"/>
  <c r="L664" i="109"/>
  <c r="K32" i="242" s="1"/>
  <c r="L666" i="109"/>
  <c r="K58" i="242" s="1"/>
  <c r="F667" i="109"/>
  <c r="E71" i="242" s="1"/>
  <c r="J667" i="109"/>
  <c r="I71" i="242" s="1"/>
  <c r="N667" i="109"/>
  <c r="M71" i="242" s="1"/>
  <c r="H668" i="109"/>
  <c r="G84" i="242" s="1"/>
  <c r="L668" i="109"/>
  <c r="K84" i="242" s="1"/>
  <c r="P668" i="109"/>
  <c r="O84" i="242" s="1"/>
  <c r="H670" i="109"/>
  <c r="G110" i="242" s="1"/>
  <c r="L670" i="109"/>
  <c r="K110" i="242" s="1"/>
  <c r="P670" i="109"/>
  <c r="O110" i="242" s="1"/>
  <c r="F671" i="109"/>
  <c r="E123" i="242" s="1"/>
  <c r="J671" i="109"/>
  <c r="I123" i="242" s="1"/>
  <c r="N671" i="109"/>
  <c r="M123" i="242" s="1"/>
  <c r="H672" i="109"/>
  <c r="L672"/>
  <c r="P672"/>
  <c r="H674"/>
  <c r="G32" i="241" s="1"/>
  <c r="H678" i="109"/>
  <c r="G20" i="240" s="1"/>
  <c r="L678" i="109"/>
  <c r="K20" i="240" s="1"/>
  <c r="P678" i="109"/>
  <c r="O20" i="240" s="1"/>
  <c r="H680" i="109"/>
  <c r="G46" i="240" s="1"/>
  <c r="L680" i="109"/>
  <c r="K46" i="240" s="1"/>
  <c r="P680" i="109"/>
  <c r="O46" i="240" s="1"/>
  <c r="F681" i="109"/>
  <c r="J681"/>
  <c r="I59" i="240" s="1"/>
  <c r="N681" i="109"/>
  <c r="H682"/>
  <c r="L682"/>
  <c r="P682"/>
  <c r="F683"/>
  <c r="E19" i="148" s="1"/>
  <c r="J683" i="109"/>
  <c r="I19" i="148" s="1"/>
  <c r="N683" i="109"/>
  <c r="M19" i="148" s="1"/>
  <c r="F687" i="109"/>
  <c r="E20" i="171" s="1"/>
  <c r="J687" i="109"/>
  <c r="I20" i="171" s="1"/>
  <c r="N687" i="109"/>
  <c r="M20" i="171" s="1"/>
  <c r="F689" i="109"/>
  <c r="J689"/>
  <c r="N689"/>
  <c r="H692"/>
  <c r="G45" i="175" s="1"/>
  <c r="L692" i="109"/>
  <c r="K45" i="175" s="1"/>
  <c r="P692" i="109"/>
  <c r="O45" i="175" s="1"/>
  <c r="J693" i="109"/>
  <c r="N693"/>
  <c r="F695"/>
  <c r="E32" i="176" s="1"/>
  <c r="J695" i="109"/>
  <c r="I32" i="176" s="1"/>
  <c r="N695" i="109"/>
  <c r="M32" i="176" s="1"/>
  <c r="F697" i="109"/>
  <c r="E58" i="176" s="1"/>
  <c r="J697" i="109"/>
  <c r="I58" i="176" s="1"/>
  <c r="N697" i="109"/>
  <c r="M58" i="176" s="1"/>
  <c r="H698" i="109"/>
  <c r="L698"/>
  <c r="P698"/>
  <c r="F699"/>
  <c r="E19" i="177" s="1"/>
  <c r="J699" i="109"/>
  <c r="I19" i="177" s="1"/>
  <c r="N699" i="109"/>
  <c r="M19" i="177" s="1"/>
  <c r="H700" i="109"/>
  <c r="L700"/>
  <c r="P700"/>
  <c r="F701"/>
  <c r="E32" i="245" s="1"/>
  <c r="J701" i="109"/>
  <c r="I32" i="245" s="1"/>
  <c r="N701" i="109"/>
  <c r="M32" i="245" s="1"/>
  <c r="H702" i="109"/>
  <c r="G45" i="245" s="1"/>
  <c r="L702" i="109"/>
  <c r="K45" i="245" s="1"/>
  <c r="P702" i="109"/>
  <c r="O45" i="245" s="1"/>
  <c r="F703" i="109"/>
  <c r="E19" i="245" s="1"/>
  <c r="J703" i="109"/>
  <c r="I19" i="245" s="1"/>
  <c r="N703" i="109"/>
  <c r="M19" i="245" s="1"/>
  <c r="L704" i="109"/>
  <c r="K58" i="245" s="1"/>
  <c r="P704" i="109"/>
  <c r="O58" i="245" s="1"/>
  <c r="H707" i="109"/>
  <c r="G19" i="244" s="1"/>
  <c r="L707" i="109"/>
  <c r="K19" i="244" s="1"/>
  <c r="P707" i="109"/>
  <c r="O19" i="244" s="1"/>
  <c r="F708" i="109"/>
  <c r="J708"/>
  <c r="N708"/>
  <c r="F710"/>
  <c r="E19" i="243" s="1"/>
  <c r="J710" i="109"/>
  <c r="I19" i="243" s="1"/>
  <c r="N710" i="109"/>
  <c r="M19" i="243" s="1"/>
  <c r="G646" i="109"/>
  <c r="K646"/>
  <c r="O646"/>
  <c r="E647"/>
  <c r="D20" i="100" s="1"/>
  <c r="I647" i="109"/>
  <c r="H20" i="100" s="1"/>
  <c r="M647" i="109"/>
  <c r="L20" i="100" s="1"/>
  <c r="G648" i="109"/>
  <c r="F33" i="100" s="1"/>
  <c r="K648" i="109"/>
  <c r="J33" i="100" s="1"/>
  <c r="O648" i="109"/>
  <c r="N33" i="100" s="1"/>
  <c r="E649" i="109"/>
  <c r="D46" i="100" s="1"/>
  <c r="I649" i="109"/>
  <c r="H46" i="100" s="1"/>
  <c r="M649" i="109"/>
  <c r="L46" i="100" s="1"/>
  <c r="G650" i="109"/>
  <c r="F59" i="100" s="1"/>
  <c r="K650" i="109"/>
  <c r="J59" i="100" s="1"/>
  <c r="O650" i="109"/>
  <c r="N59" i="100" s="1"/>
  <c r="E651" i="109"/>
  <c r="D72" i="100" s="1"/>
  <c r="I651" i="109"/>
  <c r="H72" i="100" s="1"/>
  <c r="M651" i="109"/>
  <c r="L72" i="100" s="1"/>
  <c r="G654" i="109"/>
  <c r="F124" i="100" s="1"/>
  <c r="K654" i="109"/>
  <c r="J124" i="100" s="1"/>
  <c r="O654" i="109"/>
  <c r="N124" i="100" s="1"/>
  <c r="E655" i="109"/>
  <c r="D137" i="100" s="1"/>
  <c r="I655" i="109"/>
  <c r="H137" i="100" s="1"/>
  <c r="M655" i="109"/>
  <c r="L137" i="100" s="1"/>
  <c r="G656" i="109"/>
  <c r="F150" i="100" s="1"/>
  <c r="K656" i="109"/>
  <c r="J150" i="100" s="1"/>
  <c r="O656" i="109"/>
  <c r="N150" i="100" s="1"/>
  <c r="K658" i="109"/>
  <c r="J176" i="100" s="1"/>
  <c r="O658" i="109"/>
  <c r="N176" i="100" s="1"/>
  <c r="E659" i="109"/>
  <c r="D189" i="100" s="1"/>
  <c r="I659" i="109"/>
  <c r="H189" i="100" s="1"/>
  <c r="M659" i="109"/>
  <c r="L189" i="100" s="1"/>
  <c r="O660" i="109"/>
  <c r="N202" i="100" s="1"/>
  <c r="G662" i="109"/>
  <c r="K662"/>
  <c r="O662"/>
  <c r="E663"/>
  <c r="D19" i="242" s="1"/>
  <c r="I663" i="109"/>
  <c r="H19" i="242" s="1"/>
  <c r="M663" i="109"/>
  <c r="L19" i="242" s="1"/>
  <c r="K664" i="109"/>
  <c r="J32" i="242" s="1"/>
  <c r="I665" i="109"/>
  <c r="H45" i="242" s="1"/>
  <c r="E667" i="109"/>
  <c r="D71" i="242" s="1"/>
  <c r="I667" i="109"/>
  <c r="H71" i="242" s="1"/>
  <c r="M667" i="109"/>
  <c r="L71" i="242" s="1"/>
  <c r="G668" i="109"/>
  <c r="F84" i="242" s="1"/>
  <c r="K668" i="109"/>
  <c r="J84" i="242" s="1"/>
  <c r="O668" i="109"/>
  <c r="N84" i="242" s="1"/>
  <c r="G670" i="109"/>
  <c r="F110" i="242" s="1"/>
  <c r="K670" i="109"/>
  <c r="J110" i="242" s="1"/>
  <c r="O670" i="109"/>
  <c r="N110" i="242" s="1"/>
  <c r="E671" i="109"/>
  <c r="D123" i="242" s="1"/>
  <c r="I671" i="109"/>
  <c r="H123" i="242" s="1"/>
  <c r="M671" i="109"/>
  <c r="L123" i="242" s="1"/>
  <c r="G672" i="109"/>
  <c r="K672"/>
  <c r="O672"/>
  <c r="E677"/>
  <c r="I677"/>
  <c r="M677"/>
  <c r="G678"/>
  <c r="F20" i="240" s="1"/>
  <c r="K678" i="109"/>
  <c r="J20" i="240" s="1"/>
  <c r="O678" i="109"/>
  <c r="N20" i="240" s="1"/>
  <c r="G680" i="109"/>
  <c r="F46" i="240" s="1"/>
  <c r="K680" i="109"/>
  <c r="J46" i="240" s="1"/>
  <c r="O680" i="109"/>
  <c r="N46" i="240" s="1"/>
  <c r="G682" i="109"/>
  <c r="K682"/>
  <c r="O682"/>
  <c r="E683"/>
  <c r="D19" i="148" s="1"/>
  <c r="I683" i="109"/>
  <c r="H19" i="148" s="1"/>
  <c r="M683" i="109"/>
  <c r="L19" i="148" s="1"/>
  <c r="G688" i="109"/>
  <c r="F33" i="171" s="1"/>
  <c r="K688" i="109"/>
  <c r="J33" i="171" s="1"/>
  <c r="O688" i="109"/>
  <c r="N33" i="171" s="1"/>
  <c r="E689" i="109"/>
  <c r="I689"/>
  <c r="M689"/>
  <c r="E691"/>
  <c r="D32" i="175" s="1"/>
  <c r="I691" i="109"/>
  <c r="H32" i="175" s="1"/>
  <c r="M691" i="109"/>
  <c r="L32" i="175" s="1"/>
  <c r="G694" i="109"/>
  <c r="F19" i="176" s="1"/>
  <c r="K694" i="109"/>
  <c r="J19" i="176" s="1"/>
  <c r="O694" i="109"/>
  <c r="N19" i="176" s="1"/>
  <c r="E695" i="109"/>
  <c r="D32" i="176" s="1"/>
  <c r="I695" i="109"/>
  <c r="H32" i="176" s="1"/>
  <c r="M695" i="109"/>
  <c r="L32" i="176" s="1"/>
  <c r="G696" i="109"/>
  <c r="F45" i="176" s="1"/>
  <c r="K696" i="109"/>
  <c r="J45" i="176" s="1"/>
  <c r="O696" i="109"/>
  <c r="N45" i="176" s="1"/>
  <c r="E697" i="109"/>
  <c r="D58" i="176" s="1"/>
  <c r="I697" i="109"/>
  <c r="H58" i="176" s="1"/>
  <c r="M697" i="109"/>
  <c r="L58" i="176" s="1"/>
  <c r="G698" i="109"/>
  <c r="K698"/>
  <c r="O698"/>
  <c r="G700"/>
  <c r="K700"/>
  <c r="O700"/>
  <c r="E701"/>
  <c r="D32" i="245" s="1"/>
  <c r="I701" i="109"/>
  <c r="H32" i="245" s="1"/>
  <c r="M701" i="109"/>
  <c r="L32" i="245" s="1"/>
  <c r="G702" i="109"/>
  <c r="F45" i="245" s="1"/>
  <c r="K702" i="109"/>
  <c r="J45" i="245" s="1"/>
  <c r="O702" i="109"/>
  <c r="N45" i="245" s="1"/>
  <c r="E703" i="109"/>
  <c r="D19" i="245" s="1"/>
  <c r="I703" i="109"/>
  <c r="H19" i="245" s="1"/>
  <c r="M703" i="109"/>
  <c r="L19" i="245" s="1"/>
  <c r="J705" i="109"/>
  <c r="G707"/>
  <c r="F19" i="244" s="1"/>
  <c r="K707" i="109"/>
  <c r="J19" i="244" s="1"/>
  <c r="O707" i="109"/>
  <c r="N19" i="244" s="1"/>
  <c r="E708" i="109"/>
  <c r="I708"/>
  <c r="M708"/>
  <c r="E710"/>
  <c r="D19" i="243" s="1"/>
  <c r="I710" i="109"/>
  <c r="H19" i="243" s="1"/>
  <c r="M710" i="109"/>
  <c r="L19" i="243" s="1"/>
  <c r="F646" i="109"/>
  <c r="J646"/>
  <c r="N646"/>
  <c r="H647"/>
  <c r="G20" i="100" s="1"/>
  <c r="L647" i="109"/>
  <c r="K20" i="100" s="1"/>
  <c r="P647" i="109"/>
  <c r="O20" i="100" s="1"/>
  <c r="F648" i="109"/>
  <c r="E33" i="100" s="1"/>
  <c r="J648" i="109"/>
  <c r="I33" i="100" s="1"/>
  <c r="N648" i="109"/>
  <c r="M33" i="100" s="1"/>
  <c r="H649" i="109"/>
  <c r="G46" i="100" s="1"/>
  <c r="L649" i="109"/>
  <c r="K46" i="100" s="1"/>
  <c r="P649" i="109"/>
  <c r="O46" i="100" s="1"/>
  <c r="F650" i="109"/>
  <c r="E59" i="100" s="1"/>
  <c r="J650" i="109"/>
  <c r="I59" i="100" s="1"/>
  <c r="N650" i="109"/>
  <c r="M59" i="100" s="1"/>
  <c r="H651" i="109"/>
  <c r="G72" i="100" s="1"/>
  <c r="L651" i="109"/>
  <c r="K72" i="100" s="1"/>
  <c r="P651" i="109"/>
  <c r="O72" i="100" s="1"/>
  <c r="H653" i="109"/>
  <c r="G98" i="100" s="1"/>
  <c r="L653" i="109"/>
  <c r="K98" i="100" s="1"/>
  <c r="P653" i="109"/>
  <c r="O98" i="100" s="1"/>
  <c r="F654" i="109"/>
  <c r="E124" i="100" s="1"/>
  <c r="J654" i="109"/>
  <c r="I124" i="100" s="1"/>
  <c r="N654" i="109"/>
  <c r="M124" i="100" s="1"/>
  <c r="H655" i="109"/>
  <c r="G137" i="100" s="1"/>
  <c r="L655" i="109"/>
  <c r="K137" i="100" s="1"/>
  <c r="P655" i="109"/>
  <c r="O137" i="100" s="1"/>
  <c r="F656" i="109"/>
  <c r="E150" i="100" s="1"/>
  <c r="J656" i="109"/>
  <c r="I150" i="100" s="1"/>
  <c r="N656" i="109"/>
  <c r="M150" i="100" s="1"/>
  <c r="H659" i="109"/>
  <c r="G189" i="100" s="1"/>
  <c r="L659" i="109"/>
  <c r="K189" i="100" s="1"/>
  <c r="P659" i="109"/>
  <c r="O189" i="100" s="1"/>
  <c r="F662" i="109"/>
  <c r="J662"/>
  <c r="N662"/>
  <c r="H663"/>
  <c r="G19" i="242" s="1"/>
  <c r="L663" i="109"/>
  <c r="K19" i="242" s="1"/>
  <c r="P663" i="109"/>
  <c r="O19" i="242" s="1"/>
  <c r="L665" i="109"/>
  <c r="K45" i="242" s="1"/>
  <c r="J666" i="109"/>
  <c r="I58" i="242" s="1"/>
  <c r="H667" i="109"/>
  <c r="G71" i="242" s="1"/>
  <c r="L667" i="109"/>
  <c r="K71" i="242" s="1"/>
  <c r="P667" i="109"/>
  <c r="O71" i="242" s="1"/>
  <c r="F668" i="109"/>
  <c r="E84" i="242" s="1"/>
  <c r="J668" i="109"/>
  <c r="I84" i="242" s="1"/>
  <c r="N668" i="109"/>
  <c r="M84" i="242" s="1"/>
  <c r="F670" i="109"/>
  <c r="E110" i="242" s="1"/>
  <c r="J670" i="109"/>
  <c r="I110" i="242" s="1"/>
  <c r="N670" i="109"/>
  <c r="M110" i="242" s="1"/>
  <c r="H671" i="109"/>
  <c r="G123" i="242" s="1"/>
  <c r="L671" i="109"/>
  <c r="K123" i="242" s="1"/>
  <c r="P671" i="109"/>
  <c r="O123" i="242" s="1"/>
  <c r="F672" i="109"/>
  <c r="J672"/>
  <c r="N672"/>
  <c r="L673"/>
  <c r="K19" i="241" s="1"/>
  <c r="N674" i="109"/>
  <c r="M32" i="241" s="1"/>
  <c r="H677" i="109"/>
  <c r="L677"/>
  <c r="P677"/>
  <c r="F678"/>
  <c r="E20" i="240" s="1"/>
  <c r="J678" i="109"/>
  <c r="I20" i="240" s="1"/>
  <c r="N678" i="109"/>
  <c r="M20" i="240" s="1"/>
  <c r="H679" i="109"/>
  <c r="G33" i="240" s="1"/>
  <c r="L679" i="109"/>
  <c r="K33" i="240" s="1"/>
  <c r="P679" i="109"/>
  <c r="O33" i="240" s="1"/>
  <c r="F682" i="109"/>
  <c r="J682"/>
  <c r="N682"/>
  <c r="H683"/>
  <c r="G19" i="148" s="1"/>
  <c r="L683" i="109"/>
  <c r="K19" i="148" s="1"/>
  <c r="P683" i="109"/>
  <c r="O19" i="148" s="1"/>
  <c r="F686" i="109"/>
  <c r="J686"/>
  <c r="N686"/>
  <c r="H689"/>
  <c r="L689"/>
  <c r="P689"/>
  <c r="N690"/>
  <c r="M19" i="175" s="1"/>
  <c r="H691" i="109"/>
  <c r="G32" i="175" s="1"/>
  <c r="H695" i="109"/>
  <c r="G32" i="176" s="1"/>
  <c r="L695" i="109"/>
  <c r="K32" i="176" s="1"/>
  <c r="P695" i="109"/>
  <c r="O32" i="176" s="1"/>
  <c r="F696" i="109"/>
  <c r="E45" i="176" s="1"/>
  <c r="J696" i="109"/>
  <c r="I45" i="176" s="1"/>
  <c r="N696" i="109"/>
  <c r="M45" i="176" s="1"/>
  <c r="H697" i="109"/>
  <c r="G58" i="176" s="1"/>
  <c r="L697" i="109"/>
  <c r="K58" i="176" s="1"/>
  <c r="P697" i="109"/>
  <c r="O58" i="176" s="1"/>
  <c r="F698" i="109"/>
  <c r="J698"/>
  <c r="N698"/>
  <c r="F700"/>
  <c r="J700"/>
  <c r="N700"/>
  <c r="H701"/>
  <c r="G32" i="245" s="1"/>
  <c r="L701" i="109"/>
  <c r="K32" i="245" s="1"/>
  <c r="P701" i="109"/>
  <c r="O32" i="245" s="1"/>
  <c r="F702" i="109"/>
  <c r="E45" i="245" s="1"/>
  <c r="J702" i="109"/>
  <c r="I45" i="245" s="1"/>
  <c r="N702" i="109"/>
  <c r="M45" i="245" s="1"/>
  <c r="H703" i="109"/>
  <c r="G19" i="245" s="1"/>
  <c r="L703" i="109"/>
  <c r="K19" i="245" s="1"/>
  <c r="P703" i="109"/>
  <c r="O19" i="245" s="1"/>
  <c r="F707" i="109"/>
  <c r="E19" i="244" s="1"/>
  <c r="J707" i="109"/>
  <c r="I19" i="244" s="1"/>
  <c r="N707" i="109"/>
  <c r="M19" i="244" s="1"/>
  <c r="H708" i="109"/>
  <c r="L708"/>
  <c r="P708"/>
  <c r="H710"/>
  <c r="G19" i="243" s="1"/>
  <c r="L710" i="109"/>
  <c r="K19" i="243" s="1"/>
  <c r="P710" i="109"/>
  <c r="O19" i="243" s="1"/>
  <c r="P675" i="109"/>
  <c r="O45" i="241" s="1"/>
  <c r="J675" i="109"/>
  <c r="I45" i="241" s="1"/>
  <c r="E675" i="109"/>
  <c r="D45" i="241" s="1"/>
  <c r="L675" i="109"/>
  <c r="K45" i="241" s="1"/>
  <c r="N675" i="109"/>
  <c r="M45" i="241" s="1"/>
  <c r="G674" i="109"/>
  <c r="F32" i="241" s="1"/>
  <c r="O541" i="109"/>
  <c r="O542"/>
  <c r="O543"/>
  <c r="O544"/>
  <c r="K541"/>
  <c r="K542"/>
  <c r="K543"/>
  <c r="K544"/>
  <c r="G541"/>
  <c r="G542"/>
  <c r="G543"/>
  <c r="G544"/>
  <c r="M531"/>
  <c r="M532"/>
  <c r="M533"/>
  <c r="M534"/>
  <c r="N531"/>
  <c r="N532"/>
  <c r="N533"/>
  <c r="N534"/>
  <c r="I531"/>
  <c r="I532"/>
  <c r="I533"/>
  <c r="I534"/>
  <c r="J531"/>
  <c r="J532"/>
  <c r="J533"/>
  <c r="J534"/>
  <c r="E531"/>
  <c r="E532"/>
  <c r="E533"/>
  <c r="E534"/>
  <c r="F531"/>
  <c r="F532"/>
  <c r="F533"/>
  <c r="F534"/>
  <c r="M511"/>
  <c r="M512"/>
  <c r="M513"/>
  <c r="M514"/>
  <c r="N511"/>
  <c r="N512"/>
  <c r="N513"/>
  <c r="N514"/>
  <c r="I511"/>
  <c r="I512"/>
  <c r="I513"/>
  <c r="I514"/>
  <c r="J511"/>
  <c r="J512"/>
  <c r="J513"/>
  <c r="J514"/>
  <c r="E511"/>
  <c r="E512"/>
  <c r="E513"/>
  <c r="E514"/>
  <c r="F511"/>
  <c r="F512"/>
  <c r="F513"/>
  <c r="F514"/>
  <c r="M626"/>
  <c r="I626"/>
  <c r="E626"/>
  <c r="M625"/>
  <c r="I625"/>
  <c r="E625"/>
  <c r="M624"/>
  <c r="M681" s="1"/>
  <c r="L59" i="240" s="1"/>
  <c r="I624" i="109"/>
  <c r="I681" s="1"/>
  <c r="H59" i="240" s="1"/>
  <c r="E624" i="109"/>
  <c r="N623"/>
  <c r="J623"/>
  <c r="F623"/>
  <c r="N616"/>
  <c r="J616"/>
  <c r="F616"/>
  <c r="N615"/>
  <c r="J615"/>
  <c r="F615"/>
  <c r="N614"/>
  <c r="J614"/>
  <c r="F614"/>
  <c r="N606"/>
  <c r="J606"/>
  <c r="F606"/>
  <c r="N605"/>
  <c r="J605"/>
  <c r="F605"/>
  <c r="N604"/>
  <c r="J604"/>
  <c r="F604"/>
  <c r="N595"/>
  <c r="J595"/>
  <c r="F595"/>
  <c r="N594"/>
  <c r="J594"/>
  <c r="F594"/>
  <c r="N593"/>
  <c r="J593"/>
  <c r="F593"/>
  <c r="F679" s="1"/>
  <c r="E33" i="240" s="1"/>
  <c r="O592" i="109"/>
  <c r="K592"/>
  <c r="G592"/>
  <c r="O585"/>
  <c r="K585"/>
  <c r="G585"/>
  <c r="O584"/>
  <c r="K584"/>
  <c r="G584"/>
  <c r="O583"/>
  <c r="K583"/>
  <c r="G583"/>
  <c r="P582"/>
  <c r="L582"/>
  <c r="H582"/>
  <c r="P575"/>
  <c r="L575"/>
  <c r="G575"/>
  <c r="M574"/>
  <c r="H574"/>
  <c r="I573"/>
  <c r="O572"/>
  <c r="K572"/>
  <c r="G572"/>
  <c r="N565"/>
  <c r="I565"/>
  <c r="P564"/>
  <c r="J564"/>
  <c r="E564"/>
  <c r="M563"/>
  <c r="G563"/>
  <c r="P562"/>
  <c r="K562"/>
  <c r="F562"/>
  <c r="G554"/>
  <c r="G555" s="1"/>
  <c r="P551"/>
  <c r="F551"/>
  <c r="L544"/>
  <c r="P543"/>
  <c r="H543"/>
  <c r="L542"/>
  <c r="P541"/>
  <c r="H541"/>
  <c r="H524"/>
  <c r="P522"/>
  <c r="L521"/>
  <c r="O521"/>
  <c r="K521"/>
  <c r="G521"/>
  <c r="P501"/>
  <c r="L501"/>
  <c r="H501"/>
  <c r="O564"/>
  <c r="O676" s="1"/>
  <c r="N58" i="241" s="1"/>
  <c r="O565" i="109"/>
  <c r="K564"/>
  <c r="K565"/>
  <c r="G564"/>
  <c r="G676" s="1"/>
  <c r="F58" i="241" s="1"/>
  <c r="G565" i="109"/>
  <c r="N626"/>
  <c r="J626"/>
  <c r="F626"/>
  <c r="N625"/>
  <c r="J625"/>
  <c r="F625"/>
  <c r="O616"/>
  <c r="K616"/>
  <c r="G616"/>
  <c r="O615"/>
  <c r="K615"/>
  <c r="G615"/>
  <c r="O614"/>
  <c r="K614"/>
  <c r="G614"/>
  <c r="O606"/>
  <c r="K606"/>
  <c r="G606"/>
  <c r="O605"/>
  <c r="K605"/>
  <c r="G605"/>
  <c r="O604"/>
  <c r="K604"/>
  <c r="G604"/>
  <c r="O595"/>
  <c r="K595"/>
  <c r="G595"/>
  <c r="O594"/>
  <c r="K594"/>
  <c r="G594"/>
  <c r="P585"/>
  <c r="L585"/>
  <c r="H585"/>
  <c r="P584"/>
  <c r="L584"/>
  <c r="H584"/>
  <c r="M575"/>
  <c r="H575"/>
  <c r="O574"/>
  <c r="I574"/>
  <c r="P573"/>
  <c r="K573"/>
  <c r="E573"/>
  <c r="M572"/>
  <c r="H572"/>
  <c r="P565"/>
  <c r="J565"/>
  <c r="E565"/>
  <c r="L564"/>
  <c r="F564"/>
  <c r="L562"/>
  <c r="J553"/>
  <c r="J555" s="1"/>
  <c r="P552"/>
  <c r="K552"/>
  <c r="K555" s="1"/>
  <c r="F552"/>
  <c r="N544"/>
  <c r="F544"/>
  <c r="J543"/>
  <c r="P533"/>
  <c r="L532"/>
  <c r="H531"/>
  <c r="H515"/>
  <c r="M502"/>
  <c r="I502"/>
  <c r="E502"/>
  <c r="M541"/>
  <c r="M542"/>
  <c r="M543"/>
  <c r="M544"/>
  <c r="I541"/>
  <c r="I542"/>
  <c r="I543"/>
  <c r="I544"/>
  <c r="E541"/>
  <c r="E542"/>
  <c r="E543"/>
  <c r="E544"/>
  <c r="M521"/>
  <c r="M522"/>
  <c r="M523"/>
  <c r="M524"/>
  <c r="N521"/>
  <c r="N522"/>
  <c r="N523"/>
  <c r="N524"/>
  <c r="I521"/>
  <c r="I522"/>
  <c r="I523"/>
  <c r="I524"/>
  <c r="J521"/>
  <c r="J522"/>
  <c r="J523"/>
  <c r="J524"/>
  <c r="E521"/>
  <c r="E522"/>
  <c r="E523"/>
  <c r="E524"/>
  <c r="F521"/>
  <c r="F522"/>
  <c r="F523"/>
  <c r="F524"/>
  <c r="N501"/>
  <c r="O502"/>
  <c r="O673" s="1"/>
  <c r="N19" i="241" s="1"/>
  <c r="O503" i="109"/>
  <c r="O504"/>
  <c r="O501"/>
  <c r="N502"/>
  <c r="N503"/>
  <c r="N504"/>
  <c r="J501"/>
  <c r="K502"/>
  <c r="K673" s="1"/>
  <c r="J19" i="241" s="1"/>
  <c r="K503" i="109"/>
  <c r="K504"/>
  <c r="K501"/>
  <c r="J502"/>
  <c r="J673" s="1"/>
  <c r="I19" i="241" s="1"/>
  <c r="J503" i="109"/>
  <c r="J504"/>
  <c r="F501"/>
  <c r="G502"/>
  <c r="G673" s="1"/>
  <c r="F19" i="241" s="1"/>
  <c r="G503" i="109"/>
  <c r="G504"/>
  <c r="G501"/>
  <c r="F502"/>
  <c r="F503"/>
  <c r="F504"/>
  <c r="N573"/>
  <c r="N574"/>
  <c r="J573"/>
  <c r="J574"/>
  <c r="J575"/>
  <c r="F573"/>
  <c r="F576" s="1"/>
  <c r="F574"/>
  <c r="F575"/>
  <c r="M551"/>
  <c r="M552"/>
  <c r="M553"/>
  <c r="M554"/>
  <c r="I551"/>
  <c r="I552"/>
  <c r="I553"/>
  <c r="I554"/>
  <c r="E551"/>
  <c r="E552"/>
  <c r="E553"/>
  <c r="E554"/>
  <c r="P626"/>
  <c r="L626"/>
  <c r="H626"/>
  <c r="P625"/>
  <c r="L625"/>
  <c r="H625"/>
  <c r="P624"/>
  <c r="L624"/>
  <c r="L681" s="1"/>
  <c r="K59" i="240" s="1"/>
  <c r="H624" i="109"/>
  <c r="H681" s="1"/>
  <c r="M616"/>
  <c r="I616"/>
  <c r="E616"/>
  <c r="M615"/>
  <c r="I615"/>
  <c r="E615"/>
  <c r="M614"/>
  <c r="I614"/>
  <c r="E614"/>
  <c r="E617" s="1"/>
  <c r="M606"/>
  <c r="I606"/>
  <c r="E606"/>
  <c r="M605"/>
  <c r="I605"/>
  <c r="E605"/>
  <c r="M604"/>
  <c r="I604"/>
  <c r="I607" s="1"/>
  <c r="E604"/>
  <c r="M595"/>
  <c r="I595"/>
  <c r="E595"/>
  <c r="M594"/>
  <c r="I594"/>
  <c r="E594"/>
  <c r="M593"/>
  <c r="M596" s="1"/>
  <c r="I593"/>
  <c r="I679" s="1"/>
  <c r="H33" i="240" s="1"/>
  <c r="E593" i="109"/>
  <c r="E679" s="1"/>
  <c r="D33" i="240" s="1"/>
  <c r="N585" i="109"/>
  <c r="J585"/>
  <c r="F585"/>
  <c r="N584"/>
  <c r="J584"/>
  <c r="F584"/>
  <c r="N583"/>
  <c r="N677" s="1"/>
  <c r="J583"/>
  <c r="J677" s="1"/>
  <c r="F583"/>
  <c r="F677" s="1"/>
  <c r="O575"/>
  <c r="K575"/>
  <c r="E575"/>
  <c r="L574"/>
  <c r="G574"/>
  <c r="M573"/>
  <c r="M676" s="1"/>
  <c r="L58" i="241" s="1"/>
  <c r="H573" i="109"/>
  <c r="H676" s="1"/>
  <c r="G58" i="241" s="1"/>
  <c r="M565" i="109"/>
  <c r="H565"/>
  <c r="H566" s="1"/>
  <c r="N564"/>
  <c r="I564"/>
  <c r="K563"/>
  <c r="K675" s="1"/>
  <c r="J45" i="241" s="1"/>
  <c r="F563" i="109"/>
  <c r="F675" s="1"/>
  <c r="E45" i="241" s="1"/>
  <c r="O562" i="109"/>
  <c r="J562"/>
  <c r="M562"/>
  <c r="I562"/>
  <c r="E562"/>
  <c r="P554"/>
  <c r="F554"/>
  <c r="O555"/>
  <c r="J544"/>
  <c r="N543"/>
  <c r="F543"/>
  <c r="J542"/>
  <c r="J545" s="1"/>
  <c r="N541"/>
  <c r="F541"/>
  <c r="L534"/>
  <c r="L535" s="1"/>
  <c r="H533"/>
  <c r="P531"/>
  <c r="P523"/>
  <c r="L522"/>
  <c r="H521"/>
  <c r="H525" s="1"/>
  <c r="P515"/>
  <c r="M482"/>
  <c r="M483"/>
  <c r="M484"/>
  <c r="I482"/>
  <c r="I483"/>
  <c r="I484"/>
  <c r="E482"/>
  <c r="E483"/>
  <c r="E484"/>
  <c r="M461"/>
  <c r="M462"/>
  <c r="M463"/>
  <c r="M464"/>
  <c r="I461"/>
  <c r="I462"/>
  <c r="I463"/>
  <c r="I464"/>
  <c r="E461"/>
  <c r="E462"/>
  <c r="E463"/>
  <c r="E464"/>
  <c r="M439"/>
  <c r="M440"/>
  <c r="M441"/>
  <c r="M442"/>
  <c r="I439"/>
  <c r="I440"/>
  <c r="I441"/>
  <c r="I442"/>
  <c r="E439"/>
  <c r="E440"/>
  <c r="E441"/>
  <c r="E442"/>
  <c r="O418"/>
  <c r="O419"/>
  <c r="O420"/>
  <c r="O421"/>
  <c r="M418"/>
  <c r="M419"/>
  <c r="M420"/>
  <c r="M421"/>
  <c r="K418"/>
  <c r="K419"/>
  <c r="K420"/>
  <c r="K421"/>
  <c r="I418"/>
  <c r="I419"/>
  <c r="I420"/>
  <c r="I421"/>
  <c r="G418"/>
  <c r="G419"/>
  <c r="G420"/>
  <c r="G421"/>
  <c r="E418"/>
  <c r="E419"/>
  <c r="E420"/>
  <c r="E421"/>
  <c r="E377"/>
  <c r="P378"/>
  <c r="O379"/>
  <c r="O704" s="1"/>
  <c r="N58" i="245" s="1"/>
  <c r="O380" i="109"/>
  <c r="O378"/>
  <c r="O706" s="1"/>
  <c r="N32" i="244" s="1"/>
  <c r="O377" i="109"/>
  <c r="E379"/>
  <c r="E704" s="1"/>
  <c r="D58" i="245" s="1"/>
  <c r="E380" i="109"/>
  <c r="M377"/>
  <c r="L378"/>
  <c r="L706" s="1"/>
  <c r="K32" i="244" s="1"/>
  <c r="K379" i="109"/>
  <c r="K704" s="1"/>
  <c r="J58" i="245" s="1"/>
  <c r="K380" i="109"/>
  <c r="K378"/>
  <c r="K706" s="1"/>
  <c r="J32" i="244" s="1"/>
  <c r="K377" i="109"/>
  <c r="M379"/>
  <c r="M704" s="1"/>
  <c r="L58" i="245" s="1"/>
  <c r="M380" i="109"/>
  <c r="I377"/>
  <c r="H378"/>
  <c r="H706" s="1"/>
  <c r="G32" i="244" s="1"/>
  <c r="G379" i="109"/>
  <c r="G704" s="1"/>
  <c r="F58" i="245" s="1"/>
  <c r="G380" i="109"/>
  <c r="G378"/>
  <c r="G706" s="1"/>
  <c r="F32" i="244" s="1"/>
  <c r="G377" i="109"/>
  <c r="I379"/>
  <c r="I704" s="1"/>
  <c r="H58" i="245" s="1"/>
  <c r="I380" i="109"/>
  <c r="E357"/>
  <c r="E358"/>
  <c r="E359"/>
  <c r="E360"/>
  <c r="O357"/>
  <c r="O358"/>
  <c r="O359"/>
  <c r="O360"/>
  <c r="M357"/>
  <c r="M358"/>
  <c r="M359"/>
  <c r="M360"/>
  <c r="K357"/>
  <c r="K358"/>
  <c r="K359"/>
  <c r="K360"/>
  <c r="I357"/>
  <c r="I358"/>
  <c r="I359"/>
  <c r="I360"/>
  <c r="G357"/>
  <c r="G358"/>
  <c r="G359"/>
  <c r="G360"/>
  <c r="E336"/>
  <c r="E337"/>
  <c r="E338"/>
  <c r="E339"/>
  <c r="O336"/>
  <c r="O337"/>
  <c r="O338"/>
  <c r="O339"/>
  <c r="M336"/>
  <c r="M337"/>
  <c r="M338"/>
  <c r="M339"/>
  <c r="K336"/>
  <c r="K337"/>
  <c r="K338"/>
  <c r="K339"/>
  <c r="I336"/>
  <c r="I337"/>
  <c r="I338"/>
  <c r="I339"/>
  <c r="G336"/>
  <c r="G337"/>
  <c r="G338"/>
  <c r="G339"/>
  <c r="L474"/>
  <c r="L475" s="1"/>
  <c r="P473"/>
  <c r="H473"/>
  <c r="L472"/>
  <c r="P471"/>
  <c r="H471"/>
  <c r="L465"/>
  <c r="L453"/>
  <c r="P452"/>
  <c r="H452"/>
  <c r="L451"/>
  <c r="P450"/>
  <c r="H450"/>
  <c r="L443"/>
  <c r="H433"/>
  <c r="H401"/>
  <c r="P399"/>
  <c r="L398"/>
  <c r="H391"/>
  <c r="N370"/>
  <c r="J369"/>
  <c r="F368"/>
  <c r="N350"/>
  <c r="J349"/>
  <c r="F348"/>
  <c r="J340"/>
  <c r="N329"/>
  <c r="J328"/>
  <c r="F327"/>
  <c r="J319"/>
  <c r="E491"/>
  <c r="E492"/>
  <c r="O408"/>
  <c r="O409"/>
  <c r="O410"/>
  <c r="O411"/>
  <c r="M408"/>
  <c r="M409"/>
  <c r="M410"/>
  <c r="M411"/>
  <c r="K408"/>
  <c r="K409"/>
  <c r="K410"/>
  <c r="K411"/>
  <c r="I408"/>
  <c r="I409"/>
  <c r="I410"/>
  <c r="I411"/>
  <c r="G408"/>
  <c r="G409"/>
  <c r="G410"/>
  <c r="G411"/>
  <c r="E408"/>
  <c r="E409"/>
  <c r="E410"/>
  <c r="E411"/>
  <c r="O534"/>
  <c r="K534"/>
  <c r="G534"/>
  <c r="O533"/>
  <c r="K533"/>
  <c r="G533"/>
  <c r="O532"/>
  <c r="K532"/>
  <c r="G532"/>
  <c r="O524"/>
  <c r="K524"/>
  <c r="G524"/>
  <c r="O523"/>
  <c r="K523"/>
  <c r="G523"/>
  <c r="O522"/>
  <c r="K522"/>
  <c r="G522"/>
  <c r="O514"/>
  <c r="K514"/>
  <c r="G514"/>
  <c r="O513"/>
  <c r="K513"/>
  <c r="G513"/>
  <c r="O512"/>
  <c r="K512"/>
  <c r="G512"/>
  <c r="P494"/>
  <c r="L494"/>
  <c r="H494"/>
  <c r="P493"/>
  <c r="L493"/>
  <c r="H493"/>
  <c r="L492"/>
  <c r="H492"/>
  <c r="O491"/>
  <c r="M491"/>
  <c r="M495" s="1"/>
  <c r="I491"/>
  <c r="I495" s="1"/>
  <c r="P484"/>
  <c r="K484"/>
  <c r="F484"/>
  <c r="L483"/>
  <c r="L485" s="1"/>
  <c r="G483"/>
  <c r="G485" s="1"/>
  <c r="N482"/>
  <c r="N666" s="1"/>
  <c r="M58" i="242" s="1"/>
  <c r="H482" i="109"/>
  <c r="H666" s="1"/>
  <c r="G58" i="242" s="1"/>
  <c r="P481" i="109"/>
  <c r="K481"/>
  <c r="E481"/>
  <c r="N481"/>
  <c r="J481"/>
  <c r="F481"/>
  <c r="O474"/>
  <c r="G474"/>
  <c r="K473"/>
  <c r="K464"/>
  <c r="O463"/>
  <c r="G463"/>
  <c r="K462"/>
  <c r="O461"/>
  <c r="G461"/>
  <c r="N461"/>
  <c r="J461"/>
  <c r="F461"/>
  <c r="O453"/>
  <c r="G453"/>
  <c r="K452"/>
  <c r="K442"/>
  <c r="O441"/>
  <c r="G441"/>
  <c r="K440"/>
  <c r="O439"/>
  <c r="G439"/>
  <c r="N439"/>
  <c r="J439"/>
  <c r="F439"/>
  <c r="L433"/>
  <c r="L391"/>
  <c r="P381"/>
  <c r="N340"/>
  <c r="M471"/>
  <c r="M472"/>
  <c r="M473"/>
  <c r="M474"/>
  <c r="I471"/>
  <c r="I472"/>
  <c r="I473"/>
  <c r="I474"/>
  <c r="E471"/>
  <c r="E472"/>
  <c r="E473"/>
  <c r="E474"/>
  <c r="M450"/>
  <c r="M451"/>
  <c r="M452"/>
  <c r="M453"/>
  <c r="I450"/>
  <c r="I451"/>
  <c r="I452"/>
  <c r="I453"/>
  <c r="E450"/>
  <c r="E451"/>
  <c r="E452"/>
  <c r="E453"/>
  <c r="O398"/>
  <c r="O399"/>
  <c r="O400"/>
  <c r="O401"/>
  <c r="M398"/>
  <c r="M399"/>
  <c r="M400"/>
  <c r="M401"/>
  <c r="K398"/>
  <c r="K399"/>
  <c r="K400"/>
  <c r="K401"/>
  <c r="I398"/>
  <c r="I399"/>
  <c r="I400"/>
  <c r="I401"/>
  <c r="G398"/>
  <c r="G399"/>
  <c r="G400"/>
  <c r="G401"/>
  <c r="E398"/>
  <c r="E399"/>
  <c r="E400"/>
  <c r="E401"/>
  <c r="E367"/>
  <c r="E368"/>
  <c r="E369"/>
  <c r="E370"/>
  <c r="O367"/>
  <c r="O368"/>
  <c r="O369"/>
  <c r="O370"/>
  <c r="M367"/>
  <c r="M368"/>
  <c r="M369"/>
  <c r="M370"/>
  <c r="K367"/>
  <c r="K368"/>
  <c r="K369"/>
  <c r="K370"/>
  <c r="I367"/>
  <c r="I368"/>
  <c r="I369"/>
  <c r="I370"/>
  <c r="G367"/>
  <c r="G368"/>
  <c r="G369"/>
  <c r="G370"/>
  <c r="E347"/>
  <c r="E348"/>
  <c r="E349"/>
  <c r="E350"/>
  <c r="O347"/>
  <c r="O348"/>
  <c r="O349"/>
  <c r="O350"/>
  <c r="M347"/>
  <c r="M348"/>
  <c r="M349"/>
  <c r="M350"/>
  <c r="K347"/>
  <c r="K348"/>
  <c r="K349"/>
  <c r="K350"/>
  <c r="I347"/>
  <c r="I348"/>
  <c r="I349"/>
  <c r="I350"/>
  <c r="G347"/>
  <c r="G348"/>
  <c r="G349"/>
  <c r="G350"/>
  <c r="E326"/>
  <c r="E327"/>
  <c r="E328"/>
  <c r="E329"/>
  <c r="O326"/>
  <c r="O327"/>
  <c r="O328"/>
  <c r="O329"/>
  <c r="M326"/>
  <c r="M327"/>
  <c r="M328"/>
  <c r="M329"/>
  <c r="K326"/>
  <c r="K327"/>
  <c r="K328"/>
  <c r="K329"/>
  <c r="I326"/>
  <c r="I327"/>
  <c r="I328"/>
  <c r="I329"/>
  <c r="G326"/>
  <c r="G327"/>
  <c r="G328"/>
  <c r="G329"/>
  <c r="P465"/>
  <c r="H465"/>
  <c r="L454"/>
  <c r="P443"/>
  <c r="H443"/>
  <c r="P433"/>
  <c r="O429"/>
  <c r="O430"/>
  <c r="O431"/>
  <c r="M429"/>
  <c r="M430"/>
  <c r="M431"/>
  <c r="M432"/>
  <c r="K429"/>
  <c r="K430"/>
  <c r="K431"/>
  <c r="I429"/>
  <c r="I430"/>
  <c r="I431"/>
  <c r="I432"/>
  <c r="G429"/>
  <c r="G430"/>
  <c r="G431"/>
  <c r="E429"/>
  <c r="E430"/>
  <c r="E431"/>
  <c r="E432"/>
  <c r="O387"/>
  <c r="O388"/>
  <c r="O389"/>
  <c r="O390"/>
  <c r="M387"/>
  <c r="M388"/>
  <c r="M389"/>
  <c r="M390"/>
  <c r="K387"/>
  <c r="K388"/>
  <c r="K389"/>
  <c r="K390"/>
  <c r="I387"/>
  <c r="I388"/>
  <c r="I389"/>
  <c r="I390"/>
  <c r="G387"/>
  <c r="G388"/>
  <c r="G389"/>
  <c r="G390"/>
  <c r="E387"/>
  <c r="E388"/>
  <c r="E389"/>
  <c r="E390"/>
  <c r="M504"/>
  <c r="I504"/>
  <c r="E504"/>
  <c r="M503"/>
  <c r="I503"/>
  <c r="E503"/>
  <c r="N494"/>
  <c r="J494"/>
  <c r="F494"/>
  <c r="N493"/>
  <c r="J493"/>
  <c r="F493"/>
  <c r="N492"/>
  <c r="J492"/>
  <c r="F492"/>
  <c r="G491"/>
  <c r="N484"/>
  <c r="H484"/>
  <c r="O483"/>
  <c r="O485" s="1"/>
  <c r="J483"/>
  <c r="P482"/>
  <c r="P666" s="1"/>
  <c r="O58" i="242" s="1"/>
  <c r="K482" i="109"/>
  <c r="K666" s="1"/>
  <c r="J58" i="242" s="1"/>
  <c r="F482" i="109"/>
  <c r="F666" s="1"/>
  <c r="E58" i="242" s="1"/>
  <c r="M481" i="109"/>
  <c r="H481"/>
  <c r="K474"/>
  <c r="O473"/>
  <c r="G473"/>
  <c r="K472"/>
  <c r="O471"/>
  <c r="G471"/>
  <c r="N471"/>
  <c r="J471"/>
  <c r="F471"/>
  <c r="O464"/>
  <c r="G464"/>
  <c r="K463"/>
  <c r="O462"/>
  <c r="G462"/>
  <c r="K461"/>
  <c r="K453"/>
  <c r="O452"/>
  <c r="G452"/>
  <c r="K451"/>
  <c r="O450"/>
  <c r="G450"/>
  <c r="N450"/>
  <c r="J450"/>
  <c r="F450"/>
  <c r="O442"/>
  <c r="G442"/>
  <c r="K441"/>
  <c r="O440"/>
  <c r="G440"/>
  <c r="K439"/>
  <c r="L421"/>
  <c r="L422" s="1"/>
  <c r="H420"/>
  <c r="H422" s="1"/>
  <c r="P418"/>
  <c r="P422" s="1"/>
  <c r="H411"/>
  <c r="H412" s="1"/>
  <c r="P409"/>
  <c r="P412" s="1"/>
  <c r="L408"/>
  <c r="P400"/>
  <c r="L399"/>
  <c r="H398"/>
  <c r="H402" s="1"/>
  <c r="N398"/>
  <c r="J398"/>
  <c r="F398"/>
  <c r="L380"/>
  <c r="H379"/>
  <c r="H704" s="1"/>
  <c r="G58" i="245" s="1"/>
  <c r="E378" i="109"/>
  <c r="F377"/>
  <c r="N379"/>
  <c r="N704" s="1"/>
  <c r="M58" i="245" s="1"/>
  <c r="J379" i="109"/>
  <c r="J704" s="1"/>
  <c r="I58" i="245" s="1"/>
  <c r="F379" i="109"/>
  <c r="F704" s="1"/>
  <c r="E58" i="245" s="1"/>
  <c r="J370" i="109"/>
  <c r="J371" s="1"/>
  <c r="F369"/>
  <c r="N367"/>
  <c r="P367"/>
  <c r="L367"/>
  <c r="H367"/>
  <c r="N359"/>
  <c r="N361" s="1"/>
  <c r="J358"/>
  <c r="J361" s="1"/>
  <c r="F357"/>
  <c r="J350"/>
  <c r="F349"/>
  <c r="N347"/>
  <c r="N351" s="1"/>
  <c r="P347"/>
  <c r="L347"/>
  <c r="H347"/>
  <c r="F340"/>
  <c r="J329"/>
  <c r="F328"/>
  <c r="N326"/>
  <c r="N330" s="1"/>
  <c r="P326"/>
  <c r="L326"/>
  <c r="H326"/>
  <c r="F319"/>
  <c r="E131"/>
  <c r="E132"/>
  <c r="E133"/>
  <c r="E134"/>
  <c r="P131"/>
  <c r="P132"/>
  <c r="P133"/>
  <c r="P134"/>
  <c r="M131"/>
  <c r="M132"/>
  <c r="M133"/>
  <c r="M134"/>
  <c r="L131"/>
  <c r="L132"/>
  <c r="L133"/>
  <c r="L134"/>
  <c r="I131"/>
  <c r="I132"/>
  <c r="I133"/>
  <c r="I134"/>
  <c r="H131"/>
  <c r="H132"/>
  <c r="H133"/>
  <c r="H134"/>
  <c r="N92"/>
  <c r="N93"/>
  <c r="N94"/>
  <c r="N91"/>
  <c r="M92"/>
  <c r="M93"/>
  <c r="M94"/>
  <c r="M91"/>
  <c r="J92"/>
  <c r="J93"/>
  <c r="J94"/>
  <c r="J91"/>
  <c r="I92"/>
  <c r="I93"/>
  <c r="I94"/>
  <c r="I91"/>
  <c r="F92"/>
  <c r="F93"/>
  <c r="F94"/>
  <c r="F91"/>
  <c r="E92"/>
  <c r="E93"/>
  <c r="E94"/>
  <c r="E91"/>
  <c r="N378"/>
  <c r="J378"/>
  <c r="F378"/>
  <c r="F706" s="1"/>
  <c r="E32" i="244" s="1"/>
  <c r="O318" i="109"/>
  <c r="K318"/>
  <c r="G318"/>
  <c r="O317"/>
  <c r="K317"/>
  <c r="G317"/>
  <c r="O316"/>
  <c r="K316"/>
  <c r="G316"/>
  <c r="O315"/>
  <c r="K315"/>
  <c r="G315"/>
  <c r="O308"/>
  <c r="K308"/>
  <c r="G308"/>
  <c r="O307"/>
  <c r="K307"/>
  <c r="G307"/>
  <c r="O306"/>
  <c r="K306"/>
  <c r="G306"/>
  <c r="O305"/>
  <c r="K305"/>
  <c r="G305"/>
  <c r="O298"/>
  <c r="K298"/>
  <c r="G298"/>
  <c r="O297"/>
  <c r="K297"/>
  <c r="G297"/>
  <c r="P295"/>
  <c r="L295"/>
  <c r="H295"/>
  <c r="P288"/>
  <c r="L288"/>
  <c r="H288"/>
  <c r="P287"/>
  <c r="L287"/>
  <c r="H287"/>
  <c r="P286"/>
  <c r="L286"/>
  <c r="H286"/>
  <c r="P285"/>
  <c r="L285"/>
  <c r="H285"/>
  <c r="P278"/>
  <c r="L278"/>
  <c r="H278"/>
  <c r="P277"/>
  <c r="L277"/>
  <c r="H277"/>
  <c r="P276"/>
  <c r="L276"/>
  <c r="H276"/>
  <c r="P275"/>
  <c r="L275"/>
  <c r="H275"/>
  <c r="P267"/>
  <c r="L267"/>
  <c r="H267"/>
  <c r="P266"/>
  <c r="L266"/>
  <c r="H266"/>
  <c r="P265"/>
  <c r="L265"/>
  <c r="H265"/>
  <c r="P264"/>
  <c r="L264"/>
  <c r="H264"/>
  <c r="P257"/>
  <c r="L257"/>
  <c r="H257"/>
  <c r="P256"/>
  <c r="L256"/>
  <c r="H256"/>
  <c r="M254"/>
  <c r="I254"/>
  <c r="E254"/>
  <c r="M247"/>
  <c r="I247"/>
  <c r="E247"/>
  <c r="M246"/>
  <c r="I246"/>
  <c r="E246"/>
  <c r="N244"/>
  <c r="J244"/>
  <c r="F244"/>
  <c r="N237"/>
  <c r="J237"/>
  <c r="F237"/>
  <c r="N236"/>
  <c r="J236"/>
  <c r="F236"/>
  <c r="N235"/>
  <c r="J235"/>
  <c r="F235"/>
  <c r="N234"/>
  <c r="J234"/>
  <c r="F234"/>
  <c r="N226"/>
  <c r="J226"/>
  <c r="F226"/>
  <c r="N225"/>
  <c r="J225"/>
  <c r="F225"/>
  <c r="N224"/>
  <c r="J224"/>
  <c r="F224"/>
  <c r="O223"/>
  <c r="K223"/>
  <c r="G223"/>
  <c r="O216"/>
  <c r="K216"/>
  <c r="G216"/>
  <c r="O215"/>
  <c r="K215"/>
  <c r="G215"/>
  <c r="O214"/>
  <c r="K214"/>
  <c r="G214"/>
  <c r="O206"/>
  <c r="K206"/>
  <c r="G206"/>
  <c r="O205"/>
  <c r="K205"/>
  <c r="G205"/>
  <c r="O204"/>
  <c r="K204"/>
  <c r="G204"/>
  <c r="O195"/>
  <c r="K195"/>
  <c r="G195"/>
  <c r="O194"/>
  <c r="K194"/>
  <c r="G194"/>
  <c r="O193"/>
  <c r="K193"/>
  <c r="G193"/>
  <c r="O185"/>
  <c r="K185"/>
  <c r="G185"/>
  <c r="O184"/>
  <c r="K184"/>
  <c r="G184"/>
  <c r="O183"/>
  <c r="J183"/>
  <c r="J186" s="1"/>
  <c r="P182"/>
  <c r="K182"/>
  <c r="F182"/>
  <c r="N174"/>
  <c r="O173"/>
  <c r="P172"/>
  <c r="K176"/>
  <c r="J165"/>
  <c r="F164"/>
  <c r="N162"/>
  <c r="K125"/>
  <c r="F111"/>
  <c r="P151"/>
  <c r="P152"/>
  <c r="P153"/>
  <c r="P154"/>
  <c r="O151"/>
  <c r="O152"/>
  <c r="O153"/>
  <c r="O154"/>
  <c r="L151"/>
  <c r="L152"/>
  <c r="L153"/>
  <c r="L154"/>
  <c r="K151"/>
  <c r="K152"/>
  <c r="K153"/>
  <c r="K154"/>
  <c r="H151"/>
  <c r="H152"/>
  <c r="H153"/>
  <c r="H154"/>
  <c r="G151"/>
  <c r="G152"/>
  <c r="G153"/>
  <c r="G154"/>
  <c r="E121"/>
  <c r="E122"/>
  <c r="E123"/>
  <c r="E124"/>
  <c r="P121"/>
  <c r="P122"/>
  <c r="P123"/>
  <c r="P124"/>
  <c r="M121"/>
  <c r="M122"/>
  <c r="M123"/>
  <c r="M124"/>
  <c r="L121"/>
  <c r="L122"/>
  <c r="L123"/>
  <c r="L124"/>
  <c r="I121"/>
  <c r="I122"/>
  <c r="I123"/>
  <c r="I124"/>
  <c r="H121"/>
  <c r="H122"/>
  <c r="H123"/>
  <c r="H124"/>
  <c r="N474"/>
  <c r="J474"/>
  <c r="F474"/>
  <c r="N473"/>
  <c r="J473"/>
  <c r="F473"/>
  <c r="N472"/>
  <c r="J472"/>
  <c r="F472"/>
  <c r="N464"/>
  <c r="J464"/>
  <c r="F464"/>
  <c r="N463"/>
  <c r="J463"/>
  <c r="F463"/>
  <c r="N462"/>
  <c r="J462"/>
  <c r="F462"/>
  <c r="N453"/>
  <c r="J453"/>
  <c r="F453"/>
  <c r="N452"/>
  <c r="J452"/>
  <c r="F452"/>
  <c r="N451"/>
  <c r="J451"/>
  <c r="F451"/>
  <c r="N442"/>
  <c r="J442"/>
  <c r="F442"/>
  <c r="N441"/>
  <c r="J441"/>
  <c r="F441"/>
  <c r="N440"/>
  <c r="J440"/>
  <c r="F440"/>
  <c r="N432"/>
  <c r="J432"/>
  <c r="F432"/>
  <c r="N431"/>
  <c r="J431"/>
  <c r="F431"/>
  <c r="N430"/>
  <c r="J430"/>
  <c r="F430"/>
  <c r="N421"/>
  <c r="J421"/>
  <c r="F421"/>
  <c r="N420"/>
  <c r="J420"/>
  <c r="F420"/>
  <c r="N419"/>
  <c r="J419"/>
  <c r="F419"/>
  <c r="N411"/>
  <c r="J411"/>
  <c r="F411"/>
  <c r="N410"/>
  <c r="J410"/>
  <c r="F410"/>
  <c r="N409"/>
  <c r="J409"/>
  <c r="F409"/>
  <c r="N401"/>
  <c r="J401"/>
  <c r="F401"/>
  <c r="N400"/>
  <c r="J400"/>
  <c r="F400"/>
  <c r="N399"/>
  <c r="J399"/>
  <c r="F399"/>
  <c r="N390"/>
  <c r="J390"/>
  <c r="F390"/>
  <c r="N389"/>
  <c r="J389"/>
  <c r="F389"/>
  <c r="N388"/>
  <c r="J388"/>
  <c r="F388"/>
  <c r="N380"/>
  <c r="J380"/>
  <c r="F380"/>
  <c r="P370"/>
  <c r="L370"/>
  <c r="H370"/>
  <c r="P369"/>
  <c r="L369"/>
  <c r="H369"/>
  <c r="P368"/>
  <c r="L368"/>
  <c r="H368"/>
  <c r="P360"/>
  <c r="L360"/>
  <c r="H360"/>
  <c r="P359"/>
  <c r="L359"/>
  <c r="H359"/>
  <c r="P358"/>
  <c r="L358"/>
  <c r="H358"/>
  <c r="P350"/>
  <c r="L350"/>
  <c r="H350"/>
  <c r="P349"/>
  <c r="L349"/>
  <c r="H349"/>
  <c r="P348"/>
  <c r="L348"/>
  <c r="H348"/>
  <c r="P339"/>
  <c r="L339"/>
  <c r="H339"/>
  <c r="P338"/>
  <c r="L338"/>
  <c r="H338"/>
  <c r="P337"/>
  <c r="L337"/>
  <c r="H337"/>
  <c r="P329"/>
  <c r="L329"/>
  <c r="H329"/>
  <c r="P328"/>
  <c r="L328"/>
  <c r="H328"/>
  <c r="P327"/>
  <c r="L327"/>
  <c r="H327"/>
  <c r="P318"/>
  <c r="L318"/>
  <c r="H318"/>
  <c r="P317"/>
  <c r="L317"/>
  <c r="H317"/>
  <c r="P316"/>
  <c r="L316"/>
  <c r="H316"/>
  <c r="P308"/>
  <c r="L308"/>
  <c r="H308"/>
  <c r="P307"/>
  <c r="L307"/>
  <c r="H307"/>
  <c r="P306"/>
  <c r="L306"/>
  <c r="H306"/>
  <c r="P298"/>
  <c r="L298"/>
  <c r="H298"/>
  <c r="P297"/>
  <c r="L297"/>
  <c r="H297"/>
  <c r="P296"/>
  <c r="P699" s="1"/>
  <c r="O19" i="177" s="1"/>
  <c r="L296" i="109"/>
  <c r="L699" s="1"/>
  <c r="K19" i="177" s="1"/>
  <c r="H296" i="109"/>
  <c r="H699" s="1"/>
  <c r="G19" i="177" s="1"/>
  <c r="M288" i="109"/>
  <c r="I288"/>
  <c r="E288"/>
  <c r="M287"/>
  <c r="I287"/>
  <c r="E287"/>
  <c r="M286"/>
  <c r="I286"/>
  <c r="E286"/>
  <c r="M278"/>
  <c r="I278"/>
  <c r="E278"/>
  <c r="M277"/>
  <c r="I277"/>
  <c r="E277"/>
  <c r="M276"/>
  <c r="I276"/>
  <c r="E276"/>
  <c r="M267"/>
  <c r="I267"/>
  <c r="E267"/>
  <c r="M266"/>
  <c r="I266"/>
  <c r="E266"/>
  <c r="M265"/>
  <c r="I265"/>
  <c r="E265"/>
  <c r="M257"/>
  <c r="I257"/>
  <c r="E257"/>
  <c r="M256"/>
  <c r="I256"/>
  <c r="E256"/>
  <c r="M255"/>
  <c r="M694" s="1"/>
  <c r="L19" i="176" s="1"/>
  <c r="I255" i="109"/>
  <c r="I694" s="1"/>
  <c r="H19" i="176" s="1"/>
  <c r="E255" i="109"/>
  <c r="E694" s="1"/>
  <c r="D19" i="176" s="1"/>
  <c r="N247" i="109"/>
  <c r="J247"/>
  <c r="F247"/>
  <c r="N246"/>
  <c r="J246"/>
  <c r="F246"/>
  <c r="N245"/>
  <c r="N692" s="1"/>
  <c r="M45" i="175" s="1"/>
  <c r="J245" i="109"/>
  <c r="J692" s="1"/>
  <c r="I45" i="175" s="1"/>
  <c r="F245" i="109"/>
  <c r="F692" s="1"/>
  <c r="E45" i="175" s="1"/>
  <c r="O237" i="109"/>
  <c r="K237"/>
  <c r="G237"/>
  <c r="O236"/>
  <c r="K236"/>
  <c r="G236"/>
  <c r="O235"/>
  <c r="K235"/>
  <c r="G235"/>
  <c r="O226"/>
  <c r="K226"/>
  <c r="G226"/>
  <c r="O225"/>
  <c r="K225"/>
  <c r="G225"/>
  <c r="O224"/>
  <c r="O691" s="1"/>
  <c r="N32" i="175" s="1"/>
  <c r="K224" i="109"/>
  <c r="K691" s="1"/>
  <c r="J32" i="175" s="1"/>
  <c r="G224" i="109"/>
  <c r="G691" s="1"/>
  <c r="F32" i="175" s="1"/>
  <c r="P223" i="109"/>
  <c r="L223"/>
  <c r="H223"/>
  <c r="P216"/>
  <c r="L216"/>
  <c r="H216"/>
  <c r="P215"/>
  <c r="L215"/>
  <c r="H215"/>
  <c r="P214"/>
  <c r="L214"/>
  <c r="H214"/>
  <c r="P213"/>
  <c r="L213"/>
  <c r="H213"/>
  <c r="P206"/>
  <c r="L206"/>
  <c r="H206"/>
  <c r="P205"/>
  <c r="L205"/>
  <c r="H205"/>
  <c r="P204"/>
  <c r="L204"/>
  <c r="H204"/>
  <c r="P203"/>
  <c r="L203"/>
  <c r="H203"/>
  <c r="P195"/>
  <c r="L195"/>
  <c r="H195"/>
  <c r="P194"/>
  <c r="L194"/>
  <c r="H194"/>
  <c r="P193"/>
  <c r="L193"/>
  <c r="H193"/>
  <c r="P192"/>
  <c r="L192"/>
  <c r="H192"/>
  <c r="P185"/>
  <c r="L185"/>
  <c r="H185"/>
  <c r="H186" s="1"/>
  <c r="P184"/>
  <c r="L184"/>
  <c r="K183"/>
  <c r="F183"/>
  <c r="G182"/>
  <c r="N175"/>
  <c r="O174"/>
  <c r="P173"/>
  <c r="F173"/>
  <c r="F176" s="1"/>
  <c r="N165"/>
  <c r="J164"/>
  <c r="F163"/>
  <c r="F166" s="1"/>
  <c r="M162"/>
  <c r="I162"/>
  <c r="E162"/>
  <c r="J155"/>
  <c r="N144"/>
  <c r="J143"/>
  <c r="F142"/>
  <c r="F690" s="1"/>
  <c r="E19" i="175" s="1"/>
  <c r="N141" i="109"/>
  <c r="J141"/>
  <c r="F141"/>
  <c r="O134"/>
  <c r="K133"/>
  <c r="G132"/>
  <c r="O125"/>
  <c r="O103"/>
  <c r="K102"/>
  <c r="K105" s="1"/>
  <c r="G101"/>
  <c r="N101"/>
  <c r="J101"/>
  <c r="F101"/>
  <c r="O94"/>
  <c r="K93"/>
  <c r="G92"/>
  <c r="G685" s="1"/>
  <c r="F55" i="148" s="1"/>
  <c r="H91" i="109"/>
  <c r="P85"/>
  <c r="E111"/>
  <c r="E112"/>
  <c r="E113"/>
  <c r="E114"/>
  <c r="P111"/>
  <c r="P112"/>
  <c r="P113"/>
  <c r="P114"/>
  <c r="M111"/>
  <c r="M112"/>
  <c r="M113"/>
  <c r="M114"/>
  <c r="L111"/>
  <c r="L112"/>
  <c r="L113"/>
  <c r="L114"/>
  <c r="I111"/>
  <c r="I112"/>
  <c r="I113"/>
  <c r="I114"/>
  <c r="H111"/>
  <c r="H112"/>
  <c r="H113"/>
  <c r="H114"/>
  <c r="M318"/>
  <c r="I318"/>
  <c r="E318"/>
  <c r="M317"/>
  <c r="I317"/>
  <c r="E317"/>
  <c r="M316"/>
  <c r="I316"/>
  <c r="E316"/>
  <c r="M308"/>
  <c r="I308"/>
  <c r="E308"/>
  <c r="M307"/>
  <c r="I307"/>
  <c r="E307"/>
  <c r="M306"/>
  <c r="I306"/>
  <c r="E306"/>
  <c r="M298"/>
  <c r="I298"/>
  <c r="E298"/>
  <c r="M297"/>
  <c r="I297"/>
  <c r="E297"/>
  <c r="M296"/>
  <c r="M699" s="1"/>
  <c r="L19" i="177" s="1"/>
  <c r="I296" i="109"/>
  <c r="I699" s="1"/>
  <c r="H19" i="177" s="1"/>
  <c r="E296" i="109"/>
  <c r="E699" s="1"/>
  <c r="D19" i="177" s="1"/>
  <c r="N288" i="109"/>
  <c r="J288"/>
  <c r="F288"/>
  <c r="N287"/>
  <c r="J287"/>
  <c r="F287"/>
  <c r="N286"/>
  <c r="J286"/>
  <c r="F286"/>
  <c r="N278"/>
  <c r="J278"/>
  <c r="F278"/>
  <c r="N277"/>
  <c r="J277"/>
  <c r="F277"/>
  <c r="N276"/>
  <c r="J276"/>
  <c r="F276"/>
  <c r="N267"/>
  <c r="J267"/>
  <c r="F267"/>
  <c r="N266"/>
  <c r="J266"/>
  <c r="F266"/>
  <c r="N265"/>
  <c r="J265"/>
  <c r="F265"/>
  <c r="N257"/>
  <c r="J257"/>
  <c r="F257"/>
  <c r="N256"/>
  <c r="J256"/>
  <c r="F256"/>
  <c r="N255"/>
  <c r="N694" s="1"/>
  <c r="M19" i="176" s="1"/>
  <c r="J255" i="109"/>
  <c r="J694" s="1"/>
  <c r="I19" i="176" s="1"/>
  <c r="F255" i="109"/>
  <c r="F694" s="1"/>
  <c r="E19" i="176" s="1"/>
  <c r="O247" i="109"/>
  <c r="K247"/>
  <c r="G247"/>
  <c r="O246"/>
  <c r="K246"/>
  <c r="G246"/>
  <c r="O245"/>
  <c r="O692" s="1"/>
  <c r="N45" i="175" s="1"/>
  <c r="K245" i="109"/>
  <c r="K692" s="1"/>
  <c r="J45" i="175" s="1"/>
  <c r="G245" i="109"/>
  <c r="G692" s="1"/>
  <c r="F45" i="175" s="1"/>
  <c r="P237" i="109"/>
  <c r="L237"/>
  <c r="H237"/>
  <c r="P236"/>
  <c r="L236"/>
  <c r="H236"/>
  <c r="P235"/>
  <c r="L235"/>
  <c r="H235"/>
  <c r="P226"/>
  <c r="L226"/>
  <c r="H226"/>
  <c r="H225"/>
  <c r="P224"/>
  <c r="P691" s="1"/>
  <c r="O32" i="175" s="1"/>
  <c r="L224" i="109"/>
  <c r="L691" s="1"/>
  <c r="K32" i="175" s="1"/>
  <c r="M216" i="109"/>
  <c r="I216"/>
  <c r="E216"/>
  <c r="M215"/>
  <c r="I215"/>
  <c r="E215"/>
  <c r="M214"/>
  <c r="I214"/>
  <c r="E214"/>
  <c r="M206"/>
  <c r="I206"/>
  <c r="E206"/>
  <c r="M205"/>
  <c r="I205"/>
  <c r="E205"/>
  <c r="M204"/>
  <c r="I204"/>
  <c r="E204"/>
  <c r="M195"/>
  <c r="I195"/>
  <c r="E195"/>
  <c r="M194"/>
  <c r="I194"/>
  <c r="E194"/>
  <c r="M193"/>
  <c r="I193"/>
  <c r="E193"/>
  <c r="M185"/>
  <c r="I185"/>
  <c r="E185"/>
  <c r="M184"/>
  <c r="I184"/>
  <c r="E184"/>
  <c r="G183"/>
  <c r="O175"/>
  <c r="O176" s="1"/>
  <c r="P174"/>
  <c r="N155"/>
  <c r="J142"/>
  <c r="J690" s="1"/>
  <c r="I19" i="175" s="1"/>
  <c r="O133" i="109"/>
  <c r="K132"/>
  <c r="G131"/>
  <c r="N131"/>
  <c r="J131"/>
  <c r="F131"/>
  <c r="O115"/>
  <c r="L91"/>
  <c r="O91"/>
  <c r="K91"/>
  <c r="G91"/>
  <c r="M182"/>
  <c r="M183"/>
  <c r="I182"/>
  <c r="I183"/>
  <c r="E182"/>
  <c r="E183"/>
  <c r="M172"/>
  <c r="M173"/>
  <c r="M174"/>
  <c r="M175"/>
  <c r="P162"/>
  <c r="P163"/>
  <c r="P164"/>
  <c r="P165"/>
  <c r="O162"/>
  <c r="O163"/>
  <c r="O164"/>
  <c r="O165"/>
  <c r="L162"/>
  <c r="L163"/>
  <c r="L164"/>
  <c r="L165"/>
  <c r="K162"/>
  <c r="K163"/>
  <c r="K164"/>
  <c r="K165"/>
  <c r="H162"/>
  <c r="H163"/>
  <c r="H164"/>
  <c r="H165"/>
  <c r="G162"/>
  <c r="G163"/>
  <c r="G164"/>
  <c r="G165"/>
  <c r="E141"/>
  <c r="P142"/>
  <c r="P690" s="1"/>
  <c r="O19" i="175" s="1"/>
  <c r="P143" i="109"/>
  <c r="P144"/>
  <c r="P141"/>
  <c r="G142"/>
  <c r="G690" s="1"/>
  <c r="F19" i="175" s="1"/>
  <c r="G143" i="109"/>
  <c r="G144"/>
  <c r="M141"/>
  <c r="L142"/>
  <c r="L690" s="1"/>
  <c r="K19" i="175" s="1"/>
  <c r="L143" i="109"/>
  <c r="L144"/>
  <c r="L141"/>
  <c r="O142"/>
  <c r="O690" s="1"/>
  <c r="N19" i="175" s="1"/>
  <c r="O143" i="109"/>
  <c r="O144"/>
  <c r="I141"/>
  <c r="H142"/>
  <c r="H690" s="1"/>
  <c r="G19" i="175" s="1"/>
  <c r="H143" i="109"/>
  <c r="H144"/>
  <c r="H141"/>
  <c r="K142"/>
  <c r="K690" s="1"/>
  <c r="J19" i="175" s="1"/>
  <c r="K143" i="109"/>
  <c r="K144"/>
  <c r="E101"/>
  <c r="E102"/>
  <c r="E103"/>
  <c r="E104"/>
  <c r="P101"/>
  <c r="P102"/>
  <c r="P103"/>
  <c r="P104"/>
  <c r="M101"/>
  <c r="M102"/>
  <c r="M103"/>
  <c r="M104"/>
  <c r="L101"/>
  <c r="L102"/>
  <c r="L103"/>
  <c r="L104"/>
  <c r="I101"/>
  <c r="I102"/>
  <c r="I103"/>
  <c r="I104"/>
  <c r="H101"/>
  <c r="H102"/>
  <c r="H103"/>
  <c r="H104"/>
  <c r="J166"/>
  <c r="G134"/>
  <c r="O132"/>
  <c r="K131"/>
  <c r="G125"/>
  <c r="G112"/>
  <c r="G115" s="1"/>
  <c r="O105"/>
  <c r="G94"/>
  <c r="O92"/>
  <c r="O685" s="1"/>
  <c r="N55" i="148" s="1"/>
  <c r="P91" i="109"/>
  <c r="O11"/>
  <c r="N12"/>
  <c r="N13"/>
  <c r="N14"/>
  <c r="N11"/>
  <c r="K11"/>
  <c r="J12"/>
  <c r="J13"/>
  <c r="J14"/>
  <c r="J11"/>
  <c r="G11"/>
  <c r="F12"/>
  <c r="F13"/>
  <c r="F14"/>
  <c r="F11"/>
  <c r="P94"/>
  <c r="L94"/>
  <c r="H94"/>
  <c r="P93"/>
  <c r="L93"/>
  <c r="H93"/>
  <c r="P92"/>
  <c r="P685" s="1"/>
  <c r="O55" i="148" s="1"/>
  <c r="L92" i="109"/>
  <c r="L685" s="1"/>
  <c r="K55" i="148" s="1"/>
  <c r="H92" i="109"/>
  <c r="H685" s="1"/>
  <c r="G55" i="148" s="1"/>
  <c r="M84" i="109"/>
  <c r="I84"/>
  <c r="E84"/>
  <c r="M83"/>
  <c r="I83"/>
  <c r="E83"/>
  <c r="M82"/>
  <c r="I82"/>
  <c r="E82"/>
  <c r="M81"/>
  <c r="I81"/>
  <c r="E81"/>
  <c r="M74"/>
  <c r="I74"/>
  <c r="E74"/>
  <c r="M73"/>
  <c r="I73"/>
  <c r="E73"/>
  <c r="M72"/>
  <c r="I72"/>
  <c r="E72"/>
  <c r="M71"/>
  <c r="I71"/>
  <c r="E71"/>
  <c r="M64"/>
  <c r="I64"/>
  <c r="E64"/>
  <c r="M63"/>
  <c r="I63"/>
  <c r="E63"/>
  <c r="M62"/>
  <c r="I62"/>
  <c r="E62"/>
  <c r="M61"/>
  <c r="I61"/>
  <c r="E61"/>
  <c r="M54"/>
  <c r="I54"/>
  <c r="E54"/>
  <c r="M53"/>
  <c r="I53"/>
  <c r="E53"/>
  <c r="M52"/>
  <c r="I52"/>
  <c r="E52"/>
  <c r="M51"/>
  <c r="I51"/>
  <c r="E51"/>
  <c r="M44"/>
  <c r="I44"/>
  <c r="E44"/>
  <c r="M43"/>
  <c r="M653" s="1"/>
  <c r="L98" i="100" s="1"/>
  <c r="I43" i="109"/>
  <c r="I653" s="1"/>
  <c r="H98" i="100" s="1"/>
  <c r="E43" i="109"/>
  <c r="E653" s="1"/>
  <c r="D98" i="100" s="1"/>
  <c r="N42" i="109"/>
  <c r="J42"/>
  <c r="F42"/>
  <c r="O41"/>
  <c r="K41"/>
  <c r="G41"/>
  <c r="P33"/>
  <c r="F33"/>
  <c r="J32"/>
  <c r="J685" s="1"/>
  <c r="I55" i="148" s="1"/>
  <c r="P31" i="109"/>
  <c r="H31"/>
  <c r="K25"/>
  <c r="P14"/>
  <c r="H14"/>
  <c r="L13"/>
  <c r="P12"/>
  <c r="P661" s="1"/>
  <c r="O111" i="100" s="1"/>
  <c r="H12" i="109"/>
  <c r="H661" s="1"/>
  <c r="G111" i="100" s="1"/>
  <c r="M11" i="109"/>
  <c r="E11"/>
  <c r="N21"/>
  <c r="N22"/>
  <c r="N23"/>
  <c r="N24"/>
  <c r="M21"/>
  <c r="M22"/>
  <c r="M23"/>
  <c r="M24"/>
  <c r="J21"/>
  <c r="J22"/>
  <c r="J23"/>
  <c r="J24"/>
  <c r="I21"/>
  <c r="I22"/>
  <c r="I23"/>
  <c r="I24"/>
  <c r="F21"/>
  <c r="F22"/>
  <c r="F23"/>
  <c r="F24"/>
  <c r="E21"/>
  <c r="E22"/>
  <c r="E23"/>
  <c r="E24"/>
  <c r="N84"/>
  <c r="J84"/>
  <c r="F84"/>
  <c r="N83"/>
  <c r="J83"/>
  <c r="F83"/>
  <c r="N82"/>
  <c r="J82"/>
  <c r="F82"/>
  <c r="N74"/>
  <c r="J74"/>
  <c r="F74"/>
  <c r="N73"/>
  <c r="J73"/>
  <c r="F73"/>
  <c r="N72"/>
  <c r="J72"/>
  <c r="F72"/>
  <c r="N64"/>
  <c r="J64"/>
  <c r="F64"/>
  <c r="N63"/>
  <c r="J63"/>
  <c r="F63"/>
  <c r="N62"/>
  <c r="J62"/>
  <c r="F62"/>
  <c r="N54"/>
  <c r="J54"/>
  <c r="F54"/>
  <c r="N53"/>
  <c r="J53"/>
  <c r="F53"/>
  <c r="N52"/>
  <c r="J52"/>
  <c r="F52"/>
  <c r="N44"/>
  <c r="J44"/>
  <c r="F44"/>
  <c r="N43"/>
  <c r="N653" s="1"/>
  <c r="M98" i="100" s="1"/>
  <c r="J43" i="109"/>
  <c r="J653" s="1"/>
  <c r="I98" i="100" s="1"/>
  <c r="F43" i="109"/>
  <c r="F653" s="1"/>
  <c r="E98" i="100" s="1"/>
  <c r="O42" i="109"/>
  <c r="O661" s="1"/>
  <c r="N111" i="100" s="1"/>
  <c r="K42" i="109"/>
  <c r="G42"/>
  <c r="G661" s="1"/>
  <c r="F111" i="100" s="1"/>
  <c r="P41" i="109"/>
  <c r="P45" s="1"/>
  <c r="L41"/>
  <c r="H41"/>
  <c r="H45" s="1"/>
  <c r="K35"/>
  <c r="L21"/>
  <c r="K14"/>
  <c r="O13"/>
  <c r="G13"/>
  <c r="K12"/>
  <c r="P11"/>
  <c r="H11"/>
  <c r="N31"/>
  <c r="M32"/>
  <c r="M685" s="1"/>
  <c r="L55" i="148" s="1"/>
  <c r="M33" i="109"/>
  <c r="M34"/>
  <c r="M31"/>
  <c r="J31"/>
  <c r="I32"/>
  <c r="I685" s="1"/>
  <c r="H55" i="148" s="1"/>
  <c r="I33" i="109"/>
  <c r="I34"/>
  <c r="I31"/>
  <c r="F31"/>
  <c r="E32"/>
  <c r="E685" s="1"/>
  <c r="D55" i="148" s="1"/>
  <c r="E33" i="109"/>
  <c r="E34"/>
  <c r="E31"/>
  <c r="I175"/>
  <c r="E175"/>
  <c r="I174"/>
  <c r="E174"/>
  <c r="I173"/>
  <c r="E173"/>
  <c r="M165"/>
  <c r="I165"/>
  <c r="E165"/>
  <c r="M164"/>
  <c r="I164"/>
  <c r="E164"/>
  <c r="M163"/>
  <c r="I163"/>
  <c r="E163"/>
  <c r="M154"/>
  <c r="I154"/>
  <c r="E154"/>
  <c r="M153"/>
  <c r="I153"/>
  <c r="E153"/>
  <c r="M152"/>
  <c r="I152"/>
  <c r="E152"/>
  <c r="M144"/>
  <c r="I144"/>
  <c r="E144"/>
  <c r="M143"/>
  <c r="I143"/>
  <c r="E143"/>
  <c r="N134"/>
  <c r="J134"/>
  <c r="F134"/>
  <c r="N133"/>
  <c r="J133"/>
  <c r="F133"/>
  <c r="N132"/>
  <c r="J132"/>
  <c r="F132"/>
  <c r="N124"/>
  <c r="J124"/>
  <c r="F124"/>
  <c r="N123"/>
  <c r="J123"/>
  <c r="F123"/>
  <c r="N122"/>
  <c r="J122"/>
  <c r="F122"/>
  <c r="N114"/>
  <c r="J114"/>
  <c r="F114"/>
  <c r="N113"/>
  <c r="J113"/>
  <c r="F113"/>
  <c r="N112"/>
  <c r="J112"/>
  <c r="F112"/>
  <c r="N104"/>
  <c r="J104"/>
  <c r="F104"/>
  <c r="N103"/>
  <c r="J103"/>
  <c r="F103"/>
  <c r="N102"/>
  <c r="J102"/>
  <c r="F102"/>
  <c r="O84"/>
  <c r="K84"/>
  <c r="G84"/>
  <c r="O83"/>
  <c r="K83"/>
  <c r="G83"/>
  <c r="O82"/>
  <c r="K82"/>
  <c r="G82"/>
  <c r="O74"/>
  <c r="K74"/>
  <c r="G74"/>
  <c r="O73"/>
  <c r="K73"/>
  <c r="G73"/>
  <c r="O72"/>
  <c r="K72"/>
  <c r="G72"/>
  <c r="O64"/>
  <c r="K64"/>
  <c r="G64"/>
  <c r="O63"/>
  <c r="K63"/>
  <c r="G63"/>
  <c r="O62"/>
  <c r="K62"/>
  <c r="G62"/>
  <c r="O54"/>
  <c r="K54"/>
  <c r="G54"/>
  <c r="O53"/>
  <c r="K53"/>
  <c r="G53"/>
  <c r="O52"/>
  <c r="K52"/>
  <c r="G52"/>
  <c r="O44"/>
  <c r="K44"/>
  <c r="G44"/>
  <c r="L34"/>
  <c r="G34"/>
  <c r="G35" s="1"/>
  <c r="N33"/>
  <c r="H33"/>
  <c r="N32"/>
  <c r="N685" s="1"/>
  <c r="M55" i="148" s="1"/>
  <c r="F32" i="109"/>
  <c r="F685" s="1"/>
  <c r="E55" i="148" s="1"/>
  <c r="L31" i="109"/>
  <c r="O23"/>
  <c r="O25" s="1"/>
  <c r="G23"/>
  <c r="G25" s="1"/>
  <c r="L14"/>
  <c r="L12"/>
  <c r="L661" s="1"/>
  <c r="K111" i="100" s="1"/>
  <c r="M12" i="109"/>
  <c r="M661" s="1"/>
  <c r="L111" i="100" s="1"/>
  <c r="M13" i="109"/>
  <c r="M14"/>
  <c r="I12"/>
  <c r="I661" s="1"/>
  <c r="H111" i="100" s="1"/>
  <c r="I13" i="109"/>
  <c r="I14"/>
  <c r="E12"/>
  <c r="E661" s="1"/>
  <c r="D111" i="100" s="1"/>
  <c r="E13" i="109"/>
  <c r="E14"/>
  <c r="O35"/>
  <c r="P25"/>
  <c r="H25"/>
  <c r="M26" i="177"/>
  <c r="M27" s="1"/>
  <c r="I26"/>
  <c r="I27" s="1"/>
  <c r="N39" i="148"/>
  <c r="N40" s="1"/>
  <c r="J39"/>
  <c r="J40" s="1"/>
  <c r="F39"/>
  <c r="F40" s="1"/>
  <c r="D25" i="144"/>
  <c r="H85" i="109" l="1"/>
  <c r="F217"/>
  <c r="O258"/>
  <c r="J299"/>
  <c r="L676"/>
  <c r="K58" i="241" s="1"/>
  <c r="D13" i="144"/>
  <c r="D26"/>
  <c r="D7" i="241"/>
  <c r="D63"/>
  <c r="D21" i="240"/>
  <c r="N676" i="109"/>
  <c r="M58" i="241" s="1"/>
  <c r="E706" i="109"/>
  <c r="D32" i="244" s="1"/>
  <c r="L495" i="109"/>
  <c r="P535"/>
  <c r="E196"/>
  <c r="M217"/>
  <c r="I676"/>
  <c r="H58" i="241" s="1"/>
  <c r="L576" i="109"/>
  <c r="F35"/>
  <c r="I176"/>
  <c r="L248"/>
  <c r="L35"/>
  <c r="O55"/>
  <c r="K65"/>
  <c r="G75"/>
  <c r="J115"/>
  <c r="F125"/>
  <c r="O145"/>
  <c r="F268"/>
  <c r="N289"/>
  <c r="E309"/>
  <c r="O238"/>
  <c r="O186"/>
  <c r="N691"/>
  <c r="M32" i="175" s="1"/>
  <c r="K115" i="109"/>
  <c r="H55"/>
  <c r="J35"/>
  <c r="I186"/>
  <c r="K515"/>
  <c r="L545"/>
  <c r="I576"/>
  <c r="E155"/>
  <c r="E35"/>
  <c r="M279"/>
  <c r="I289"/>
  <c r="H340"/>
  <c r="J391"/>
  <c r="G196"/>
  <c r="O217"/>
  <c r="M248"/>
  <c r="L258"/>
  <c r="P258"/>
  <c r="G299"/>
  <c r="G677"/>
  <c r="I586"/>
  <c r="N607"/>
  <c r="J617"/>
  <c r="J495"/>
  <c r="N299"/>
  <c r="N65"/>
  <c r="J75"/>
  <c r="E55"/>
  <c r="E75"/>
  <c r="E85"/>
  <c r="F661"/>
  <c r="E111" i="100" s="1"/>
  <c r="K535" i="109"/>
  <c r="P576"/>
  <c r="O617"/>
  <c r="K676"/>
  <c r="J58" i="241" s="1"/>
  <c r="H545" i="109"/>
  <c r="H65"/>
  <c r="N207"/>
  <c r="G289"/>
  <c r="N319"/>
  <c r="H596"/>
  <c r="O279"/>
  <c r="N555"/>
  <c r="L15"/>
  <c r="I15"/>
  <c r="O75"/>
  <c r="K85"/>
  <c r="M155"/>
  <c r="E176"/>
  <c r="G45"/>
  <c r="O65"/>
  <c r="K75"/>
  <c r="G85"/>
  <c r="N115"/>
  <c r="J125"/>
  <c r="I155"/>
  <c r="K661"/>
  <c r="J111" i="100" s="1"/>
  <c r="N55" i="109"/>
  <c r="J65"/>
  <c r="F75"/>
  <c r="O135"/>
  <c r="H166"/>
  <c r="L166"/>
  <c r="P166"/>
  <c r="M176"/>
  <c r="M207"/>
  <c r="I217"/>
  <c r="P238"/>
  <c r="N279"/>
  <c r="J289"/>
  <c r="M319"/>
  <c r="K238"/>
  <c r="M268"/>
  <c r="I279"/>
  <c r="E289"/>
  <c r="P309"/>
  <c r="O207"/>
  <c r="K217"/>
  <c r="J691"/>
  <c r="I32" i="175" s="1"/>
  <c r="F238" i="109"/>
  <c r="I248"/>
  <c r="H258"/>
  <c r="P279"/>
  <c r="F495"/>
  <c r="O515"/>
  <c r="G535"/>
  <c r="F330"/>
  <c r="F351"/>
  <c r="P402"/>
  <c r="M607"/>
  <c r="I617"/>
  <c r="N576"/>
  <c r="F525"/>
  <c r="E525"/>
  <c r="J525"/>
  <c r="I525"/>
  <c r="N525"/>
  <c r="M525"/>
  <c r="E545"/>
  <c r="I545"/>
  <c r="M545"/>
  <c r="O607"/>
  <c r="K617"/>
  <c r="F207"/>
  <c r="G268"/>
  <c r="P596"/>
  <c r="J55"/>
  <c r="F65"/>
  <c r="N85"/>
  <c r="M196"/>
  <c r="I207"/>
  <c r="E217"/>
  <c r="L238"/>
  <c r="N268"/>
  <c r="J279"/>
  <c r="F289"/>
  <c r="M309"/>
  <c r="I319"/>
  <c r="G186"/>
  <c r="H196"/>
  <c r="H207"/>
  <c r="H217"/>
  <c r="H227"/>
  <c r="G238"/>
  <c r="I268"/>
  <c r="E279"/>
  <c r="L309"/>
  <c r="H319"/>
  <c r="P340"/>
  <c r="H361"/>
  <c r="J412"/>
  <c r="F422"/>
  <c r="O196"/>
  <c r="K207"/>
  <c r="G217"/>
  <c r="E248"/>
  <c r="O299"/>
  <c r="K454"/>
  <c r="F371"/>
  <c r="L402"/>
  <c r="O381"/>
  <c r="F673"/>
  <c r="E19" i="241" s="1"/>
  <c r="E576" i="109"/>
  <c r="K607"/>
  <c r="G617"/>
  <c r="P525"/>
  <c r="O677"/>
  <c r="N7" i="240" s="1"/>
  <c r="N596" i="109"/>
  <c r="J607"/>
  <c r="F617"/>
  <c r="E627"/>
  <c r="F155"/>
  <c r="E227"/>
  <c r="K279"/>
  <c r="L596"/>
  <c r="L607"/>
  <c r="K55"/>
  <c r="G65"/>
  <c r="O85"/>
  <c r="F55"/>
  <c r="N75"/>
  <c r="J85"/>
  <c r="I196"/>
  <c r="E207"/>
  <c r="H238"/>
  <c r="J268"/>
  <c r="F279"/>
  <c r="I309"/>
  <c r="E319"/>
  <c r="L186"/>
  <c r="E268"/>
  <c r="M289"/>
  <c r="H309"/>
  <c r="F412"/>
  <c r="K196"/>
  <c r="G207"/>
  <c r="K299"/>
  <c r="O454"/>
  <c r="K475"/>
  <c r="N495"/>
  <c r="I505"/>
  <c r="E391"/>
  <c r="G391"/>
  <c r="I391"/>
  <c r="K391"/>
  <c r="M391"/>
  <c r="O391"/>
  <c r="E433"/>
  <c r="H495"/>
  <c r="P495"/>
  <c r="G515"/>
  <c r="O535"/>
  <c r="E495"/>
  <c r="N545"/>
  <c r="E607"/>
  <c r="P627"/>
  <c r="J576"/>
  <c r="G607"/>
  <c r="K586"/>
  <c r="J596"/>
  <c r="F607"/>
  <c r="L555"/>
  <c r="L55"/>
  <c r="H176"/>
  <c r="L176"/>
  <c r="J217"/>
  <c r="M227"/>
  <c r="E586"/>
  <c r="G55"/>
  <c r="N125"/>
  <c r="N176"/>
  <c r="J330"/>
  <c r="J351"/>
  <c r="M617"/>
  <c r="E505"/>
  <c r="N617"/>
  <c r="P248"/>
  <c r="K495"/>
  <c r="P65"/>
  <c r="I227"/>
  <c r="O289"/>
  <c r="L617"/>
  <c r="K627"/>
  <c r="E7" i="240"/>
  <c r="I7"/>
  <c r="M7"/>
  <c r="G730" i="109"/>
  <c r="G171" i="187" s="1"/>
  <c r="G173" s="1"/>
  <c r="G176" s="1"/>
  <c r="F7" i="240"/>
  <c r="E26" i="177"/>
  <c r="E27" s="1"/>
  <c r="E65" i="109"/>
  <c r="E654"/>
  <c r="D124" i="100" s="1"/>
  <c r="O15" i="109"/>
  <c r="O652"/>
  <c r="N85" i="100" s="1"/>
  <c r="H15" i="109"/>
  <c r="H652"/>
  <c r="G85" i="100" s="1"/>
  <c r="M65" i="109"/>
  <c r="M654"/>
  <c r="L124" i="100" s="1"/>
  <c r="J15" i="109"/>
  <c r="J652"/>
  <c r="I85" i="100" s="1"/>
  <c r="K15" i="109"/>
  <c r="K652"/>
  <c r="J85" i="100" s="1"/>
  <c r="G95" i="109"/>
  <c r="G657"/>
  <c r="F163" i="100" s="1"/>
  <c r="G135" i="109"/>
  <c r="G660"/>
  <c r="F202" i="100" s="1"/>
  <c r="J105" i="109"/>
  <c r="J658"/>
  <c r="I176" i="100" s="1"/>
  <c r="I258" i="109"/>
  <c r="I692"/>
  <c r="H45" i="175" s="1"/>
  <c r="H268" i="109"/>
  <c r="H694"/>
  <c r="G19" i="176" s="1"/>
  <c r="H289" i="109"/>
  <c r="H696"/>
  <c r="G45" i="176" s="1"/>
  <c r="E95" i="109"/>
  <c r="E657"/>
  <c r="D163" i="100" s="1"/>
  <c r="F95" i="109"/>
  <c r="F657"/>
  <c r="E163" i="100" s="1"/>
  <c r="I95" i="109"/>
  <c r="I657"/>
  <c r="H163" i="100" s="1"/>
  <c r="J95" i="109"/>
  <c r="J657"/>
  <c r="I163" i="100" s="1"/>
  <c r="M95" i="109"/>
  <c r="M657"/>
  <c r="L163" i="100" s="1"/>
  <c r="N95" i="109"/>
  <c r="N657"/>
  <c r="M163" i="100" s="1"/>
  <c r="F361" i="109"/>
  <c r="F705"/>
  <c r="L371"/>
  <c r="L705"/>
  <c r="N454"/>
  <c r="N709"/>
  <c r="M33" i="243" s="1"/>
  <c r="G475" i="109"/>
  <c r="G664"/>
  <c r="F32" i="242" s="1"/>
  <c r="E475" i="109"/>
  <c r="E664"/>
  <c r="D32" i="242" s="1"/>
  <c r="I475" i="109"/>
  <c r="I664"/>
  <c r="H32" i="242" s="1"/>
  <c r="M475" i="109"/>
  <c r="M664"/>
  <c r="L32" i="242" s="1"/>
  <c r="E485" i="109"/>
  <c r="E665"/>
  <c r="D45" i="242" s="1"/>
  <c r="O495" i="109"/>
  <c r="O666"/>
  <c r="N58" i="242" s="1"/>
  <c r="P454" i="109"/>
  <c r="P709"/>
  <c r="O33" i="243" s="1"/>
  <c r="G361" i="109"/>
  <c r="G705"/>
  <c r="I361"/>
  <c r="I705"/>
  <c r="K361"/>
  <c r="K705"/>
  <c r="M361"/>
  <c r="M705"/>
  <c r="O361"/>
  <c r="O705"/>
  <c r="E361"/>
  <c r="E705"/>
  <c r="I422"/>
  <c r="I706"/>
  <c r="H32" i="244" s="1"/>
  <c r="M422" i="109"/>
  <c r="M706"/>
  <c r="L32" i="244" s="1"/>
  <c r="J566" i="109"/>
  <c r="J674"/>
  <c r="I32" i="241" s="1"/>
  <c r="P505" i="109"/>
  <c r="P669"/>
  <c r="O97" i="242" s="1"/>
  <c r="N725" i="109"/>
  <c r="N93" i="187" s="1"/>
  <c r="N94" s="1"/>
  <c r="N97" s="1"/>
  <c r="M6" i="245"/>
  <c r="J724" i="109"/>
  <c r="J72" i="187" s="1"/>
  <c r="J74" s="1"/>
  <c r="I6" i="177"/>
  <c r="M7" i="171"/>
  <c r="E6" i="148"/>
  <c r="E9" s="1"/>
  <c r="E6" i="241"/>
  <c r="E6" i="242"/>
  <c r="I6" i="100"/>
  <c r="N6" i="177"/>
  <c r="D6" i="175"/>
  <c r="J6" i="148"/>
  <c r="J9" s="1"/>
  <c r="D7" i="240"/>
  <c r="F6" i="100"/>
  <c r="M6" i="243"/>
  <c r="L724" i="109"/>
  <c r="L72" i="187" s="1"/>
  <c r="L74" s="1"/>
  <c r="K6" i="177"/>
  <c r="N723" i="109"/>
  <c r="N52" i="187" s="1"/>
  <c r="M6" i="176"/>
  <c r="G6" i="148"/>
  <c r="G9" s="1"/>
  <c r="K6" i="100"/>
  <c r="M725" i="109"/>
  <c r="M93" i="187" s="1"/>
  <c r="M94" s="1"/>
  <c r="M97" s="1"/>
  <c r="L6" i="245"/>
  <c r="I724" i="109"/>
  <c r="I72" i="187" s="1"/>
  <c r="I74" s="1"/>
  <c r="H6" i="177"/>
  <c r="N6" i="176"/>
  <c r="G722" i="109"/>
  <c r="G51" i="187" s="1"/>
  <c r="F6" i="175"/>
  <c r="L7" i="171"/>
  <c r="H6" i="148"/>
  <c r="H9" s="1"/>
  <c r="H6" i="100"/>
  <c r="M35" i="109"/>
  <c r="N35"/>
  <c r="O45"/>
  <c r="M55"/>
  <c r="M75"/>
  <c r="M85"/>
  <c r="N661"/>
  <c r="M111" i="100" s="1"/>
  <c r="E186" i="109"/>
  <c r="M186"/>
  <c r="E166"/>
  <c r="P196"/>
  <c r="P207"/>
  <c r="P217"/>
  <c r="P227"/>
  <c r="P319"/>
  <c r="P361"/>
  <c r="N422"/>
  <c r="J433"/>
  <c r="M45"/>
  <c r="F186"/>
  <c r="O227"/>
  <c r="N238"/>
  <c r="N248"/>
  <c r="H279"/>
  <c r="H299"/>
  <c r="N227"/>
  <c r="G248"/>
  <c r="F258"/>
  <c r="I299"/>
  <c r="L330"/>
  <c r="P351"/>
  <c r="F381"/>
  <c r="F402"/>
  <c r="K443"/>
  <c r="K433"/>
  <c r="M433"/>
  <c r="J227"/>
  <c r="G330"/>
  <c r="I330"/>
  <c r="K330"/>
  <c r="M330"/>
  <c r="O330"/>
  <c r="E330"/>
  <c r="G351"/>
  <c r="I351"/>
  <c r="K351"/>
  <c r="M351"/>
  <c r="O351"/>
  <c r="E351"/>
  <c r="G371"/>
  <c r="I371"/>
  <c r="K371"/>
  <c r="M371"/>
  <c r="O371"/>
  <c r="E371"/>
  <c r="E402"/>
  <c r="G402"/>
  <c r="I402"/>
  <c r="K402"/>
  <c r="M402"/>
  <c r="O402"/>
  <c r="E454"/>
  <c r="I454"/>
  <c r="M454"/>
  <c r="L381"/>
  <c r="G443"/>
  <c r="G465"/>
  <c r="G340"/>
  <c r="I340"/>
  <c r="K340"/>
  <c r="M340"/>
  <c r="O340"/>
  <c r="E340"/>
  <c r="I381"/>
  <c r="M381"/>
  <c r="E381"/>
  <c r="E422"/>
  <c r="G422"/>
  <c r="K422"/>
  <c r="O422"/>
  <c r="E443"/>
  <c r="I443"/>
  <c r="M443"/>
  <c r="E465"/>
  <c r="I465"/>
  <c r="M465"/>
  <c r="F545"/>
  <c r="F676"/>
  <c r="E58" i="241" s="1"/>
  <c r="L525" i="109"/>
  <c r="P545"/>
  <c r="G675"/>
  <c r="F45" i="241" s="1"/>
  <c r="P676" i="109"/>
  <c r="O58" i="241" s="1"/>
  <c r="K576" i="109"/>
  <c r="H586"/>
  <c r="G596"/>
  <c r="N627"/>
  <c r="L627"/>
  <c r="N566"/>
  <c r="N586"/>
  <c r="H627"/>
  <c r="G586"/>
  <c r="F596"/>
  <c r="M627"/>
  <c r="N680"/>
  <c r="M46" i="240" s="1"/>
  <c r="E681" i="109"/>
  <c r="M679"/>
  <c r="L33" i="240" s="1"/>
  <c r="J679" i="109"/>
  <c r="I33" i="240" s="1"/>
  <c r="F586" i="109"/>
  <c r="I55"/>
  <c r="I652"/>
  <c r="H85" i="100" s="1"/>
  <c r="I65" i="109"/>
  <c r="I654"/>
  <c r="H124" i="100" s="1"/>
  <c r="F15" i="109"/>
  <c r="F652"/>
  <c r="E85" i="100" s="1"/>
  <c r="G15" i="109"/>
  <c r="G652"/>
  <c r="F85" i="100" s="1"/>
  <c r="L95" i="109"/>
  <c r="L657"/>
  <c r="K163" i="100" s="1"/>
  <c r="N135" i="109"/>
  <c r="N660"/>
  <c r="M202" i="100" s="1"/>
  <c r="H115" i="109"/>
  <c r="H693"/>
  <c r="I115"/>
  <c r="I693"/>
  <c r="L115"/>
  <c r="L693"/>
  <c r="M115"/>
  <c r="M693"/>
  <c r="P115"/>
  <c r="P693"/>
  <c r="E115"/>
  <c r="E693"/>
  <c r="H95"/>
  <c r="H657"/>
  <c r="G163" i="100" s="1"/>
  <c r="F105" i="109"/>
  <c r="F658"/>
  <c r="E176" i="100" s="1"/>
  <c r="N145" i="109"/>
  <c r="N688"/>
  <c r="M33" i="171" s="1"/>
  <c r="H125" i="109"/>
  <c r="H687"/>
  <c r="G20" i="171" s="1"/>
  <c r="I125" i="109"/>
  <c r="I687"/>
  <c r="H20" i="171" s="1"/>
  <c r="L125" i="109"/>
  <c r="L687"/>
  <c r="K20" i="171" s="1"/>
  <c r="M125" i="109"/>
  <c r="M687"/>
  <c r="L20" i="171" s="1"/>
  <c r="P125" i="109"/>
  <c r="P687"/>
  <c r="O20" i="171" s="1"/>
  <c r="E125" i="109"/>
  <c r="E687"/>
  <c r="D20" i="171" s="1"/>
  <c r="G155" i="109"/>
  <c r="G686"/>
  <c r="H155"/>
  <c r="H686"/>
  <c r="K155"/>
  <c r="K686"/>
  <c r="L155"/>
  <c r="L686"/>
  <c r="O155"/>
  <c r="O686"/>
  <c r="P155"/>
  <c r="P686"/>
  <c r="F115"/>
  <c r="F693"/>
  <c r="E258"/>
  <c r="E692"/>
  <c r="D45" i="175" s="1"/>
  <c r="O309" i="109"/>
  <c r="O697"/>
  <c r="N58" i="176" s="1"/>
  <c r="O319" i="109"/>
  <c r="O699"/>
  <c r="N19" i="177" s="1"/>
  <c r="N381" i="109"/>
  <c r="N706"/>
  <c r="M32" i="244" s="1"/>
  <c r="H135" i="109"/>
  <c r="H660"/>
  <c r="G202" i="100" s="1"/>
  <c r="I135" i="109"/>
  <c r="I660"/>
  <c r="H202" i="100" s="1"/>
  <c r="L135" i="109"/>
  <c r="L660"/>
  <c r="K202" i="100" s="1"/>
  <c r="M135" i="109"/>
  <c r="M660"/>
  <c r="L202" i="100" s="1"/>
  <c r="P135" i="109"/>
  <c r="P660"/>
  <c r="O202" i="100" s="1"/>
  <c r="E135" i="109"/>
  <c r="E660"/>
  <c r="D202" i="100" s="1"/>
  <c r="H371" i="109"/>
  <c r="H705"/>
  <c r="J454"/>
  <c r="J709"/>
  <c r="I33" i="243" s="1"/>
  <c r="N475" i="109"/>
  <c r="N664"/>
  <c r="M32" i="242" s="1"/>
  <c r="M485" i="109"/>
  <c r="M665"/>
  <c r="L45" i="242" s="1"/>
  <c r="G495" i="109"/>
  <c r="G666"/>
  <c r="F58" i="242" s="1"/>
  <c r="N485" i="109"/>
  <c r="N665"/>
  <c r="M45" i="242" s="1"/>
  <c r="E412" i="109"/>
  <c r="E709"/>
  <c r="D33" i="243" s="1"/>
  <c r="G412" i="109"/>
  <c r="G709"/>
  <c r="F33" i="243" s="1"/>
  <c r="I412" i="109"/>
  <c r="I709"/>
  <c r="H33" i="243" s="1"/>
  <c r="K412" i="109"/>
  <c r="K709"/>
  <c r="J33" i="243" s="1"/>
  <c r="M412" i="109"/>
  <c r="M709"/>
  <c r="L33" i="243" s="1"/>
  <c r="O412" i="109"/>
  <c r="O709"/>
  <c r="N33" i="243" s="1"/>
  <c r="H454" i="109"/>
  <c r="H709"/>
  <c r="G33" i="243" s="1"/>
  <c r="P475" i="109"/>
  <c r="P664"/>
  <c r="O32" i="242" s="1"/>
  <c r="M566" i="109"/>
  <c r="M674"/>
  <c r="L32" i="241" s="1"/>
  <c r="G505" i="109"/>
  <c r="G669"/>
  <c r="F97" i="242" s="1"/>
  <c r="F669" i="109"/>
  <c r="E97" i="242" s="1"/>
  <c r="F505" i="109"/>
  <c r="K505"/>
  <c r="K669"/>
  <c r="J97" i="242" s="1"/>
  <c r="J669" i="109"/>
  <c r="I97" i="242" s="1"/>
  <c r="J505" i="109"/>
  <c r="O505"/>
  <c r="O669"/>
  <c r="N97" i="242" s="1"/>
  <c r="N505" i="109"/>
  <c r="N669"/>
  <c r="M97" i="242" s="1"/>
  <c r="L674" i="109"/>
  <c r="K32" i="241" s="1"/>
  <c r="L566" i="109"/>
  <c r="L505"/>
  <c r="L669"/>
  <c r="K97" i="242" s="1"/>
  <c r="P674" i="109"/>
  <c r="O32" i="241" s="1"/>
  <c r="P566" i="109"/>
  <c r="G6" i="243"/>
  <c r="N724" i="109"/>
  <c r="N72" i="187" s="1"/>
  <c r="N74" s="1"/>
  <c r="M6" i="177"/>
  <c r="H722" i="109"/>
  <c r="H51" i="187" s="1"/>
  <c r="G6" i="175"/>
  <c r="I6" i="148"/>
  <c r="I9" s="1"/>
  <c r="H730" i="109"/>
  <c r="H171" i="187" s="1"/>
  <c r="H173" s="1"/>
  <c r="H176" s="1"/>
  <c r="G7" i="240"/>
  <c r="I6" i="241"/>
  <c r="I6" i="242"/>
  <c r="M6" i="100"/>
  <c r="D6" i="243"/>
  <c r="I6" i="244"/>
  <c r="G725" i="109"/>
  <c r="G93" i="187" s="1"/>
  <c r="G94" s="1"/>
  <c r="G97" s="1"/>
  <c r="F6" i="245"/>
  <c r="I722" i="109"/>
  <c r="I51" i="187" s="1"/>
  <c r="H6" i="175"/>
  <c r="N6" i="148"/>
  <c r="N9" s="1"/>
  <c r="I730" i="109"/>
  <c r="I171" i="187" s="1"/>
  <c r="I173" s="1"/>
  <c r="I176" s="1"/>
  <c r="H7" i="240"/>
  <c r="F6" i="241"/>
  <c r="F6" i="242"/>
  <c r="J6" i="100"/>
  <c r="H725" i="109"/>
  <c r="H93" i="187" s="1"/>
  <c r="H94" s="1"/>
  <c r="H97" s="1"/>
  <c r="G6" i="245"/>
  <c r="P724" i="109"/>
  <c r="P72" i="187" s="1"/>
  <c r="P74" s="1"/>
  <c r="O6" i="177"/>
  <c r="E6" i="175"/>
  <c r="K6" i="148"/>
  <c r="K9" s="1"/>
  <c r="G6" i="241"/>
  <c r="G6" i="242"/>
  <c r="O6" i="100"/>
  <c r="F6" i="243"/>
  <c r="M724" i="109"/>
  <c r="M72" i="187" s="1"/>
  <c r="M74" s="1"/>
  <c r="L6" i="177"/>
  <c r="K722" i="109"/>
  <c r="K51" i="187" s="1"/>
  <c r="J6" i="175"/>
  <c r="L6" i="148"/>
  <c r="L9" s="1"/>
  <c r="D6" i="241"/>
  <c r="D6" i="242"/>
  <c r="L6" i="100"/>
  <c r="I35" i="109"/>
  <c r="F85"/>
  <c r="K45"/>
  <c r="N45"/>
  <c r="I75"/>
  <c r="I85"/>
  <c r="J661"/>
  <c r="I111" i="100" s="1"/>
  <c r="L196" i="109"/>
  <c r="L207"/>
  <c r="L217"/>
  <c r="L227"/>
  <c r="L319"/>
  <c r="L361"/>
  <c r="F391"/>
  <c r="N412"/>
  <c r="J422"/>
  <c r="F433"/>
  <c r="I45"/>
  <c r="K227"/>
  <c r="J238"/>
  <c r="J248"/>
  <c r="E299"/>
  <c r="H330"/>
  <c r="L351"/>
  <c r="K465"/>
  <c r="O433"/>
  <c r="H381"/>
  <c r="N443"/>
  <c r="N465"/>
  <c r="G381"/>
  <c r="K381"/>
  <c r="P706"/>
  <c r="O32" i="244" s="1"/>
  <c r="E666" i="109"/>
  <c r="D58" i="242" s="1"/>
  <c r="E555" i="109"/>
  <c r="I555"/>
  <c r="M555"/>
  <c r="M673"/>
  <c r="L19" i="241" s="1"/>
  <c r="O525" i="109"/>
  <c r="P555"/>
  <c r="J676"/>
  <c r="I58" i="241" s="1"/>
  <c r="G576" i="109"/>
  <c r="J627"/>
  <c r="P673"/>
  <c r="O19" i="241" s="1"/>
  <c r="J586" i="109"/>
  <c r="E596"/>
  <c r="I627"/>
  <c r="N679"/>
  <c r="M33" i="240" s="1"/>
  <c r="K677" i="109"/>
  <c r="Q29" i="292"/>
  <c r="Q63"/>
  <c r="M15" i="109"/>
  <c r="M652"/>
  <c r="L85" i="100" s="1"/>
  <c r="P35" i="109"/>
  <c r="P684"/>
  <c r="O32" i="148" s="1"/>
  <c r="K135" i="109"/>
  <c r="K660"/>
  <c r="J202" i="100" s="1"/>
  <c r="H105" i="109"/>
  <c r="H658"/>
  <c r="G176" i="100" s="1"/>
  <c r="I105" i="109"/>
  <c r="I658"/>
  <c r="H176" i="100" s="1"/>
  <c r="L105" i="109"/>
  <c r="L658"/>
  <c r="K176" i="100" s="1"/>
  <c r="M105" i="109"/>
  <c r="M658"/>
  <c r="L176" i="100" s="1"/>
  <c r="P105" i="109"/>
  <c r="P658"/>
  <c r="O176" i="100" s="1"/>
  <c r="E105" i="109"/>
  <c r="E658"/>
  <c r="D176" i="100" s="1"/>
  <c r="H145" i="109"/>
  <c r="H688"/>
  <c r="G33" i="171" s="1"/>
  <c r="I145" i="109"/>
  <c r="I688"/>
  <c r="H33" i="171" s="1"/>
  <c r="L145" i="109"/>
  <c r="L688"/>
  <c r="K33" i="171" s="1"/>
  <c r="M145" i="109"/>
  <c r="M688"/>
  <c r="L33" i="171" s="1"/>
  <c r="P145" i="109"/>
  <c r="P688"/>
  <c r="O33" i="171" s="1"/>
  <c r="E145" i="109"/>
  <c r="E688"/>
  <c r="D33" i="171" s="1"/>
  <c r="G166" i="109"/>
  <c r="G684"/>
  <c r="F32" i="148" s="1"/>
  <c r="K166" i="109"/>
  <c r="K684"/>
  <c r="J32" i="148" s="1"/>
  <c r="O166" i="109"/>
  <c r="O684"/>
  <c r="N32" i="148" s="1"/>
  <c r="O95" i="109"/>
  <c r="O657"/>
  <c r="N163" i="100" s="1"/>
  <c r="J135" i="109"/>
  <c r="J660"/>
  <c r="I202" i="100" s="1"/>
  <c r="G105" i="109"/>
  <c r="G658"/>
  <c r="F176" i="100" s="1"/>
  <c r="J145" i="109"/>
  <c r="J688"/>
  <c r="I33" i="171" s="1"/>
  <c r="P268" i="109"/>
  <c r="P694"/>
  <c r="O19" i="176" s="1"/>
  <c r="P289" i="109"/>
  <c r="P696"/>
  <c r="O45" i="176" s="1"/>
  <c r="K309" i="109"/>
  <c r="K697"/>
  <c r="J58" i="176" s="1"/>
  <c r="K319" i="109"/>
  <c r="K699"/>
  <c r="J19" i="177" s="1"/>
  <c r="J381" i="109"/>
  <c r="J706"/>
  <c r="I32" i="244" s="1"/>
  <c r="N371" i="109"/>
  <c r="N705"/>
  <c r="L412"/>
  <c r="L709"/>
  <c r="K33" i="243" s="1"/>
  <c r="F454" i="109"/>
  <c r="F709"/>
  <c r="E33" i="243" s="1"/>
  <c r="J475" i="109"/>
  <c r="J664"/>
  <c r="I32" i="242" s="1"/>
  <c r="H485" i="109"/>
  <c r="H665"/>
  <c r="G45" i="242" s="1"/>
  <c r="J485" i="109"/>
  <c r="J665"/>
  <c r="I45" i="242" s="1"/>
  <c r="P485" i="109"/>
  <c r="P665"/>
  <c r="O45" i="242" s="1"/>
  <c r="H475" i="109"/>
  <c r="H664"/>
  <c r="G32" i="242" s="1"/>
  <c r="I485" i="109"/>
  <c r="I666"/>
  <c r="H58" i="242" s="1"/>
  <c r="I566" i="109"/>
  <c r="I674"/>
  <c r="H32" i="241" s="1"/>
  <c r="H505" i="109"/>
  <c r="H669"/>
  <c r="G97" i="242" s="1"/>
  <c r="K674" i="109"/>
  <c r="J32" i="241" s="1"/>
  <c r="K566" i="109"/>
  <c r="K6" i="243"/>
  <c r="F725" i="109"/>
  <c r="F93" i="187" s="1"/>
  <c r="F94" s="1"/>
  <c r="F97" s="1"/>
  <c r="E6" i="245"/>
  <c r="L722" i="109"/>
  <c r="L51" i="187" s="1"/>
  <c r="K6" i="175"/>
  <c r="E7" i="171"/>
  <c r="M6" i="148"/>
  <c r="M9" s="1"/>
  <c r="L730" i="109"/>
  <c r="L171" i="187" s="1"/>
  <c r="L173" s="1"/>
  <c r="L176" s="1"/>
  <c r="K7" i="240"/>
  <c r="M6" i="241"/>
  <c r="M6" i="242"/>
  <c r="H6" i="243"/>
  <c r="K725" i="109"/>
  <c r="K93" i="187" s="1"/>
  <c r="K94" s="1"/>
  <c r="K97" s="1"/>
  <c r="J6" i="245"/>
  <c r="F6" i="177"/>
  <c r="L6" i="175"/>
  <c r="L7" i="240"/>
  <c r="K729" i="109"/>
  <c r="K152" i="187" s="1"/>
  <c r="K154" s="1"/>
  <c r="K157" s="1"/>
  <c r="J6" i="241"/>
  <c r="J6" i="242"/>
  <c r="N6" i="100"/>
  <c r="F727" i="109"/>
  <c r="F131" i="187" s="1"/>
  <c r="E6" i="243"/>
  <c r="L725" i="109"/>
  <c r="L93" i="187" s="1"/>
  <c r="L94" s="1"/>
  <c r="L97" s="1"/>
  <c r="K6" i="245"/>
  <c r="J722" i="109"/>
  <c r="J51" i="187" s="1"/>
  <c r="I6" i="175"/>
  <c r="P720" i="109"/>
  <c r="P27" i="187" s="1"/>
  <c r="O6" i="148"/>
  <c r="O9" s="1"/>
  <c r="L729" i="109"/>
  <c r="L152" i="187" s="1"/>
  <c r="L154" s="1"/>
  <c r="L157" s="1"/>
  <c r="K6" i="241"/>
  <c r="L728" i="109"/>
  <c r="L132" i="187" s="1"/>
  <c r="K6" i="242"/>
  <c r="K727" i="109"/>
  <c r="K131" i="187" s="1"/>
  <c r="J6" i="243"/>
  <c r="E725" i="109"/>
  <c r="E93" i="187" s="1"/>
  <c r="E94" s="1"/>
  <c r="E97" s="1"/>
  <c r="D6" i="245"/>
  <c r="F6" i="176"/>
  <c r="O722" i="109"/>
  <c r="O51" i="187" s="1"/>
  <c r="N6" i="175"/>
  <c r="E721" i="109"/>
  <c r="E28" i="187" s="1"/>
  <c r="D7" i="171"/>
  <c r="H6" i="241"/>
  <c r="H6" i="242"/>
  <c r="J45" i="109"/>
  <c r="M166"/>
  <c r="E45"/>
  <c r="P186"/>
  <c r="G227"/>
  <c r="F248"/>
  <c r="P299"/>
  <c r="O248"/>
  <c r="N258"/>
  <c r="H351"/>
  <c r="N402"/>
  <c r="G145"/>
  <c r="J443"/>
  <c r="J465"/>
  <c r="N673"/>
  <c r="M19" i="241" s="1"/>
  <c r="I673" i="109"/>
  <c r="H19" i="241" s="1"/>
  <c r="M576" i="109"/>
  <c r="K525"/>
  <c r="E676"/>
  <c r="D58" i="241" s="1"/>
  <c r="P586" i="109"/>
  <c r="O596"/>
  <c r="F627"/>
  <c r="G566"/>
  <c r="M505"/>
  <c r="O586"/>
  <c r="F680"/>
  <c r="E46" i="240" s="1"/>
  <c r="L25" i="109"/>
  <c r="L684"/>
  <c r="K32" i="148" s="1"/>
  <c r="P15" i="109"/>
  <c r="P652"/>
  <c r="O85" i="100" s="1"/>
  <c r="L45" i="109"/>
  <c r="L652"/>
  <c r="K85" i="100" s="1"/>
  <c r="E25" i="109"/>
  <c r="E684"/>
  <c r="D32" i="148" s="1"/>
  <c r="F25" i="109"/>
  <c r="F684"/>
  <c r="E32" i="148" s="1"/>
  <c r="I25" i="109"/>
  <c r="I684"/>
  <c r="H32" i="148" s="1"/>
  <c r="J25" i="109"/>
  <c r="J684"/>
  <c r="I32" i="148" s="1"/>
  <c r="M25" i="109"/>
  <c r="M684"/>
  <c r="L32" i="148" s="1"/>
  <c r="N25" i="109"/>
  <c r="N684"/>
  <c r="M32" i="148" s="1"/>
  <c r="E15" i="109"/>
  <c r="E652"/>
  <c r="D85" i="100" s="1"/>
  <c r="H35" i="109"/>
  <c r="H684"/>
  <c r="G32" i="148" s="1"/>
  <c r="N15" i="109"/>
  <c r="N652"/>
  <c r="M85" i="100" s="1"/>
  <c r="P95" i="109"/>
  <c r="P657"/>
  <c r="O163" i="100" s="1"/>
  <c r="K95" i="109"/>
  <c r="K657"/>
  <c r="J163" i="100" s="1"/>
  <c r="F135" i="109"/>
  <c r="F660"/>
  <c r="E202" i="100" s="1"/>
  <c r="N105" i="109"/>
  <c r="N658"/>
  <c r="M176" i="100" s="1"/>
  <c r="F145" i="109"/>
  <c r="F688"/>
  <c r="E33" i="171" s="1"/>
  <c r="M258" i="109"/>
  <c r="M692"/>
  <c r="L45" i="175" s="1"/>
  <c r="L268" i="109"/>
  <c r="L694"/>
  <c r="K19" i="176" s="1"/>
  <c r="L289" i="109"/>
  <c r="L696"/>
  <c r="K45" i="176" s="1"/>
  <c r="G309" i="109"/>
  <c r="G697"/>
  <c r="F58" i="176" s="1"/>
  <c r="G319" i="109"/>
  <c r="G699"/>
  <c r="F19" i="177" s="1"/>
  <c r="P371" i="109"/>
  <c r="P705"/>
  <c r="F475"/>
  <c r="F664"/>
  <c r="E32" i="242" s="1"/>
  <c r="O475" i="109"/>
  <c r="O664"/>
  <c r="N32" i="242" s="1"/>
  <c r="F485" i="109"/>
  <c r="F665"/>
  <c r="E45" i="242" s="1"/>
  <c r="K485" i="109"/>
  <c r="K665"/>
  <c r="J45" i="242" s="1"/>
  <c r="E566" i="109"/>
  <c r="E674"/>
  <c r="D32" i="241" s="1"/>
  <c r="O566" i="109"/>
  <c r="O674"/>
  <c r="N32" i="241" s="1"/>
  <c r="H535" i="109"/>
  <c r="H673"/>
  <c r="G19" i="241" s="1"/>
  <c r="H576" i="109"/>
  <c r="H675"/>
  <c r="G45" i="241" s="1"/>
  <c r="F566" i="109"/>
  <c r="F674"/>
  <c r="E32" i="241" s="1"/>
  <c r="O675" i="109"/>
  <c r="N45" i="241" s="1"/>
  <c r="O576" i="109"/>
  <c r="E515"/>
  <c r="E669"/>
  <c r="D97" i="242" s="1"/>
  <c r="I515" i="109"/>
  <c r="I669"/>
  <c r="H97" i="242" s="1"/>
  <c r="P727" i="109"/>
  <c r="P131" i="187" s="1"/>
  <c r="O6" i="243"/>
  <c r="J725" i="109"/>
  <c r="J93" i="187" s="1"/>
  <c r="J94" s="1"/>
  <c r="J97" s="1"/>
  <c r="I6" i="245"/>
  <c r="F724" i="109"/>
  <c r="F72" i="187" s="1"/>
  <c r="F74" s="1"/>
  <c r="E6" i="177"/>
  <c r="P722" i="109"/>
  <c r="P51" i="187" s="1"/>
  <c r="O6" i="175"/>
  <c r="I7" i="171"/>
  <c r="O7" i="240"/>
  <c r="E6" i="100"/>
  <c r="L6" i="243"/>
  <c r="O725" i="109"/>
  <c r="O93" i="187" s="1"/>
  <c r="O94" s="1"/>
  <c r="O97" s="1"/>
  <c r="N6" i="245"/>
  <c r="J6" i="177"/>
  <c r="F6" i="148"/>
  <c r="F9" s="1"/>
  <c r="N6" i="241"/>
  <c r="N6" i="242"/>
  <c r="I6" i="243"/>
  <c r="P725" i="109"/>
  <c r="P93" i="187" s="1"/>
  <c r="P94" s="1"/>
  <c r="P97" s="1"/>
  <c r="O6" i="245"/>
  <c r="H724" i="109"/>
  <c r="H72" i="187" s="1"/>
  <c r="H74" s="1"/>
  <c r="G6" i="177"/>
  <c r="J723" i="109"/>
  <c r="J52" i="187" s="1"/>
  <c r="I6" i="176"/>
  <c r="N722" i="109"/>
  <c r="N51" i="187" s="1"/>
  <c r="N54" s="1"/>
  <c r="N56" s="1"/>
  <c r="M6" i="175"/>
  <c r="O6" i="241"/>
  <c r="O6" i="242"/>
  <c r="G6" i="100"/>
  <c r="O727" i="109"/>
  <c r="O131" i="187" s="1"/>
  <c r="N6" i="243"/>
  <c r="I725" i="109"/>
  <c r="I93" i="187" s="1"/>
  <c r="I94" s="1"/>
  <c r="I97" s="1"/>
  <c r="H6" i="245"/>
  <c r="E724" i="109"/>
  <c r="E72" i="187" s="1"/>
  <c r="E74" s="1"/>
  <c r="D6" i="177"/>
  <c r="J6" i="176"/>
  <c r="I721" i="109"/>
  <c r="I28" i="187" s="1"/>
  <c r="H7" i="171"/>
  <c r="D6" i="148"/>
  <c r="D9" s="1"/>
  <c r="L6" i="241"/>
  <c r="L6" i="242"/>
  <c r="D6" i="100"/>
  <c r="F45" i="109"/>
  <c r="I166"/>
  <c r="L340"/>
  <c r="N391"/>
  <c r="N433"/>
  <c r="N166"/>
  <c r="P176"/>
  <c r="K186"/>
  <c r="F691"/>
  <c r="E32" i="175" s="1"/>
  <c r="L279" i="109"/>
  <c r="L299"/>
  <c r="K248"/>
  <c r="J258"/>
  <c r="M299"/>
  <c r="P330"/>
  <c r="J402"/>
  <c r="G454"/>
  <c r="G433"/>
  <c r="I433"/>
  <c r="K145"/>
  <c r="F227"/>
  <c r="F443"/>
  <c r="O443"/>
  <c r="F465"/>
  <c r="O465"/>
  <c r="M666"/>
  <c r="L58" i="242" s="1"/>
  <c r="E673" i="109"/>
  <c r="D19" i="241" s="1"/>
  <c r="G525" i="109"/>
  <c r="F555"/>
  <c r="M675"/>
  <c r="L45" i="241" s="1"/>
  <c r="L586" i="109"/>
  <c r="K596"/>
  <c r="F515"/>
  <c r="J515"/>
  <c r="N515"/>
  <c r="M515"/>
  <c r="F535"/>
  <c r="E535"/>
  <c r="J535"/>
  <c r="I535"/>
  <c r="N535"/>
  <c r="M535"/>
  <c r="G545"/>
  <c r="K545"/>
  <c r="O545"/>
  <c r="I596"/>
  <c r="M669"/>
  <c r="L97" i="242" s="1"/>
  <c r="P681" i="109"/>
  <c r="J680"/>
  <c r="I46" i="240" s="1"/>
  <c r="F719" i="109" l="1"/>
  <c r="F26" i="187" s="1"/>
  <c r="P729" i="109"/>
  <c r="P152" i="187" s="1"/>
  <c r="P154" s="1"/>
  <c r="P157" s="1"/>
  <c r="O25" i="144" s="1"/>
  <c r="O63" i="241" s="1"/>
  <c r="E719" i="109"/>
  <c r="E720"/>
  <c r="E27" i="187" s="1"/>
  <c r="J721" i="109"/>
  <c r="J28" i="187" s="1"/>
  <c r="I729" i="109"/>
  <c r="I152" i="187" s="1"/>
  <c r="I154" s="1"/>
  <c r="I157" s="1"/>
  <c r="H12" i="144" s="1"/>
  <c r="I728" i="109"/>
  <c r="I132" i="187" s="1"/>
  <c r="G723" i="109"/>
  <c r="G52" i="187" s="1"/>
  <c r="G729" i="109"/>
  <c r="G152" i="187" s="1"/>
  <c r="G154" s="1"/>
  <c r="G157" s="1"/>
  <c r="J54"/>
  <c r="J56" s="1"/>
  <c r="I20" i="144" s="1"/>
  <c r="I63" i="176" s="1"/>
  <c r="M729" i="109"/>
  <c r="M152" i="187" s="1"/>
  <c r="M154" s="1"/>
  <c r="M157" s="1"/>
  <c r="M720" i="109"/>
  <c r="M27" i="187" s="1"/>
  <c r="N719" i="109"/>
  <c r="N26" i="187" s="1"/>
  <c r="E730" i="109"/>
  <c r="O730"/>
  <c r="O171" i="187" s="1"/>
  <c r="O173" s="1"/>
  <c r="O176" s="1"/>
  <c r="K723" i="109"/>
  <c r="K52" i="187" s="1"/>
  <c r="H712" i="109"/>
  <c r="G727"/>
  <c r="G131" i="187" s="1"/>
  <c r="G728" i="109"/>
  <c r="G132" i="187" s="1"/>
  <c r="E727" i="109"/>
  <c r="E131" i="187" s="1"/>
  <c r="P730" i="109"/>
  <c r="P171" i="187" s="1"/>
  <c r="P173" s="1"/>
  <c r="P176" s="1"/>
  <c r="O26" i="144" s="1"/>
  <c r="E728" i="109"/>
  <c r="E132" i="187" s="1"/>
  <c r="I720" i="109"/>
  <c r="I27" i="187" s="1"/>
  <c r="E26"/>
  <c r="E30" s="1"/>
  <c r="H25" i="144"/>
  <c r="D9"/>
  <c r="D22"/>
  <c r="K730" i="109"/>
  <c r="K171" i="187" s="1"/>
  <c r="K173" s="1"/>
  <c r="K176" s="1"/>
  <c r="J7" i="240"/>
  <c r="O9" i="144"/>
  <c r="O7" i="245" s="1"/>
  <c r="O22" i="144"/>
  <c r="O63" i="245" s="1"/>
  <c r="N9" i="144"/>
  <c r="N7" i="245" s="1"/>
  <c r="N22" i="144"/>
  <c r="N63" i="245" s="1"/>
  <c r="O12" i="148"/>
  <c r="L12"/>
  <c r="N12"/>
  <c r="H12"/>
  <c r="J12"/>
  <c r="M9" i="144"/>
  <c r="M7" i="245" s="1"/>
  <c r="M22" i="144"/>
  <c r="M63" i="245" s="1"/>
  <c r="F13" i="144"/>
  <c r="F21" i="240" s="1"/>
  <c r="F26" i="144"/>
  <c r="P712" i="109"/>
  <c r="K719"/>
  <c r="O720"/>
  <c r="O27" i="187" s="1"/>
  <c r="E133"/>
  <c r="E136" s="1"/>
  <c r="E712" i="109"/>
  <c r="H719"/>
  <c r="O728"/>
  <c r="O132" i="187" s="1"/>
  <c r="O133" s="1"/>
  <c r="O136" s="1"/>
  <c r="G720" i="109"/>
  <c r="G27" i="187" s="1"/>
  <c r="K728" i="109"/>
  <c r="K132" i="187" s="1"/>
  <c r="M730" i="109"/>
  <c r="M171" i="187" s="1"/>
  <c r="M173" s="1"/>
  <c r="M176" s="1"/>
  <c r="G724" i="109"/>
  <c r="G72" i="187" s="1"/>
  <c r="G74" s="1"/>
  <c r="I727" i="109"/>
  <c r="I131" i="187" s="1"/>
  <c r="I133" s="1"/>
  <c r="I136" s="1"/>
  <c r="N729" i="109"/>
  <c r="N152" i="187" s="1"/>
  <c r="N154" s="1"/>
  <c r="N157" s="1"/>
  <c r="N720" i="109"/>
  <c r="N27" i="187" s="1"/>
  <c r="L727" i="109"/>
  <c r="L131" i="187" s="1"/>
  <c r="L133" s="1"/>
  <c r="L136" s="1"/>
  <c r="H728" i="109"/>
  <c r="H132" i="187" s="1"/>
  <c r="L720" i="109"/>
  <c r="L27" i="187" s="1"/>
  <c r="K712" i="109"/>
  <c r="N712"/>
  <c r="J729"/>
  <c r="J152" i="187" s="1"/>
  <c r="J154" s="1"/>
  <c r="J157" s="1"/>
  <c r="J720" i="109"/>
  <c r="J27" i="187" s="1"/>
  <c r="H720" i="109"/>
  <c r="H27" i="187" s="1"/>
  <c r="G712" i="109"/>
  <c r="J712"/>
  <c r="F729"/>
  <c r="F152" i="187" s="1"/>
  <c r="F154" s="1"/>
  <c r="F157" s="1"/>
  <c r="N721" i="109"/>
  <c r="N28" i="187" s="1"/>
  <c r="J730" i="109"/>
  <c r="J171" i="187" s="1"/>
  <c r="J173" s="1"/>
  <c r="J176" s="1"/>
  <c r="F730" i="109"/>
  <c r="F171" i="187" s="1"/>
  <c r="F173" s="1"/>
  <c r="F176" s="1"/>
  <c r="F12" i="148"/>
  <c r="O13" i="144"/>
  <c r="O21" i="240" s="1"/>
  <c r="I9" i="144"/>
  <c r="I7" i="245" s="1"/>
  <c r="I22" i="144"/>
  <c r="I63" i="245" s="1"/>
  <c r="N726" i="109"/>
  <c r="N111" i="187" s="1"/>
  <c r="N112" s="1"/>
  <c r="N115" s="1"/>
  <c r="M6" i="244"/>
  <c r="H13" i="144"/>
  <c r="H26"/>
  <c r="F723" i="109"/>
  <c r="F52" i="187" s="1"/>
  <c r="E6" i="176"/>
  <c r="O721" i="109"/>
  <c r="O28" i="187" s="1"/>
  <c r="N7" i="171"/>
  <c r="K721" i="109"/>
  <c r="K28" i="187" s="1"/>
  <c r="J7" i="171"/>
  <c r="G721" i="109"/>
  <c r="G28" i="187" s="1"/>
  <c r="F7" i="171"/>
  <c r="E723" i="109"/>
  <c r="E52" i="187" s="1"/>
  <c r="D6" i="176"/>
  <c r="M723" i="109"/>
  <c r="M52" i="187" s="1"/>
  <c r="L6" i="176"/>
  <c r="I723" i="109"/>
  <c r="I52" i="187" s="1"/>
  <c r="I54" s="1"/>
  <c r="I56" s="1"/>
  <c r="H6" i="176"/>
  <c r="L9" i="144"/>
  <c r="L7" i="245" s="1"/>
  <c r="L22" i="144"/>
  <c r="L63" i="245" s="1"/>
  <c r="G12" i="148"/>
  <c r="O726" i="109"/>
  <c r="O111" i="187" s="1"/>
  <c r="O112" s="1"/>
  <c r="O115" s="1"/>
  <c r="N6" i="244"/>
  <c r="K726" i="109"/>
  <c r="K111" i="187" s="1"/>
  <c r="K112" s="1"/>
  <c r="K115" s="1"/>
  <c r="J6" i="244"/>
  <c r="G726" i="109"/>
  <c r="G111" i="187" s="1"/>
  <c r="G112" s="1"/>
  <c r="G115" s="1"/>
  <c r="F6" i="244"/>
  <c r="F726" i="109"/>
  <c r="F111" i="187" s="1"/>
  <c r="F112" s="1"/>
  <c r="F115" s="1"/>
  <c r="E6" i="244"/>
  <c r="M728" i="109"/>
  <c r="M132" i="187" s="1"/>
  <c r="K133"/>
  <c r="K136" s="1"/>
  <c r="E729" i="109"/>
  <c r="I719"/>
  <c r="M721"/>
  <c r="M28" i="187" s="1"/>
  <c r="O723" i="109"/>
  <c r="O52" i="187" s="1"/>
  <c r="O54" s="1"/>
  <c r="O56" s="1"/>
  <c r="E722" i="109"/>
  <c r="E51" i="187" s="1"/>
  <c r="J719" i="109"/>
  <c r="H9" i="144"/>
  <c r="H22"/>
  <c r="K12"/>
  <c r="K7" i="241" s="1"/>
  <c r="K25" i="144"/>
  <c r="K63" i="241" s="1"/>
  <c r="M12" i="148"/>
  <c r="K12"/>
  <c r="I12"/>
  <c r="D12"/>
  <c r="M7" i="144"/>
  <c r="M7" i="175" s="1"/>
  <c r="M20" i="144"/>
  <c r="M63" i="176" s="1"/>
  <c r="P726" i="109"/>
  <c r="P111" i="187" s="1"/>
  <c r="P112" s="1"/>
  <c r="P115" s="1"/>
  <c r="O6" i="244"/>
  <c r="J12" i="144"/>
  <c r="J7" i="241" s="1"/>
  <c r="J25" i="144"/>
  <c r="J63" i="241" s="1"/>
  <c r="J9" i="144"/>
  <c r="J7" i="245" s="1"/>
  <c r="J22" i="144"/>
  <c r="J63" i="245" s="1"/>
  <c r="K13" i="144"/>
  <c r="K21" i="240" s="1"/>
  <c r="K26" i="144"/>
  <c r="K64" i="240" s="1"/>
  <c r="E9" i="144"/>
  <c r="E7" i="245" s="1"/>
  <c r="E22" i="144"/>
  <c r="E63" i="245" s="1"/>
  <c r="G9" i="144"/>
  <c r="G7" i="245" s="1"/>
  <c r="G22" i="144"/>
  <c r="G63" i="245" s="1"/>
  <c r="G13" i="144"/>
  <c r="G21" i="240" s="1"/>
  <c r="G26" i="144"/>
  <c r="N13"/>
  <c r="N21" i="240" s="1"/>
  <c r="N26" i="144"/>
  <c r="M719" i="109"/>
  <c r="K54" i="187"/>
  <c r="K56" s="1"/>
  <c r="J726" i="109"/>
  <c r="J111" i="187" s="1"/>
  <c r="J112" s="1"/>
  <c r="J115" s="1"/>
  <c r="P728" i="109"/>
  <c r="P132" i="187" s="1"/>
  <c r="P133" s="1"/>
  <c r="P136" s="1"/>
  <c r="J727" i="109"/>
  <c r="J131" i="187" s="1"/>
  <c r="O729" i="109"/>
  <c r="O152" i="187" s="1"/>
  <c r="O154" s="1"/>
  <c r="O157" s="1"/>
  <c r="K724" i="109"/>
  <c r="K72" i="187" s="1"/>
  <c r="K74" s="1"/>
  <c r="M727" i="109"/>
  <c r="M131" i="187" s="1"/>
  <c r="O719" i="109"/>
  <c r="M722"/>
  <c r="M51" i="187" s="1"/>
  <c r="N728" i="109"/>
  <c r="N132" i="187" s="1"/>
  <c r="F721" i="109"/>
  <c r="F28" i="187" s="1"/>
  <c r="M712" i="109"/>
  <c r="P719"/>
  <c r="H729"/>
  <c r="H152" i="187" s="1"/>
  <c r="H154" s="1"/>
  <c r="H157" s="1"/>
  <c r="F722" i="109"/>
  <c r="F51" i="187" s="1"/>
  <c r="J728" i="109"/>
  <c r="J132" i="187" s="1"/>
  <c r="H727" i="109"/>
  <c r="H131" i="187" s="1"/>
  <c r="I712" i="109"/>
  <c r="L719"/>
  <c r="N727"/>
  <c r="N131" i="187" s="1"/>
  <c r="F728" i="109"/>
  <c r="F132" i="187" s="1"/>
  <c r="F133" s="1"/>
  <c r="F136" s="1"/>
  <c r="F720" i="109"/>
  <c r="F27" i="187" s="1"/>
  <c r="N730" i="109"/>
  <c r="N171" i="187" s="1"/>
  <c r="N173" s="1"/>
  <c r="N176" s="1"/>
  <c r="L12" i="144"/>
  <c r="L7" i="241" s="1"/>
  <c r="L25" i="144"/>
  <c r="L63" i="241" s="1"/>
  <c r="K9" i="144"/>
  <c r="K7" i="245" s="1"/>
  <c r="K22" i="144"/>
  <c r="K63" i="245" s="1"/>
  <c r="F12" i="144"/>
  <c r="F7" i="241" s="1"/>
  <c r="F25" i="144"/>
  <c r="F63" i="241" s="1"/>
  <c r="F9" i="144"/>
  <c r="F7" i="245" s="1"/>
  <c r="F22" i="144"/>
  <c r="F63" i="245" s="1"/>
  <c r="H726" i="109"/>
  <c r="H111" i="187" s="1"/>
  <c r="H112" s="1"/>
  <c r="H115" s="1"/>
  <c r="G6" i="244"/>
  <c r="P721" i="109"/>
  <c r="P28" i="187" s="1"/>
  <c r="O7" i="171"/>
  <c r="L721" i="109"/>
  <c r="L28" i="187" s="1"/>
  <c r="K7" i="171"/>
  <c r="H721" i="109"/>
  <c r="H28" i="187" s="1"/>
  <c r="G7" i="171"/>
  <c r="P723" i="109"/>
  <c r="P52" i="187" s="1"/>
  <c r="P54" s="1"/>
  <c r="P56" s="1"/>
  <c r="O6" i="176"/>
  <c r="L723" i="109"/>
  <c r="L52" i="187" s="1"/>
  <c r="L54" s="1"/>
  <c r="L56" s="1"/>
  <c r="K6" i="176"/>
  <c r="H723" i="109"/>
  <c r="H52" i="187" s="1"/>
  <c r="H54" s="1"/>
  <c r="H56" s="1"/>
  <c r="G6" i="176"/>
  <c r="E12" i="148"/>
  <c r="E726" i="109"/>
  <c r="E111" i="187" s="1"/>
  <c r="E112" s="1"/>
  <c r="E115" s="1"/>
  <c r="D6" i="244"/>
  <c r="M726" i="109"/>
  <c r="M111" i="187" s="1"/>
  <c r="M112" s="1"/>
  <c r="M115" s="1"/>
  <c r="L6" i="244"/>
  <c r="I726" i="109"/>
  <c r="I111" i="187" s="1"/>
  <c r="I112" s="1"/>
  <c r="I115" s="1"/>
  <c r="H6" i="244"/>
  <c r="L726" i="109"/>
  <c r="L111" i="187" s="1"/>
  <c r="L112" s="1"/>
  <c r="L115" s="1"/>
  <c r="K6" i="244"/>
  <c r="F712" i="109"/>
  <c r="O712"/>
  <c r="G54" i="187"/>
  <c r="G56" s="1"/>
  <c r="L712" i="109"/>
  <c r="G719"/>
  <c r="K720"/>
  <c r="K27" i="187" s="1"/>
  <c r="O724" i="109"/>
  <c r="O72" i="187" s="1"/>
  <c r="O74" s="1"/>
  <c r="F54" l="1"/>
  <c r="F56" s="1"/>
  <c r="E20" i="144" s="1"/>
  <c r="E63" i="176" s="1"/>
  <c r="H133" i="187"/>
  <c r="H136" s="1"/>
  <c r="O12" i="144"/>
  <c r="O7" i="241" s="1"/>
  <c r="H63" i="245"/>
  <c r="Q22" i="144"/>
  <c r="H21" i="240"/>
  <c r="H63" i="241"/>
  <c r="H64" i="240"/>
  <c r="H7" i="245"/>
  <c r="Q9" i="144"/>
  <c r="H7" i="241"/>
  <c r="D7" i="245"/>
  <c r="P9" i="144"/>
  <c r="D63" i="245"/>
  <c r="P22" i="144"/>
  <c r="I7"/>
  <c r="I7" i="175" s="1"/>
  <c r="E54" i="187"/>
  <c r="E56" s="1"/>
  <c r="D20" i="144" s="1"/>
  <c r="N133" i="187"/>
  <c r="N136" s="1"/>
  <c r="J133"/>
  <c r="J136" s="1"/>
  <c r="G133"/>
  <c r="G136" s="1"/>
  <c r="K7" i="144"/>
  <c r="K7" i="175" s="1"/>
  <c r="K20" i="144"/>
  <c r="K63" i="176" s="1"/>
  <c r="O11" i="144"/>
  <c r="O24"/>
  <c r="O38" i="243" s="1"/>
  <c r="N11" i="144"/>
  <c r="N24"/>
  <c r="N38" i="243" s="1"/>
  <c r="G7" i="144"/>
  <c r="G7" i="175" s="1"/>
  <c r="G20" i="144"/>
  <c r="G63" i="176" s="1"/>
  <c r="O7" i="144"/>
  <c r="O7" i="175" s="1"/>
  <c r="O20" i="144"/>
  <c r="O63" i="176" s="1"/>
  <c r="M13" i="144"/>
  <c r="M21" i="240" s="1"/>
  <c r="M26" i="144"/>
  <c r="M11"/>
  <c r="M24"/>
  <c r="M38" i="243" s="1"/>
  <c r="I11" i="144"/>
  <c r="I24"/>
  <c r="I38" i="243" s="1"/>
  <c r="I10" i="144"/>
  <c r="I7" i="244" s="1"/>
  <c r="I23" i="144"/>
  <c r="I37" i="244" s="1"/>
  <c r="D13" i="148"/>
  <c r="D14" s="1"/>
  <c r="D10"/>
  <c r="E27" i="292"/>
  <c r="F10" i="144"/>
  <c r="F7" i="244" s="1"/>
  <c r="F23" i="144"/>
  <c r="F37" i="244" s="1"/>
  <c r="N10" i="144"/>
  <c r="N7" i="244" s="1"/>
  <c r="N23" i="144"/>
  <c r="N37" i="244" s="1"/>
  <c r="M10" i="144"/>
  <c r="M7" i="244" s="1"/>
  <c r="M23" i="144"/>
  <c r="M37" i="244" s="1"/>
  <c r="F10" i="148"/>
  <c r="F13"/>
  <c r="F14" s="1"/>
  <c r="G27" i="292"/>
  <c r="E12" i="144"/>
  <c r="E25"/>
  <c r="M12"/>
  <c r="M7" i="241" s="1"/>
  <c r="M25" i="144"/>
  <c r="M63" i="241" s="1"/>
  <c r="J10" i="148"/>
  <c r="J13"/>
  <c r="J14" s="1"/>
  <c r="K27" i="292"/>
  <c r="N10" i="148"/>
  <c r="N13"/>
  <c r="N14" s="1"/>
  <c r="O27" i="292"/>
  <c r="G26" i="187"/>
  <c r="G30" s="1"/>
  <c r="D10" i="144"/>
  <c r="D23"/>
  <c r="G10"/>
  <c r="G7" i="244" s="1"/>
  <c r="G23" i="144"/>
  <c r="G37" i="244" s="1"/>
  <c r="G11" i="144"/>
  <c r="G24"/>
  <c r="G38" i="243" s="1"/>
  <c r="O26" i="187"/>
  <c r="O30" s="1"/>
  <c r="N12" i="144"/>
  <c r="N7" i="241" s="1"/>
  <c r="N25" i="144"/>
  <c r="N63" i="241" s="1"/>
  <c r="M26" i="187"/>
  <c r="M30" s="1"/>
  <c r="I13" i="148"/>
  <c r="I14" s="1"/>
  <c r="I10"/>
  <c r="J27" i="292"/>
  <c r="I26" i="187"/>
  <c r="I30" s="1"/>
  <c r="J11" i="144"/>
  <c r="J24"/>
  <c r="J38" i="243" s="1"/>
  <c r="L13" i="144"/>
  <c r="L21" i="240" s="1"/>
  <c r="L26" i="144"/>
  <c r="L64" i="240" s="1"/>
  <c r="D11" i="144"/>
  <c r="D24"/>
  <c r="O10" i="148"/>
  <c r="P27" i="292"/>
  <c r="O13" i="148"/>
  <c r="O14" s="1"/>
  <c r="H10" i="144"/>
  <c r="H23"/>
  <c r="P26" i="187"/>
  <c r="P30" s="1"/>
  <c r="J7" i="144"/>
  <c r="J7" i="175" s="1"/>
  <c r="J20" i="144"/>
  <c r="J63" i="176" s="1"/>
  <c r="K10" i="148"/>
  <c r="K13"/>
  <c r="K14" s="1"/>
  <c r="L27" i="292"/>
  <c r="J26" i="187"/>
  <c r="J30" s="1"/>
  <c r="E10" i="144"/>
  <c r="E7" i="244" s="1"/>
  <c r="E23" i="144"/>
  <c r="E37" i="244" s="1"/>
  <c r="J10" i="144"/>
  <c r="J7" i="244" s="1"/>
  <c r="J23" i="144"/>
  <c r="J37" i="244" s="1"/>
  <c r="I13" i="144"/>
  <c r="I21" i="240" s="1"/>
  <c r="I26" i="144"/>
  <c r="I64" i="240" s="1"/>
  <c r="I12" i="144"/>
  <c r="I7" i="241" s="1"/>
  <c r="I25" i="144"/>
  <c r="I63" i="241" s="1"/>
  <c r="J13" i="144"/>
  <c r="J21" i="240" s="1"/>
  <c r="J26" i="144"/>
  <c r="J64" i="240" s="1"/>
  <c r="M54" i="187"/>
  <c r="M56" s="1"/>
  <c r="Q712" i="109"/>
  <c r="F30" i="187"/>
  <c r="F7" i="144"/>
  <c r="F7" i="175" s="1"/>
  <c r="F20" i="144"/>
  <c r="F63" i="176" s="1"/>
  <c r="N7" i="144"/>
  <c r="N7" i="175" s="1"/>
  <c r="N20" i="144"/>
  <c r="N63" i="176" s="1"/>
  <c r="K10" i="144"/>
  <c r="K7" i="244" s="1"/>
  <c r="K23" i="144"/>
  <c r="K37" i="244" s="1"/>
  <c r="L10" i="144"/>
  <c r="L7" i="244" s="1"/>
  <c r="L23" i="144"/>
  <c r="L37" i="244" s="1"/>
  <c r="E13" i="148"/>
  <c r="E14" s="1"/>
  <c r="E10"/>
  <c r="F27" i="292"/>
  <c r="L26" i="187"/>
  <c r="L30" s="1"/>
  <c r="G12" i="144"/>
  <c r="G7" i="241" s="1"/>
  <c r="G25" i="144"/>
  <c r="G63" i="241" s="1"/>
  <c r="H7" i="144"/>
  <c r="H20"/>
  <c r="E11"/>
  <c r="E24"/>
  <c r="E38" i="243" s="1"/>
  <c r="O10" i="144"/>
  <c r="O7" i="244" s="1"/>
  <c r="O23" i="144"/>
  <c r="O37" i="244" s="1"/>
  <c r="M13" i="148"/>
  <c r="M14" s="1"/>
  <c r="M10"/>
  <c r="N27" i="292"/>
  <c r="G10" i="148"/>
  <c r="H27" i="292"/>
  <c r="G13" i="148"/>
  <c r="G14" s="1"/>
  <c r="E13" i="144"/>
  <c r="E26"/>
  <c r="K11"/>
  <c r="K24"/>
  <c r="K38" i="243" s="1"/>
  <c r="H11" i="144"/>
  <c r="H24"/>
  <c r="H26" i="187"/>
  <c r="H30" s="1"/>
  <c r="K26"/>
  <c r="K30" s="1"/>
  <c r="H13" i="148"/>
  <c r="H14" s="1"/>
  <c r="H10"/>
  <c r="I27" i="292"/>
  <c r="L13" i="148"/>
  <c r="L14" s="1"/>
  <c r="L10"/>
  <c r="M27" i="292"/>
  <c r="M133" i="187"/>
  <c r="M136" s="1"/>
  <c r="N30"/>
  <c r="D7" i="144" l="1"/>
  <c r="E7"/>
  <c r="E7" i="175" s="1"/>
  <c r="H7"/>
  <c r="H7" i="244"/>
  <c r="Q10" i="144"/>
  <c r="H38" i="243"/>
  <c r="H63" i="176"/>
  <c r="H37" i="244"/>
  <c r="Q23" i="144"/>
  <c r="Q25"/>
  <c r="Q12"/>
  <c r="Q26"/>
  <c r="Q13"/>
  <c r="E21" i="240"/>
  <c r="P13" i="144"/>
  <c r="D38" i="243"/>
  <c r="D7" i="244"/>
  <c r="P10" i="144"/>
  <c r="D7" i="175"/>
  <c r="D37" i="244"/>
  <c r="P23" i="144"/>
  <c r="E7" i="241"/>
  <c r="P12" i="144"/>
  <c r="D63" i="176"/>
  <c r="P26" i="144"/>
  <c r="E63" i="241"/>
  <c r="P25" i="144"/>
  <c r="F24"/>
  <c r="F38" i="243" s="1"/>
  <c r="F11" i="144"/>
  <c r="L11"/>
  <c r="Q11" s="1"/>
  <c r="L24"/>
  <c r="L38" i="243" s="1"/>
  <c r="H7" i="242"/>
  <c r="H9" s="1"/>
  <c r="H7" i="243"/>
  <c r="L7" i="144"/>
  <c r="L7" i="175" s="1"/>
  <c r="L20" i="144"/>
  <c r="L63" i="176" s="1"/>
  <c r="N18" i="148"/>
  <c r="N22" s="1"/>
  <c r="N26" i="253"/>
  <c r="D18" i="148"/>
  <c r="D22" s="1"/>
  <c r="D26" i="253"/>
  <c r="I7" i="242"/>
  <c r="I9" s="1"/>
  <c r="I7" i="243"/>
  <c r="M7" i="242"/>
  <c r="M9" s="1"/>
  <c r="M7" i="243"/>
  <c r="N7" i="242"/>
  <c r="N9" s="1"/>
  <c r="N7" i="243"/>
  <c r="L18" i="148"/>
  <c r="L22" s="1"/>
  <c r="L26" i="253"/>
  <c r="E18" i="148"/>
  <c r="E22" s="1"/>
  <c r="E26" i="253"/>
  <c r="J18" i="148"/>
  <c r="J22" s="1"/>
  <c r="J26" i="253"/>
  <c r="H18" i="148"/>
  <c r="H22" s="1"/>
  <c r="H26" i="253"/>
  <c r="K7" i="242"/>
  <c r="K9" s="1"/>
  <c r="K7" i="243"/>
  <c r="M18" i="148"/>
  <c r="M22" s="1"/>
  <c r="M26" i="253"/>
  <c r="E7" i="242"/>
  <c r="E9" s="1"/>
  <c r="E7" i="243"/>
  <c r="K18" i="148"/>
  <c r="K22" s="1"/>
  <c r="K26" i="253"/>
  <c r="O18" i="148"/>
  <c r="O22" s="1"/>
  <c r="O26" i="253"/>
  <c r="D7" i="242"/>
  <c r="D9" s="1"/>
  <c r="D7" i="243"/>
  <c r="J7" i="242"/>
  <c r="J9" s="1"/>
  <c r="J7" i="243"/>
  <c r="F18" i="148"/>
  <c r="F22" s="1"/>
  <c r="F26" i="253"/>
  <c r="Q27" i="292"/>
  <c r="O7" i="242"/>
  <c r="O9" s="1"/>
  <c r="O7" i="243"/>
  <c r="G18" i="148"/>
  <c r="G22" s="1"/>
  <c r="G26" i="253"/>
  <c r="I18" i="148"/>
  <c r="I22" s="1"/>
  <c r="I26" i="253"/>
  <c r="G7" i="242"/>
  <c r="G9" s="1"/>
  <c r="G7" i="243"/>
  <c r="Q20" i="144" l="1"/>
  <c r="Q7"/>
  <c r="Q24"/>
  <c r="P11"/>
  <c r="P20"/>
  <c r="P7"/>
  <c r="P24"/>
  <c r="F7" i="242"/>
  <c r="F9" s="1"/>
  <c r="F12" s="1"/>
  <c r="F13" s="1"/>
  <c r="F14" s="1"/>
  <c r="F7" i="243"/>
  <c r="E25" i="148"/>
  <c r="M12" i="242"/>
  <c r="D25" i="148"/>
  <c r="L7" i="242"/>
  <c r="L9" s="1"/>
  <c r="L7" i="243"/>
  <c r="G12" i="242"/>
  <c r="G25" i="148"/>
  <c r="J12" i="242"/>
  <c r="O25" i="148"/>
  <c r="M25"/>
  <c r="H25"/>
  <c r="J25"/>
  <c r="L25"/>
  <c r="N12" i="242"/>
  <c r="I12"/>
  <c r="N25" i="148"/>
  <c r="H12" i="242"/>
  <c r="I25" i="148"/>
  <c r="O12" i="242"/>
  <c r="F25" i="148"/>
  <c r="D12" i="242"/>
  <c r="K25" i="148"/>
  <c r="E12" i="242"/>
  <c r="K12"/>
  <c r="G94" i="292" l="1"/>
  <c r="F10" i="242"/>
  <c r="D13"/>
  <c r="D14" s="1"/>
  <c r="D10"/>
  <c r="E94" i="292"/>
  <c r="O10" i="242"/>
  <c r="O13"/>
  <c r="O14" s="1"/>
  <c r="P94" i="292"/>
  <c r="H13" i="242"/>
  <c r="H14" s="1"/>
  <c r="H10"/>
  <c r="I94" i="292"/>
  <c r="L26" i="148"/>
  <c r="L27" s="1"/>
  <c r="L23"/>
  <c r="M28" i="292"/>
  <c r="J10" i="242"/>
  <c r="J13"/>
  <c r="J14" s="1"/>
  <c r="K94" i="292"/>
  <c r="E26" i="148"/>
  <c r="E27" s="1"/>
  <c r="E23"/>
  <c r="F28" i="292"/>
  <c r="N23" i="148"/>
  <c r="N26"/>
  <c r="N27" s="1"/>
  <c r="O28" i="292"/>
  <c r="N10" i="242"/>
  <c r="O94" i="292"/>
  <c r="N13" i="242"/>
  <c r="N14" s="1"/>
  <c r="J23" i="148"/>
  <c r="J26"/>
  <c r="J27" s="1"/>
  <c r="K28" i="292"/>
  <c r="G10" i="242"/>
  <c r="G13"/>
  <c r="G14" s="1"/>
  <c r="H94" i="292"/>
  <c r="D26" i="148"/>
  <c r="D27" s="1"/>
  <c r="D23"/>
  <c r="E28" i="292"/>
  <c r="I26" i="148"/>
  <c r="I27" s="1"/>
  <c r="I23"/>
  <c r="J28" i="292"/>
  <c r="K10" i="242"/>
  <c r="K13"/>
  <c r="K14" s="1"/>
  <c r="L94" i="292"/>
  <c r="K23" i="148"/>
  <c r="L28" i="292"/>
  <c r="K26" i="148"/>
  <c r="K27" s="1"/>
  <c r="H26"/>
  <c r="H27" s="1"/>
  <c r="H23"/>
  <c r="I28" i="292"/>
  <c r="F18" i="242"/>
  <c r="F22" s="1"/>
  <c r="F90" i="253"/>
  <c r="L12" i="242"/>
  <c r="M13"/>
  <c r="M14" s="1"/>
  <c r="M10"/>
  <c r="N94" i="292"/>
  <c r="F23" i="148"/>
  <c r="G28" i="292"/>
  <c r="F26" i="148"/>
  <c r="F27" s="1"/>
  <c r="E13" i="242"/>
  <c r="E14" s="1"/>
  <c r="E10"/>
  <c r="F94" i="292"/>
  <c r="I13" i="242"/>
  <c r="I14" s="1"/>
  <c r="I10"/>
  <c r="J94" i="292"/>
  <c r="M26" i="148"/>
  <c r="M27" s="1"/>
  <c r="M23"/>
  <c r="N28" i="292"/>
  <c r="O23" i="148"/>
  <c r="O26"/>
  <c r="O27" s="1"/>
  <c r="P28" i="292"/>
  <c r="G23" i="148"/>
  <c r="G26"/>
  <c r="G27" s="1"/>
  <c r="H28" i="292"/>
  <c r="E18" i="242" l="1"/>
  <c r="E22" s="1"/>
  <c r="E90" i="253"/>
  <c r="Q28" i="292"/>
  <c r="G18" i="242"/>
  <c r="G22" s="1"/>
  <c r="G90" i="253"/>
  <c r="O18" i="242"/>
  <c r="O22" s="1"/>
  <c r="O90" i="253"/>
  <c r="D18" i="242"/>
  <c r="D22" s="1"/>
  <c r="D90" i="253"/>
  <c r="J31" i="148"/>
  <c r="J35" s="1"/>
  <c r="J27" i="253"/>
  <c r="J18" i="242"/>
  <c r="J22" s="1"/>
  <c r="J90" i="253"/>
  <c r="L31" i="148"/>
  <c r="L35" s="1"/>
  <c r="L27" i="253"/>
  <c r="M18" i="242"/>
  <c r="M22" s="1"/>
  <c r="M90" i="253"/>
  <c r="F25" i="242"/>
  <c r="K31" i="148"/>
  <c r="K35" s="1"/>
  <c r="K27" i="253"/>
  <c r="K18" i="242"/>
  <c r="K22" s="1"/>
  <c r="K90" i="253"/>
  <c r="I31" i="148"/>
  <c r="I35" s="1"/>
  <c r="I27" i="253"/>
  <c r="D31" i="148"/>
  <c r="D35" s="1"/>
  <c r="D27" i="253"/>
  <c r="H18" i="242"/>
  <c r="H22" s="1"/>
  <c r="H90" i="253"/>
  <c r="G31" i="148"/>
  <c r="G35" s="1"/>
  <c r="G27" i="253"/>
  <c r="L13" i="242"/>
  <c r="L14" s="1"/>
  <c r="L10"/>
  <c r="M94" i="292"/>
  <c r="O31" i="148"/>
  <c r="O35" s="1"/>
  <c r="O27" i="253"/>
  <c r="M31" i="148"/>
  <c r="M35" s="1"/>
  <c r="M27" i="253"/>
  <c r="I18" i="242"/>
  <c r="I22" s="1"/>
  <c r="I90" i="253"/>
  <c r="F31" i="148"/>
  <c r="F35" s="1"/>
  <c r="F27" i="253"/>
  <c r="H31" i="148"/>
  <c r="H35" s="1"/>
  <c r="H27" i="253"/>
  <c r="N18" i="242"/>
  <c r="N22" s="1"/>
  <c r="N90" i="253"/>
  <c r="N31" i="148"/>
  <c r="N35" s="1"/>
  <c r="N27" i="253"/>
  <c r="E31" i="148"/>
  <c r="E35" s="1"/>
  <c r="E27" i="253"/>
  <c r="O22" i="187" l="1"/>
  <c r="O23" s="1"/>
  <c r="O32" s="1"/>
  <c r="F22"/>
  <c r="F23" s="1"/>
  <c r="F32" s="1"/>
  <c r="N25" i="242"/>
  <c r="G22" i="187"/>
  <c r="G23" s="1"/>
  <c r="G32" s="1"/>
  <c r="N22"/>
  <c r="N23" s="1"/>
  <c r="N32" s="1"/>
  <c r="H22"/>
  <c r="H23" s="1"/>
  <c r="H32" s="1"/>
  <c r="E22"/>
  <c r="E23" s="1"/>
  <c r="E32" s="1"/>
  <c r="D47" i="148"/>
  <c r="D46"/>
  <c r="D48" s="1"/>
  <c r="K25" i="242"/>
  <c r="D25"/>
  <c r="G25"/>
  <c r="E25"/>
  <c r="Q94" i="292"/>
  <c r="I22" i="187"/>
  <c r="I23" s="1"/>
  <c r="I32" s="1"/>
  <c r="P22"/>
  <c r="P23" s="1"/>
  <c r="P32" s="1"/>
  <c r="F23" i="242"/>
  <c r="F26"/>
  <c r="F27" s="1"/>
  <c r="G95" i="292"/>
  <c r="J25" i="242"/>
  <c r="I25"/>
  <c r="L18"/>
  <c r="L22" s="1"/>
  <c r="L90" i="253"/>
  <c r="H25" i="242"/>
  <c r="J22" i="187"/>
  <c r="J23" s="1"/>
  <c r="J32" s="1"/>
  <c r="L22"/>
  <c r="L23" s="1"/>
  <c r="L32" s="1"/>
  <c r="M25" i="242"/>
  <c r="O25"/>
  <c r="M22" i="187"/>
  <c r="M23" s="1"/>
  <c r="M32" s="1"/>
  <c r="K22"/>
  <c r="K23" s="1"/>
  <c r="K32" s="1"/>
  <c r="D50" i="148" l="1"/>
  <c r="D28" i="253" s="1"/>
  <c r="D49" i="148"/>
  <c r="E46" s="1"/>
  <c r="M23" i="242"/>
  <c r="M26"/>
  <c r="M27" s="1"/>
  <c r="N95" i="292"/>
  <c r="J6" i="144"/>
  <c r="J19"/>
  <c r="J38" i="171" s="1"/>
  <c r="O23" i="242"/>
  <c r="O26"/>
  <c r="O27" s="1"/>
  <c r="P95" i="292"/>
  <c r="K6" i="144"/>
  <c r="K19"/>
  <c r="K38" i="171" s="1"/>
  <c r="H23" i="242"/>
  <c r="H26"/>
  <c r="H27" s="1"/>
  <c r="I95" i="292"/>
  <c r="F31" i="242"/>
  <c r="F35" s="1"/>
  <c r="F91" i="253"/>
  <c r="D6" i="144"/>
  <c r="D19"/>
  <c r="M6"/>
  <c r="M19"/>
  <c r="M38" i="171" s="1"/>
  <c r="N6" i="144"/>
  <c r="N19"/>
  <c r="N38" i="171" s="1"/>
  <c r="G23" i="242"/>
  <c r="G26"/>
  <c r="G27" s="1"/>
  <c r="H95" i="292"/>
  <c r="K23" i="242"/>
  <c r="L95" i="292"/>
  <c r="K26" i="242"/>
  <c r="K27" s="1"/>
  <c r="E47" i="148"/>
  <c r="E49" s="1"/>
  <c r="N23" i="242"/>
  <c r="N26"/>
  <c r="N27" s="1"/>
  <c r="O95" i="292"/>
  <c r="O6" i="144"/>
  <c r="O19"/>
  <c r="O38" i="171" s="1"/>
  <c r="L6" i="144"/>
  <c r="L19"/>
  <c r="L38" i="171" s="1"/>
  <c r="I6" i="144"/>
  <c r="I19"/>
  <c r="I38" i="171" s="1"/>
  <c r="L25" i="242"/>
  <c r="G6" i="144"/>
  <c r="G19"/>
  <c r="G38" i="171" s="1"/>
  <c r="F6" i="144"/>
  <c r="F19"/>
  <c r="F38" i="171" s="1"/>
  <c r="E6" i="144"/>
  <c r="E19"/>
  <c r="E38" i="171" s="1"/>
  <c r="I23" i="242"/>
  <c r="I26"/>
  <c r="I27" s="1"/>
  <c r="J95" i="292"/>
  <c r="J23" i="242"/>
  <c r="J26"/>
  <c r="J27" s="1"/>
  <c r="K95" i="292"/>
  <c r="H6" i="144"/>
  <c r="Q6" s="1"/>
  <c r="H19"/>
  <c r="E23" i="242"/>
  <c r="E26"/>
  <c r="E27" s="1"/>
  <c r="F95" i="292"/>
  <c r="D23" i="242"/>
  <c r="D26"/>
  <c r="D27" s="1"/>
  <c r="E95" i="292"/>
  <c r="D42" i="148"/>
  <c r="H38" i="171" l="1"/>
  <c r="Q19" i="144"/>
  <c r="P6"/>
  <c r="D38" i="171"/>
  <c r="P19" i="144"/>
  <c r="D54" i="148"/>
  <c r="F47"/>
  <c r="F49" s="1"/>
  <c r="E48"/>
  <c r="F46" s="1"/>
  <c r="K7" i="100"/>
  <c r="K9" s="1"/>
  <c r="K56" i="148"/>
  <c r="H7" i="100"/>
  <c r="H9" s="1"/>
  <c r="H56" i="148"/>
  <c r="F7" i="100"/>
  <c r="F9" s="1"/>
  <c r="F56" i="148"/>
  <c r="I7" i="100"/>
  <c r="I9" s="1"/>
  <c r="I56" i="148"/>
  <c r="O7" i="100"/>
  <c r="O9" s="1"/>
  <c r="O56" i="148"/>
  <c r="M7" i="100"/>
  <c r="M9" s="1"/>
  <c r="M56" i="148"/>
  <c r="F38" i="242"/>
  <c r="M31"/>
  <c r="M35" s="1"/>
  <c r="M91" i="253"/>
  <c r="D31" i="242"/>
  <c r="D35" s="1"/>
  <c r="D91" i="253"/>
  <c r="J31" i="242"/>
  <c r="J35" s="1"/>
  <c r="J91" i="253"/>
  <c r="K31" i="242"/>
  <c r="K35" s="1"/>
  <c r="K91" i="253"/>
  <c r="G31" i="242"/>
  <c r="G35" s="1"/>
  <c r="G91" i="253"/>
  <c r="O31" i="242"/>
  <c r="O35" s="1"/>
  <c r="O91" i="253"/>
  <c r="E31" i="242"/>
  <c r="E35" s="1"/>
  <c r="E91" i="253"/>
  <c r="I31" i="242"/>
  <c r="I35" s="1"/>
  <c r="I91" i="253"/>
  <c r="E7" i="100"/>
  <c r="E9" s="1"/>
  <c r="E56" i="148"/>
  <c r="G7" i="100"/>
  <c r="G9" s="1"/>
  <c r="G56" i="148"/>
  <c r="L23" i="242"/>
  <c r="L26"/>
  <c r="L27" s="1"/>
  <c r="M95" i="292"/>
  <c r="L7" i="100"/>
  <c r="L9" s="1"/>
  <c r="L56" i="148"/>
  <c r="N31" i="242"/>
  <c r="N35" s="1"/>
  <c r="N91" i="253"/>
  <c r="E50" i="148"/>
  <c r="E42"/>
  <c r="N7" i="100"/>
  <c r="N9" s="1"/>
  <c r="N56" i="148"/>
  <c r="D7" i="100"/>
  <c r="D9" s="1"/>
  <c r="D56" i="148"/>
  <c r="D58" s="1"/>
  <c r="H31" i="242"/>
  <c r="H35" s="1"/>
  <c r="H91" i="253"/>
  <c r="J7" i="100"/>
  <c r="J9" s="1"/>
  <c r="J56" i="148"/>
  <c r="D61" l="1"/>
  <c r="F48"/>
  <c r="G46" s="1"/>
  <c r="H38" i="242"/>
  <c r="N12" i="100"/>
  <c r="N38" i="242"/>
  <c r="L31"/>
  <c r="L35" s="1"/>
  <c r="L91" i="253"/>
  <c r="G38" i="242"/>
  <c r="J38"/>
  <c r="K12" i="100"/>
  <c r="F42" i="148"/>
  <c r="G12" i="100"/>
  <c r="I38" i="242"/>
  <c r="O12" i="100"/>
  <c r="F12"/>
  <c r="G47" i="148"/>
  <c r="G49" s="1"/>
  <c r="Q95" i="292"/>
  <c r="H203" s="1"/>
  <c r="I203" s="1"/>
  <c r="J203" s="1"/>
  <c r="J12" i="100"/>
  <c r="D12"/>
  <c r="E54" i="148"/>
  <c r="E58" s="1"/>
  <c r="E28" i="253"/>
  <c r="L12" i="100"/>
  <c r="F36" i="242"/>
  <c r="G96" i="292"/>
  <c r="F39" i="242"/>
  <c r="F40" s="1"/>
  <c r="O38"/>
  <c r="K38"/>
  <c r="D38"/>
  <c r="E12" i="100"/>
  <c r="E38" i="242"/>
  <c r="M38"/>
  <c r="M12" i="100"/>
  <c r="I12"/>
  <c r="H12"/>
  <c r="F50" i="148" l="1"/>
  <c r="G48"/>
  <c r="H46" s="1"/>
  <c r="M13" i="100"/>
  <c r="M14" s="1"/>
  <c r="M10"/>
  <c r="N7" i="292"/>
  <c r="O36" i="242"/>
  <c r="O39"/>
  <c r="O40" s="1"/>
  <c r="P96" i="292"/>
  <c r="H13" i="100"/>
  <c r="H14" s="1"/>
  <c r="H10"/>
  <c r="I7" i="292"/>
  <c r="E36" i="242"/>
  <c r="E39"/>
  <c r="E40" s="1"/>
  <c r="F96" i="292"/>
  <c r="E61" i="148"/>
  <c r="J10" i="100"/>
  <c r="J13"/>
  <c r="J14" s="1"/>
  <c r="K7" i="292"/>
  <c r="H47" i="148"/>
  <c r="H49" s="1"/>
  <c r="G36" i="242"/>
  <c r="G39"/>
  <c r="G40" s="1"/>
  <c r="H96" i="292"/>
  <c r="H36" i="242"/>
  <c r="H39"/>
  <c r="H40" s="1"/>
  <c r="I96" i="292"/>
  <c r="D62" i="148"/>
  <c r="D63" s="1"/>
  <c r="D59"/>
  <c r="E30" i="292"/>
  <c r="G42" i="148"/>
  <c r="O10" i="100"/>
  <c r="O13"/>
  <c r="O14" s="1"/>
  <c r="P7" i="292"/>
  <c r="G10" i="100"/>
  <c r="G13"/>
  <c r="G14" s="1"/>
  <c r="H7" i="292"/>
  <c r="K10" i="100"/>
  <c r="L7" i="292"/>
  <c r="K13" i="100"/>
  <c r="K14" s="1"/>
  <c r="N36" i="242"/>
  <c r="N39"/>
  <c r="N40" s="1"/>
  <c r="O96" i="292"/>
  <c r="E13" i="100"/>
  <c r="E14" s="1"/>
  <c r="E10"/>
  <c r="F7" i="292"/>
  <c r="K36" i="242"/>
  <c r="L96" i="292"/>
  <c r="K39" i="242"/>
  <c r="K40" s="1"/>
  <c r="M36"/>
  <c r="M39"/>
  <c r="M40" s="1"/>
  <c r="N96" i="292"/>
  <c r="F44" i="242"/>
  <c r="F48" s="1"/>
  <c r="F92" i="253"/>
  <c r="F10" i="100"/>
  <c r="F13"/>
  <c r="F14" s="1"/>
  <c r="G7" i="292"/>
  <c r="F54" i="148"/>
  <c r="F58" s="1"/>
  <c r="F28" i="253"/>
  <c r="L38" i="242"/>
  <c r="N10" i="100"/>
  <c r="N13"/>
  <c r="N14" s="1"/>
  <c r="O7" i="292"/>
  <c r="I13" i="100"/>
  <c r="I14" s="1"/>
  <c r="I10"/>
  <c r="J7" i="292"/>
  <c r="D36" i="242"/>
  <c r="D39"/>
  <c r="D40" s="1"/>
  <c r="E96" i="292"/>
  <c r="L13" i="100"/>
  <c r="L14" s="1"/>
  <c r="L10"/>
  <c r="M7" i="292"/>
  <c r="D13" i="100"/>
  <c r="D14" s="1"/>
  <c r="D10"/>
  <c r="E7" i="292"/>
  <c r="I36" i="242"/>
  <c r="I39"/>
  <c r="I40" s="1"/>
  <c r="J96" i="292"/>
  <c r="J36" i="242"/>
  <c r="J39"/>
  <c r="J40" s="1"/>
  <c r="K96" i="292"/>
  <c r="G50" i="148" l="1"/>
  <c r="G28" i="253" s="1"/>
  <c r="F61" i="148"/>
  <c r="L19" i="100"/>
  <c r="L23" s="1"/>
  <c r="L6" i="253"/>
  <c r="N19" i="100"/>
  <c r="N23" s="1"/>
  <c r="N6" i="253"/>
  <c r="M44" i="242"/>
  <c r="M48" s="1"/>
  <c r="M92" i="253"/>
  <c r="K19" i="100"/>
  <c r="K23" s="1"/>
  <c r="K6" i="253"/>
  <c r="G19" i="100"/>
  <c r="G23" s="1"/>
  <c r="G6" i="253"/>
  <c r="H42" i="148"/>
  <c r="E44" i="242"/>
  <c r="E48" s="1"/>
  <c r="E92" i="253"/>
  <c r="H19" i="100"/>
  <c r="H23" s="1"/>
  <c r="H6" i="253"/>
  <c r="Q7" i="292"/>
  <c r="L36" i="242"/>
  <c r="L39"/>
  <c r="L40" s="1"/>
  <c r="M96" i="292"/>
  <c r="Q96" s="1"/>
  <c r="H204" s="1"/>
  <c r="I204" s="1"/>
  <c r="J204" s="1"/>
  <c r="F19" i="100"/>
  <c r="F23" s="1"/>
  <c r="F6" i="253"/>
  <c r="E19" i="100"/>
  <c r="E23" s="1"/>
  <c r="E6" i="253"/>
  <c r="O19" i="100"/>
  <c r="O23" s="1"/>
  <c r="O6" i="253"/>
  <c r="E150" i="292"/>
  <c r="H44" i="242"/>
  <c r="H48" s="1"/>
  <c r="H92" i="253"/>
  <c r="J19" i="100"/>
  <c r="J23" s="1"/>
  <c r="J6" i="253"/>
  <c r="H48" i="148"/>
  <c r="H50" s="1"/>
  <c r="J44" i="242"/>
  <c r="J48" s="1"/>
  <c r="J92" i="253"/>
  <c r="D44" i="242"/>
  <c r="D48" s="1"/>
  <c r="D92" i="253"/>
  <c r="I19" i="100"/>
  <c r="I23" s="1"/>
  <c r="I6" i="253"/>
  <c r="F51" i="242"/>
  <c r="K44"/>
  <c r="K48" s="1"/>
  <c r="K92" i="253"/>
  <c r="N44" i="242"/>
  <c r="N48" s="1"/>
  <c r="N92" i="253"/>
  <c r="G54" i="148"/>
  <c r="G58" s="1"/>
  <c r="G44" i="242"/>
  <c r="G48" s="1"/>
  <c r="G92" i="253"/>
  <c r="E59" i="148"/>
  <c r="E62"/>
  <c r="E63" s="1"/>
  <c r="F30" i="292"/>
  <c r="F150" s="1"/>
  <c r="O44" i="242"/>
  <c r="O48" s="1"/>
  <c r="O92" i="253"/>
  <c r="M19" i="100"/>
  <c r="M23" s="1"/>
  <c r="M6" i="253"/>
  <c r="I44" i="242"/>
  <c r="I48" s="1"/>
  <c r="I92" i="253"/>
  <c r="D19" i="100"/>
  <c r="D23" s="1"/>
  <c r="D6" i="253"/>
  <c r="D6" i="171"/>
  <c r="D29" i="253"/>
  <c r="D152" s="1"/>
  <c r="I47" i="148"/>
  <c r="I49" s="1"/>
  <c r="I46" l="1"/>
  <c r="H54"/>
  <c r="H58" s="1"/>
  <c r="H28" i="253"/>
  <c r="O51" i="242"/>
  <c r="H26" i="100"/>
  <c r="K26"/>
  <c r="N26"/>
  <c r="J47" i="148"/>
  <c r="J49" s="1"/>
  <c r="M26" i="100"/>
  <c r="E6" i="171"/>
  <c r="E29" i="253"/>
  <c r="E152" s="1"/>
  <c r="I51" i="242"/>
  <c r="G51"/>
  <c r="N51"/>
  <c r="D51"/>
  <c r="H51"/>
  <c r="O26" i="100"/>
  <c r="F26"/>
  <c r="F59" i="148"/>
  <c r="F62"/>
  <c r="F63" s="1"/>
  <c r="G30" i="292"/>
  <c r="F49" i="242"/>
  <c r="G97" i="292"/>
  <c r="F52" i="242"/>
  <c r="F53" s="1"/>
  <c r="I48" i="148"/>
  <c r="J46" s="1"/>
  <c r="E51" i="242"/>
  <c r="G26" i="100"/>
  <c r="M51" i="242"/>
  <c r="L26" i="100"/>
  <c r="I42" i="148"/>
  <c r="D26" i="100"/>
  <c r="G61" i="148"/>
  <c r="K51" i="242"/>
  <c r="I26" i="100"/>
  <c r="J51" i="242"/>
  <c r="J26" i="100"/>
  <c r="E26"/>
  <c r="L44" i="242"/>
  <c r="L48" s="1"/>
  <c r="L92" i="253"/>
  <c r="I50" i="148" l="1"/>
  <c r="I54" s="1"/>
  <c r="I58" s="1"/>
  <c r="J49" i="242"/>
  <c r="J52"/>
  <c r="J53" s="1"/>
  <c r="K97" i="292"/>
  <c r="D27" i="100"/>
  <c r="D28" s="1"/>
  <c r="D24"/>
  <c r="E8" i="292"/>
  <c r="L51" i="242"/>
  <c r="J24" i="100"/>
  <c r="J27"/>
  <c r="J28" s="1"/>
  <c r="K8" i="292"/>
  <c r="I27" i="100"/>
  <c r="I28" s="1"/>
  <c r="I24"/>
  <c r="J8" i="292"/>
  <c r="I28" i="253"/>
  <c r="D49" i="242"/>
  <c r="D52"/>
  <c r="D53" s="1"/>
  <c r="E97" i="292"/>
  <c r="G49" i="242"/>
  <c r="G52"/>
  <c r="G53" s="1"/>
  <c r="H97" i="292"/>
  <c r="J42" i="148"/>
  <c r="N24" i="100"/>
  <c r="N27"/>
  <c r="N28" s="1"/>
  <c r="O8" i="292"/>
  <c r="H61" i="148"/>
  <c r="G62"/>
  <c r="G63" s="1"/>
  <c r="G59"/>
  <c r="H30" i="292"/>
  <c r="H150" s="1"/>
  <c r="M49" i="242"/>
  <c r="M52"/>
  <c r="M53" s="1"/>
  <c r="N97" i="292"/>
  <c r="E49" i="242"/>
  <c r="E52"/>
  <c r="E53" s="1"/>
  <c r="F97" i="292"/>
  <c r="F57" i="242"/>
  <c r="F61" s="1"/>
  <c r="F93" i="253"/>
  <c r="F6" i="171"/>
  <c r="F29" i="253"/>
  <c r="F152" s="1"/>
  <c r="O24" i="100"/>
  <c r="O27"/>
  <c r="O28" s="1"/>
  <c r="P8" i="292"/>
  <c r="K47" i="148"/>
  <c r="K49" s="1"/>
  <c r="H27" i="100"/>
  <c r="H28" s="1"/>
  <c r="H24"/>
  <c r="I8" i="292"/>
  <c r="E27" i="100"/>
  <c r="E28" s="1"/>
  <c r="E24"/>
  <c r="F8" i="292"/>
  <c r="K49" i="242"/>
  <c r="L97" i="292"/>
  <c r="K52" i="242"/>
  <c r="K53" s="1"/>
  <c r="G150" i="292"/>
  <c r="F24" i="100"/>
  <c r="F27"/>
  <c r="F28" s="1"/>
  <c r="G8" i="292"/>
  <c r="H49" i="242"/>
  <c r="H52"/>
  <c r="H53" s="1"/>
  <c r="I97" i="292"/>
  <c r="M27" i="100"/>
  <c r="M28" s="1"/>
  <c r="M24"/>
  <c r="N8" i="292"/>
  <c r="O49" i="242"/>
  <c r="O52"/>
  <c r="O53" s="1"/>
  <c r="P97" i="292"/>
  <c r="L27" i="100"/>
  <c r="L28" s="1"/>
  <c r="L24"/>
  <c r="M8" i="292"/>
  <c r="G24" i="100"/>
  <c r="H8" i="292"/>
  <c r="G27" i="100"/>
  <c r="G28" s="1"/>
  <c r="J48" i="148"/>
  <c r="J50" s="1"/>
  <c r="N49" i="242"/>
  <c r="N52"/>
  <c r="N53" s="1"/>
  <c r="O97" i="292"/>
  <c r="I49" i="242"/>
  <c r="I52"/>
  <c r="I53" s="1"/>
  <c r="J97" i="292"/>
  <c r="K24" i="100"/>
  <c r="K27"/>
  <c r="K28" s="1"/>
  <c r="L8" i="292"/>
  <c r="J54" i="148" l="1"/>
  <c r="J58" s="1"/>
  <c r="J28" i="253"/>
  <c r="L47" i="148"/>
  <c r="L49" s="1"/>
  <c r="I57" i="242"/>
  <c r="I61" s="1"/>
  <c r="I93" i="253"/>
  <c r="O57" i="242"/>
  <c r="O61" s="1"/>
  <c r="O93" i="253"/>
  <c r="M32" i="100"/>
  <c r="M36" s="1"/>
  <c r="M7" i="253"/>
  <c r="E57" i="242"/>
  <c r="E61" s="1"/>
  <c r="E93" i="253"/>
  <c r="G57" i="242"/>
  <c r="G61" s="1"/>
  <c r="G93" i="253"/>
  <c r="K46" i="148"/>
  <c r="N57" i="242"/>
  <c r="N61" s="1"/>
  <c r="N93" i="253"/>
  <c r="G32" i="100"/>
  <c r="G36" s="1"/>
  <c r="G7" i="253"/>
  <c r="K32" i="100"/>
  <c r="K36" s="1"/>
  <c r="K7" i="253"/>
  <c r="M57" i="242"/>
  <c r="M61" s="1"/>
  <c r="M93" i="253"/>
  <c r="G6" i="171"/>
  <c r="G29" i="253"/>
  <c r="G152" s="1"/>
  <c r="N32" i="100"/>
  <c r="N36" s="1"/>
  <c r="N7" i="253"/>
  <c r="D57" i="242"/>
  <c r="D61" s="1"/>
  <c r="D93" i="253"/>
  <c r="J32" i="100"/>
  <c r="J36" s="1"/>
  <c r="J7" i="253"/>
  <c r="Q8" i="292"/>
  <c r="H174" s="1"/>
  <c r="I174" s="1"/>
  <c r="J174" s="1"/>
  <c r="J57" i="242"/>
  <c r="J61" s="1"/>
  <c r="J93" i="253"/>
  <c r="L32" i="100"/>
  <c r="L36" s="1"/>
  <c r="L7" i="253"/>
  <c r="H57" i="242"/>
  <c r="H61" s="1"/>
  <c r="H93" i="253"/>
  <c r="E32" i="100"/>
  <c r="E36" s="1"/>
  <c r="E7" i="253"/>
  <c r="K42" i="148"/>
  <c r="F64" i="242"/>
  <c r="I61" i="148"/>
  <c r="L49" i="242"/>
  <c r="L52"/>
  <c r="L53" s="1"/>
  <c r="M97" i="292"/>
  <c r="Q97" s="1"/>
  <c r="H205" s="1"/>
  <c r="I205" s="1"/>
  <c r="J205" s="1"/>
  <c r="F32" i="100"/>
  <c r="F36" s="1"/>
  <c r="F7" i="253"/>
  <c r="K57" i="242"/>
  <c r="K61" s="1"/>
  <c r="K93" i="253"/>
  <c r="H32" i="100"/>
  <c r="H36" s="1"/>
  <c r="H7" i="253"/>
  <c r="O32" i="100"/>
  <c r="O36" s="1"/>
  <c r="O7" i="253"/>
  <c r="H62" i="148"/>
  <c r="H63" s="1"/>
  <c r="H59"/>
  <c r="I30" i="292"/>
  <c r="I32" i="100"/>
  <c r="I36" s="1"/>
  <c r="I7" i="253"/>
  <c r="D32" i="100"/>
  <c r="D36" s="1"/>
  <c r="D7" i="253"/>
  <c r="M47" i="148" l="1"/>
  <c r="M49" s="1"/>
  <c r="O39" i="100"/>
  <c r="K64" i="242"/>
  <c r="L57"/>
  <c r="L61" s="1"/>
  <c r="L93" i="253"/>
  <c r="H6" i="171"/>
  <c r="H29" i="253"/>
  <c r="H152" s="1"/>
  <c r="H39" i="100"/>
  <c r="F39"/>
  <c r="F62" i="242"/>
  <c r="F65"/>
  <c r="F66" s="1"/>
  <c r="G98" i="292"/>
  <c r="G64" i="242"/>
  <c r="M39" i="100"/>
  <c r="I64" i="242"/>
  <c r="J61" i="148"/>
  <c r="D39" i="100"/>
  <c r="H64" i="242"/>
  <c r="D64"/>
  <c r="K39" i="100"/>
  <c r="N64" i="242"/>
  <c r="I150" i="292"/>
  <c r="E64" i="242"/>
  <c r="O64"/>
  <c r="I39" i="100"/>
  <c r="I59" i="148"/>
  <c r="J30" i="292"/>
  <c r="J150" s="1"/>
  <c r="I62" i="148"/>
  <c r="I63" s="1"/>
  <c r="E39" i="100"/>
  <c r="L39"/>
  <c r="J64" i="242"/>
  <c r="J39" i="100"/>
  <c r="N39"/>
  <c r="M64" i="242"/>
  <c r="G39" i="100"/>
  <c r="K48" i="148"/>
  <c r="K50" s="1"/>
  <c r="L42"/>
  <c r="K37" i="100" l="1"/>
  <c r="L9" i="292"/>
  <c r="K40" i="100"/>
  <c r="K41" s="1"/>
  <c r="J59" i="148"/>
  <c r="K30" i="292"/>
  <c r="K150" s="1"/>
  <c r="J62" i="148"/>
  <c r="J63" s="1"/>
  <c r="F37" i="100"/>
  <c r="F40"/>
  <c r="F41" s="1"/>
  <c r="G9" i="292"/>
  <c r="K62" i="242"/>
  <c r="K65"/>
  <c r="K66" s="1"/>
  <c r="L98" i="292"/>
  <c r="M42" i="148"/>
  <c r="J62" i="242"/>
  <c r="K98" i="292"/>
  <c r="J65" i="242"/>
  <c r="J66" s="1"/>
  <c r="K54" i="148"/>
  <c r="K58" s="1"/>
  <c r="K28" i="253"/>
  <c r="M62" i="242"/>
  <c r="M65"/>
  <c r="M66" s="1"/>
  <c r="N98" i="292"/>
  <c r="L40" i="100"/>
  <c r="L41" s="1"/>
  <c r="L37"/>
  <c r="M9" i="292"/>
  <c r="I6" i="171"/>
  <c r="I29" i="253"/>
  <c r="I152" s="1"/>
  <c r="I40" i="100"/>
  <c r="I41" s="1"/>
  <c r="I37"/>
  <c r="J9" i="292"/>
  <c r="D62" i="242"/>
  <c r="D65"/>
  <c r="D66" s="1"/>
  <c r="E98" i="292"/>
  <c r="G62" i="242"/>
  <c r="H98" i="292"/>
  <c r="G65" i="242"/>
  <c r="G66" s="1"/>
  <c r="N47" i="148"/>
  <c r="L46"/>
  <c r="J37" i="100"/>
  <c r="K9" i="292"/>
  <c r="J40" i="100"/>
  <c r="J41" s="1"/>
  <c r="N37"/>
  <c r="N40"/>
  <c r="N41" s="1"/>
  <c r="O9" i="292"/>
  <c r="E40" i="100"/>
  <c r="E41" s="1"/>
  <c r="E37"/>
  <c r="F9" i="292"/>
  <c r="E62" i="242"/>
  <c r="E65"/>
  <c r="E66" s="1"/>
  <c r="F98" i="292"/>
  <c r="N62" i="242"/>
  <c r="N65"/>
  <c r="N66" s="1"/>
  <c r="O98" i="292"/>
  <c r="D40" i="100"/>
  <c r="D41" s="1"/>
  <c r="D37"/>
  <c r="E9" i="292"/>
  <c r="I62" i="242"/>
  <c r="I65"/>
  <c r="I66" s="1"/>
  <c r="J98" i="292"/>
  <c r="L64" i="242"/>
  <c r="G37" i="100"/>
  <c r="G40"/>
  <c r="G41" s="1"/>
  <c r="H9" i="292"/>
  <c r="O62" i="242"/>
  <c r="P98" i="292"/>
  <c r="O65" i="242"/>
  <c r="O66" s="1"/>
  <c r="H62"/>
  <c r="H65"/>
  <c r="H66" s="1"/>
  <c r="I98" i="292"/>
  <c r="M40" i="100"/>
  <c r="M41" s="1"/>
  <c r="M37"/>
  <c r="N9" i="292"/>
  <c r="F70" i="242"/>
  <c r="F74" s="1"/>
  <c r="F94" i="253"/>
  <c r="H40" i="100"/>
  <c r="H41" s="1"/>
  <c r="H37"/>
  <c r="I9" i="292"/>
  <c r="O37" i="100"/>
  <c r="O40"/>
  <c r="O41" s="1"/>
  <c r="P9" i="292"/>
  <c r="O70" i="242" l="1"/>
  <c r="O74" s="1"/>
  <c r="O94" i="253"/>
  <c r="N45" i="100"/>
  <c r="N49" s="1"/>
  <c r="N8" i="253"/>
  <c r="G70" i="242"/>
  <c r="G74" s="1"/>
  <c r="G94" i="253"/>
  <c r="D70" i="242"/>
  <c r="D74" s="1"/>
  <c r="D94" i="253"/>
  <c r="I45" i="100"/>
  <c r="I49" s="1"/>
  <c r="I8" i="253"/>
  <c r="H45" i="100"/>
  <c r="H49" s="1"/>
  <c r="H8" i="253"/>
  <c r="L62" i="242"/>
  <c r="L65"/>
  <c r="L66" s="1"/>
  <c r="M98" i="292"/>
  <c r="Q98" s="1"/>
  <c r="H206" s="1"/>
  <c r="I206" s="1"/>
  <c r="J206" s="1"/>
  <c r="Q9"/>
  <c r="H175" s="1"/>
  <c r="I175" s="1"/>
  <c r="J175" s="1"/>
  <c r="N70" i="242"/>
  <c r="N74" s="1"/>
  <c r="N94" i="253"/>
  <c r="N42" i="148"/>
  <c r="M70" i="242"/>
  <c r="M74" s="1"/>
  <c r="M94" i="253"/>
  <c r="J70" i="242"/>
  <c r="J74" s="1"/>
  <c r="J94" i="253"/>
  <c r="J6" i="171"/>
  <c r="J29" i="253"/>
  <c r="J152" s="1"/>
  <c r="F77" i="242"/>
  <c r="M45" i="100"/>
  <c r="M49" s="1"/>
  <c r="M8" i="253"/>
  <c r="G45" i="100"/>
  <c r="G49" s="1"/>
  <c r="G8" i="253"/>
  <c r="O45" i="100"/>
  <c r="O49" s="1"/>
  <c r="O8" i="253"/>
  <c r="H70" i="242"/>
  <c r="H74" s="1"/>
  <c r="H94" i="253"/>
  <c r="E70" i="242"/>
  <c r="E74" s="1"/>
  <c r="E94" i="253"/>
  <c r="E45" i="100"/>
  <c r="E49" s="1"/>
  <c r="E8" i="253"/>
  <c r="J45" i="100"/>
  <c r="J49" s="1"/>
  <c r="J8" i="253"/>
  <c r="K61" i="148"/>
  <c r="K70" i="242"/>
  <c r="K74" s="1"/>
  <c r="K94" i="253"/>
  <c r="K45" i="100"/>
  <c r="K49" s="1"/>
  <c r="K8" i="253"/>
  <c r="N49" i="148"/>
  <c r="I70" i="242"/>
  <c r="I74" s="1"/>
  <c r="I94" i="253"/>
  <c r="D45" i="100"/>
  <c r="D49" s="1"/>
  <c r="D8" i="253"/>
  <c r="L48" i="148"/>
  <c r="L50" s="1"/>
  <c r="L45" i="100"/>
  <c r="L49" s="1"/>
  <c r="L8" i="253"/>
  <c r="F45" i="100"/>
  <c r="F49" s="1"/>
  <c r="F8" i="253"/>
  <c r="M46" i="148" l="1"/>
  <c r="F52" i="100"/>
  <c r="L54" i="148"/>
  <c r="L58" s="1"/>
  <c r="L28" i="253"/>
  <c r="I77" i="242"/>
  <c r="J77"/>
  <c r="N77"/>
  <c r="L70"/>
  <c r="L74" s="1"/>
  <c r="L94" i="253"/>
  <c r="I52" i="100"/>
  <c r="G77" i="242"/>
  <c r="O77"/>
  <c r="H52" i="100"/>
  <c r="K52"/>
  <c r="H77" i="242"/>
  <c r="G52" i="100"/>
  <c r="L52"/>
  <c r="D52"/>
  <c r="K62" i="148"/>
  <c r="K63" s="1"/>
  <c r="K59"/>
  <c r="L30" i="292"/>
  <c r="L150" s="1"/>
  <c r="F75" i="242"/>
  <c r="F78"/>
  <c r="F79" s="1"/>
  <c r="G99" i="292"/>
  <c r="M77" i="242"/>
  <c r="D77"/>
  <c r="N52" i="100"/>
  <c r="O47" i="148"/>
  <c r="O49" s="1"/>
  <c r="E52" i="100"/>
  <c r="K77" i="242"/>
  <c r="J52" i="100"/>
  <c r="E77" i="242"/>
  <c r="O52" i="100"/>
  <c r="M52"/>
  <c r="M48" i="148" l="1"/>
  <c r="M50" s="1"/>
  <c r="E53" i="100"/>
  <c r="E54" s="1"/>
  <c r="E50"/>
  <c r="F10" i="292"/>
  <c r="N50" i="100"/>
  <c r="N53"/>
  <c r="N54" s="1"/>
  <c r="O10" i="292"/>
  <c r="M53" i="100"/>
  <c r="M54" s="1"/>
  <c r="M50"/>
  <c r="N10" i="292"/>
  <c r="K75" i="242"/>
  <c r="L99" i="292"/>
  <c r="K78" i="242"/>
  <c r="K79" s="1"/>
  <c r="D75"/>
  <c r="D78"/>
  <c r="D79" s="1"/>
  <c r="E99" i="292"/>
  <c r="F83" i="242"/>
  <c r="F87" s="1"/>
  <c r="F95" i="253"/>
  <c r="K6" i="171"/>
  <c r="K29" i="253"/>
  <c r="K152" s="1"/>
  <c r="H75" i="242"/>
  <c r="H78"/>
  <c r="H79" s="1"/>
  <c r="I99" i="292"/>
  <c r="G75" i="242"/>
  <c r="G78"/>
  <c r="G79" s="1"/>
  <c r="H99" i="292"/>
  <c r="L77" i="242"/>
  <c r="L61" i="148"/>
  <c r="M54"/>
  <c r="M58" s="1"/>
  <c r="M28" i="253"/>
  <c r="E75" i="242"/>
  <c r="E78"/>
  <c r="E79" s="1"/>
  <c r="F99" i="292"/>
  <c r="O42" i="148"/>
  <c r="L53" i="100"/>
  <c r="L54" s="1"/>
  <c r="L50"/>
  <c r="M10" i="292"/>
  <c r="H53" i="100"/>
  <c r="H54" s="1"/>
  <c r="H50"/>
  <c r="I10" i="292"/>
  <c r="J75" i="242"/>
  <c r="K99" i="292"/>
  <c r="J78" i="242"/>
  <c r="J79" s="1"/>
  <c r="O75"/>
  <c r="O78"/>
  <c r="O79" s="1"/>
  <c r="P99" i="292"/>
  <c r="I53" i="100"/>
  <c r="I54" s="1"/>
  <c r="I50"/>
  <c r="J10" i="292"/>
  <c r="F50" i="100"/>
  <c r="F53"/>
  <c r="F54" s="1"/>
  <c r="G10" i="292"/>
  <c r="J50" i="100"/>
  <c r="K10" i="292"/>
  <c r="J53" i="100"/>
  <c r="J54" s="1"/>
  <c r="O50"/>
  <c r="P10" i="292"/>
  <c r="O53" i="100"/>
  <c r="O54" s="1"/>
  <c r="M75" i="242"/>
  <c r="M78"/>
  <c r="M79" s="1"/>
  <c r="N99" i="292"/>
  <c r="D53" i="100"/>
  <c r="D54" s="1"/>
  <c r="D50"/>
  <c r="E10" i="292"/>
  <c r="G50" i="100"/>
  <c r="G53"/>
  <c r="G54" s="1"/>
  <c r="H10" i="292"/>
  <c r="K50" i="100"/>
  <c r="L10" i="292"/>
  <c r="K53" i="100"/>
  <c r="K54" s="1"/>
  <c r="N75" i="242"/>
  <c r="N78"/>
  <c r="N79" s="1"/>
  <c r="O99" i="292"/>
  <c r="I75" i="242"/>
  <c r="I78"/>
  <c r="I79" s="1"/>
  <c r="J99" i="292"/>
  <c r="N46" i="148" l="1"/>
  <c r="N48" s="1"/>
  <c r="N50" s="1"/>
  <c r="O83" i="242"/>
  <c r="O87" s="1"/>
  <c r="O95" i="253"/>
  <c r="J83" i="242"/>
  <c r="J87" s="1"/>
  <c r="J95" i="253"/>
  <c r="L58" i="100"/>
  <c r="L62" s="1"/>
  <c r="L9" i="253"/>
  <c r="E83" i="242"/>
  <c r="E87" s="1"/>
  <c r="E95" i="253"/>
  <c r="H83" i="242"/>
  <c r="H87" s="1"/>
  <c r="H95" i="253"/>
  <c r="N58" i="100"/>
  <c r="N62" s="1"/>
  <c r="N9" i="253"/>
  <c r="E58" i="100"/>
  <c r="E62" s="1"/>
  <c r="E9" i="253"/>
  <c r="K58" i="100"/>
  <c r="K62" s="1"/>
  <c r="K9" i="253"/>
  <c r="G58" i="100"/>
  <c r="G62" s="1"/>
  <c r="G9" i="253"/>
  <c r="D58" i="100"/>
  <c r="D62" s="1"/>
  <c r="D9" i="253"/>
  <c r="O58" i="100"/>
  <c r="O62" s="1"/>
  <c r="O9" i="253"/>
  <c r="M61" i="148"/>
  <c r="L75" i="242"/>
  <c r="L78"/>
  <c r="L79" s="1"/>
  <c r="M99" i="292"/>
  <c r="Q99" s="1"/>
  <c r="H207" s="1"/>
  <c r="I207" s="1"/>
  <c r="J207" s="1"/>
  <c r="D83" i="242"/>
  <c r="D87" s="1"/>
  <c r="D95" i="253"/>
  <c r="I83" i="242"/>
  <c r="I87" s="1"/>
  <c r="I95" i="253"/>
  <c r="J58" i="100"/>
  <c r="J62" s="1"/>
  <c r="J9" i="253"/>
  <c r="F58" i="100"/>
  <c r="F62" s="1"/>
  <c r="F9" i="253"/>
  <c r="I58" i="100"/>
  <c r="I62" s="1"/>
  <c r="I9" i="253"/>
  <c r="N54" i="148"/>
  <c r="N58" s="1"/>
  <c r="N28" i="253"/>
  <c r="M58" i="100"/>
  <c r="M62" s="1"/>
  <c r="M9" i="253"/>
  <c r="N83" i="242"/>
  <c r="N87" s="1"/>
  <c r="N95" i="253"/>
  <c r="Q10" i="292"/>
  <c r="H176" s="1"/>
  <c r="I176" s="1"/>
  <c r="J176" s="1"/>
  <c r="M83" i="242"/>
  <c r="M87" s="1"/>
  <c r="M95" i="253"/>
  <c r="H58" i="100"/>
  <c r="H62" s="1"/>
  <c r="H9" i="253"/>
  <c r="L62" i="148"/>
  <c r="L63" s="1"/>
  <c r="L59"/>
  <c r="M30" i="292"/>
  <c r="M150" s="1"/>
  <c r="R150" s="1"/>
  <c r="G83" i="242"/>
  <c r="G87" s="1"/>
  <c r="G95" i="253"/>
  <c r="F90" i="242"/>
  <c r="K83"/>
  <c r="K87" s="1"/>
  <c r="K95" i="253"/>
  <c r="O46" i="148" l="1"/>
  <c r="O48" s="1"/>
  <c r="O50" s="1"/>
  <c r="L6" i="171"/>
  <c r="L29" i="253"/>
  <c r="L152" s="1"/>
  <c r="M90" i="242"/>
  <c r="N90"/>
  <c r="F88"/>
  <c r="G100" i="292"/>
  <c r="F91" i="242"/>
  <c r="F92" s="1"/>
  <c r="M65" i="100"/>
  <c r="I65"/>
  <c r="J65"/>
  <c r="O65"/>
  <c r="G65"/>
  <c r="E65"/>
  <c r="H90" i="242"/>
  <c r="L65" i="100"/>
  <c r="O90" i="242"/>
  <c r="H65" i="100"/>
  <c r="O54" i="148"/>
  <c r="O58" s="1"/>
  <c r="O28" i="253"/>
  <c r="L83" i="242"/>
  <c r="L87" s="1"/>
  <c r="L95" i="253"/>
  <c r="K90" i="242"/>
  <c r="G90"/>
  <c r="N61" i="148"/>
  <c r="F65" i="100"/>
  <c r="I90" i="242"/>
  <c r="M59" i="148"/>
  <c r="M62"/>
  <c r="M63" s="1"/>
  <c r="N30" i="292"/>
  <c r="N150" s="1"/>
  <c r="D65" i="100"/>
  <c r="K65"/>
  <c r="N65"/>
  <c r="E90" i="242"/>
  <c r="J90"/>
  <c r="D90"/>
  <c r="D91" l="1"/>
  <c r="D92" s="1"/>
  <c r="D88"/>
  <c r="E100" i="292"/>
  <c r="J88" i="242"/>
  <c r="J91"/>
  <c r="J92" s="1"/>
  <c r="K100" i="292"/>
  <c r="E91" i="242"/>
  <c r="E92" s="1"/>
  <c r="E88"/>
  <c r="F100" i="292"/>
  <c r="M6" i="171"/>
  <c r="M29" i="253"/>
  <c r="M152" s="1"/>
  <c r="G88" i="242"/>
  <c r="G91"/>
  <c r="G92" s="1"/>
  <c r="H100" i="292"/>
  <c r="H66" i="100"/>
  <c r="H67" s="1"/>
  <c r="H63"/>
  <c r="I11" i="292"/>
  <c r="L66" i="100"/>
  <c r="L67" s="1"/>
  <c r="L63"/>
  <c r="M11" i="292"/>
  <c r="O63" i="100"/>
  <c r="O66"/>
  <c r="O67" s="1"/>
  <c r="P11" i="292"/>
  <c r="F96" i="242"/>
  <c r="F100" s="1"/>
  <c r="F96" i="253"/>
  <c r="N88" i="242"/>
  <c r="N91"/>
  <c r="N92" s="1"/>
  <c r="O100" i="292"/>
  <c r="I91" i="242"/>
  <c r="I92" s="1"/>
  <c r="I88"/>
  <c r="J100" i="292"/>
  <c r="O61" i="148"/>
  <c r="J63" i="100"/>
  <c r="J66"/>
  <c r="J67" s="1"/>
  <c r="K11" i="292"/>
  <c r="M66" i="100"/>
  <c r="M67" s="1"/>
  <c r="M63"/>
  <c r="N11" i="292"/>
  <c r="N59" i="148"/>
  <c r="N62"/>
  <c r="N63" s="1"/>
  <c r="O30" i="292"/>
  <c r="O150" s="1"/>
  <c r="K88" i="242"/>
  <c r="K91"/>
  <c r="K92" s="1"/>
  <c r="L100" i="292"/>
  <c r="O88" i="242"/>
  <c r="O91"/>
  <c r="O92" s="1"/>
  <c r="P100" i="292"/>
  <c r="H91" i="242"/>
  <c r="H92" s="1"/>
  <c r="H88"/>
  <c r="I100" i="292"/>
  <c r="G63" i="100"/>
  <c r="G66"/>
  <c r="G67" s="1"/>
  <c r="H11" i="292"/>
  <c r="M91" i="242"/>
  <c r="M92" s="1"/>
  <c r="M88"/>
  <c r="N100" i="292"/>
  <c r="K63" i="100"/>
  <c r="L11" i="292"/>
  <c r="K66" i="100"/>
  <c r="K67" s="1"/>
  <c r="N63"/>
  <c r="N66"/>
  <c r="N67" s="1"/>
  <c r="O11" i="292"/>
  <c r="D66" i="100"/>
  <c r="D67" s="1"/>
  <c r="D63"/>
  <c r="E11" i="292"/>
  <c r="F63" i="100"/>
  <c r="F66"/>
  <c r="F67" s="1"/>
  <c r="G11" i="292"/>
  <c r="L90" i="242"/>
  <c r="E66" i="100"/>
  <c r="E67" s="1"/>
  <c r="E63"/>
  <c r="F11" i="292"/>
  <c r="I66" i="100"/>
  <c r="I67" s="1"/>
  <c r="I63"/>
  <c r="J11" i="292"/>
  <c r="G71" i="100" l="1"/>
  <c r="G75" s="1"/>
  <c r="G10" i="253"/>
  <c r="H96" i="242"/>
  <c r="H100" s="1"/>
  <c r="H96" i="253"/>
  <c r="N6" i="171"/>
  <c r="N29" i="253"/>
  <c r="N152" s="1"/>
  <c r="M71" i="100"/>
  <c r="M75" s="1"/>
  <c r="M10" i="253"/>
  <c r="O62" i="148"/>
  <c r="O63" s="1"/>
  <c r="O59"/>
  <c r="P30" i="292"/>
  <c r="I96" i="242"/>
  <c r="I100" s="1"/>
  <c r="I96" i="253"/>
  <c r="G96" i="242"/>
  <c r="G100" s="1"/>
  <c r="G96" i="253"/>
  <c r="J96" i="242"/>
  <c r="J100" s="1"/>
  <c r="J96" i="253"/>
  <c r="D96" i="242"/>
  <c r="D100" s="1"/>
  <c r="D96" i="253"/>
  <c r="Q11" i="292"/>
  <c r="H177" s="1"/>
  <c r="I177" s="1"/>
  <c r="J177" s="1"/>
  <c r="N71" i="100"/>
  <c r="N75" s="1"/>
  <c r="N10" i="253"/>
  <c r="O71" i="100"/>
  <c r="O75" s="1"/>
  <c r="O10" i="253"/>
  <c r="L71" i="100"/>
  <c r="L75" s="1"/>
  <c r="L10" i="253"/>
  <c r="L91" i="242"/>
  <c r="L92" s="1"/>
  <c r="L88"/>
  <c r="M100" i="292"/>
  <c r="Q100" s="1"/>
  <c r="H208" s="1"/>
  <c r="I208" s="1"/>
  <c r="J208" s="1"/>
  <c r="M96" i="242"/>
  <c r="M100" s="1"/>
  <c r="M96" i="253"/>
  <c r="O96" i="242"/>
  <c r="O100" s="1"/>
  <c r="O96" i="253"/>
  <c r="J71" i="100"/>
  <c r="J75" s="1"/>
  <c r="J10" i="253"/>
  <c r="N96" i="242"/>
  <c r="N100" s="1"/>
  <c r="N96" i="253"/>
  <c r="H71" i="100"/>
  <c r="H75" s="1"/>
  <c r="H10" i="253"/>
  <c r="E96" i="242"/>
  <c r="E100" s="1"/>
  <c r="E96" i="253"/>
  <c r="I71" i="100"/>
  <c r="I75" s="1"/>
  <c r="I10" i="253"/>
  <c r="E71" i="100"/>
  <c r="E75" s="1"/>
  <c r="E10" i="253"/>
  <c r="F71" i="100"/>
  <c r="F75" s="1"/>
  <c r="F10" i="253"/>
  <c r="D71" i="100"/>
  <c r="D75" s="1"/>
  <c r="D10" i="253"/>
  <c r="K71" i="100"/>
  <c r="K75" s="1"/>
  <c r="K10" i="253"/>
  <c r="K96" i="242"/>
  <c r="K100" s="1"/>
  <c r="K96" i="253"/>
  <c r="F103" i="242"/>
  <c r="E103" l="1"/>
  <c r="N103"/>
  <c r="O103"/>
  <c r="O6" i="171"/>
  <c r="O29" i="253"/>
  <c r="O152" s="1"/>
  <c r="G78" i="100"/>
  <c r="K103" i="242"/>
  <c r="L78" i="100"/>
  <c r="N78"/>
  <c r="D103" i="242"/>
  <c r="G103"/>
  <c r="H78" i="100"/>
  <c r="J78"/>
  <c r="M103" i="242"/>
  <c r="P150" i="292"/>
  <c r="Q150" s="1"/>
  <c r="Q30"/>
  <c r="H188" s="1"/>
  <c r="I188" s="1"/>
  <c r="J188" s="1"/>
  <c r="M78" i="100"/>
  <c r="H103" i="242"/>
  <c r="D78" i="100"/>
  <c r="E78"/>
  <c r="F101" i="242"/>
  <c r="G101" i="292"/>
  <c r="F104" i="242"/>
  <c r="F105" s="1"/>
  <c r="K78" i="100"/>
  <c r="F78"/>
  <c r="I78"/>
  <c r="L96" i="242"/>
  <c r="L100" s="1"/>
  <c r="L96" i="253"/>
  <c r="O78" i="100"/>
  <c r="J103" i="242"/>
  <c r="I103"/>
  <c r="I104" l="1"/>
  <c r="I105" s="1"/>
  <c r="I101"/>
  <c r="J101" i="292"/>
  <c r="O76" i="100"/>
  <c r="O79"/>
  <c r="O80" s="1"/>
  <c r="P12" i="292"/>
  <c r="K76" i="100"/>
  <c r="K79"/>
  <c r="K80" s="1"/>
  <c r="L12" i="292"/>
  <c r="M79" i="100"/>
  <c r="M80" s="1"/>
  <c r="M76"/>
  <c r="N12" i="292"/>
  <c r="M104" i="242"/>
  <c r="M105" s="1"/>
  <c r="M101"/>
  <c r="N101" i="292"/>
  <c r="E104" i="242"/>
  <c r="E105" s="1"/>
  <c r="E101"/>
  <c r="F101" i="292"/>
  <c r="D79" i="100"/>
  <c r="D80" s="1"/>
  <c r="D76"/>
  <c r="E12" i="292"/>
  <c r="H79" i="100"/>
  <c r="H80" s="1"/>
  <c r="H76"/>
  <c r="I12" i="292"/>
  <c r="D104" i="242"/>
  <c r="D105" s="1"/>
  <c r="D101"/>
  <c r="E101" i="292"/>
  <c r="L79" i="100"/>
  <c r="L80" s="1"/>
  <c r="L76"/>
  <c r="M12" i="292"/>
  <c r="G76" i="100"/>
  <c r="H12" i="292"/>
  <c r="G79" i="100"/>
  <c r="G80" s="1"/>
  <c r="O101" i="242"/>
  <c r="P101" i="292"/>
  <c r="O104" i="242"/>
  <c r="O105" s="1"/>
  <c r="J101"/>
  <c r="K101" i="292"/>
  <c r="J104" i="242"/>
  <c r="J105" s="1"/>
  <c r="L103"/>
  <c r="E79" i="100"/>
  <c r="E80" s="1"/>
  <c r="E76"/>
  <c r="F12" i="292"/>
  <c r="J76" i="100"/>
  <c r="J79"/>
  <c r="J80" s="1"/>
  <c r="K12" i="292"/>
  <c r="N76" i="100"/>
  <c r="N79"/>
  <c r="N80" s="1"/>
  <c r="O12" i="292"/>
  <c r="N101" i="242"/>
  <c r="N104"/>
  <c r="N105" s="1"/>
  <c r="O101" i="292"/>
  <c r="F76" i="100"/>
  <c r="F79"/>
  <c r="F80" s="1"/>
  <c r="G12" i="292"/>
  <c r="F109" i="242"/>
  <c r="F113" s="1"/>
  <c r="F97" i="253"/>
  <c r="I79" i="100"/>
  <c r="I80" s="1"/>
  <c r="I76"/>
  <c r="J12" i="292"/>
  <c r="H104" i="242"/>
  <c r="H105" s="1"/>
  <c r="H101"/>
  <c r="I101" i="292"/>
  <c r="G101" i="242"/>
  <c r="G104"/>
  <c r="G105" s="1"/>
  <c r="H101" i="292"/>
  <c r="K101" i="242"/>
  <c r="K104"/>
  <c r="K105" s="1"/>
  <c r="L101" i="292"/>
  <c r="G109" i="242" l="1"/>
  <c r="G113" s="1"/>
  <c r="G97" i="253"/>
  <c r="H109" i="242"/>
  <c r="H113" s="1"/>
  <c r="H97" i="253"/>
  <c r="I84" i="100"/>
  <c r="I88" s="1"/>
  <c r="I11" i="253"/>
  <c r="K109" i="242"/>
  <c r="K113" s="1"/>
  <c r="K97" i="253"/>
  <c r="F116" i="242"/>
  <c r="N84" i="100"/>
  <c r="N88" s="1"/>
  <c r="N11" i="253"/>
  <c r="L104" i="242"/>
  <c r="L105" s="1"/>
  <c r="L101"/>
  <c r="M101" i="292"/>
  <c r="Q101" s="1"/>
  <c r="H209" s="1"/>
  <c r="I209" s="1"/>
  <c r="J209" s="1"/>
  <c r="G84" i="100"/>
  <c r="G88" s="1"/>
  <c r="G11" i="253"/>
  <c r="D109" i="242"/>
  <c r="D113" s="1"/>
  <c r="D97" i="253"/>
  <c r="M109" i="242"/>
  <c r="M113" s="1"/>
  <c r="M97" i="253"/>
  <c r="O84" i="100"/>
  <c r="O88" s="1"/>
  <c r="O11" i="253"/>
  <c r="I109" i="242"/>
  <c r="I113" s="1"/>
  <c r="I97" i="253"/>
  <c r="Q12" i="292"/>
  <c r="H178" s="1"/>
  <c r="I178" s="1"/>
  <c r="J178" s="1"/>
  <c r="J84" i="100"/>
  <c r="J88" s="1"/>
  <c r="J11" i="253"/>
  <c r="E84" i="100"/>
  <c r="E88" s="1"/>
  <c r="E11" i="253"/>
  <c r="H84" i="100"/>
  <c r="H88" s="1"/>
  <c r="H11" i="253"/>
  <c r="M84" i="100"/>
  <c r="M88" s="1"/>
  <c r="M11" i="253"/>
  <c r="F84" i="100"/>
  <c r="F88" s="1"/>
  <c r="F11" i="253"/>
  <c r="J109" i="242"/>
  <c r="J113" s="1"/>
  <c r="J97" i="253"/>
  <c r="D84" i="100"/>
  <c r="D88" s="1"/>
  <c r="D11" i="253"/>
  <c r="N109" i="242"/>
  <c r="N113" s="1"/>
  <c r="N97" i="253"/>
  <c r="O109" i="242"/>
  <c r="O113" s="1"/>
  <c r="O97" i="253"/>
  <c r="L84" i="100"/>
  <c r="L88" s="1"/>
  <c r="L11" i="253"/>
  <c r="E109" i="242"/>
  <c r="E113" s="1"/>
  <c r="E97" i="253"/>
  <c r="K84" i="100"/>
  <c r="K88" s="1"/>
  <c r="K11" i="253"/>
  <c r="J116" i="242" l="1"/>
  <c r="M91" i="100"/>
  <c r="E91"/>
  <c r="L109" i="242"/>
  <c r="L113" s="1"/>
  <c r="L97" i="253"/>
  <c r="F114" i="242"/>
  <c r="F117"/>
  <c r="F118" s="1"/>
  <c r="G102" i="292"/>
  <c r="I91" i="100"/>
  <c r="G116" i="242"/>
  <c r="E116"/>
  <c r="O116"/>
  <c r="K91" i="100"/>
  <c r="L91"/>
  <c r="N116" i="242"/>
  <c r="O91" i="100"/>
  <c r="D116" i="242"/>
  <c r="D91" i="100"/>
  <c r="F91"/>
  <c r="H91"/>
  <c r="J91"/>
  <c r="N91"/>
  <c r="K116" i="242"/>
  <c r="H116"/>
  <c r="I116"/>
  <c r="M116"/>
  <c r="G91" i="100"/>
  <c r="H117" i="242" l="1"/>
  <c r="H118" s="1"/>
  <c r="H114"/>
  <c r="I102" i="292"/>
  <c r="D92" i="100"/>
  <c r="D93" s="1"/>
  <c r="D89"/>
  <c r="E13" i="292"/>
  <c r="L92" i="100"/>
  <c r="L93" s="1"/>
  <c r="L89"/>
  <c r="M13" i="292"/>
  <c r="N114" i="242"/>
  <c r="O102" i="292"/>
  <c r="N117" i="242"/>
  <c r="N118" s="1"/>
  <c r="G89" i="100"/>
  <c r="G92"/>
  <c r="G93" s="1"/>
  <c r="H13" i="292"/>
  <c r="D117" i="242"/>
  <c r="D118" s="1"/>
  <c r="D114"/>
  <c r="E102" i="292"/>
  <c r="K89" i="100"/>
  <c r="L13" i="292"/>
  <c r="K92" i="100"/>
  <c r="K93" s="1"/>
  <c r="E92"/>
  <c r="E93" s="1"/>
  <c r="E89"/>
  <c r="F13" i="292"/>
  <c r="J114" i="242"/>
  <c r="K102" i="292"/>
  <c r="J117" i="242"/>
  <c r="J118" s="1"/>
  <c r="O114"/>
  <c r="O117"/>
  <c r="O118" s="1"/>
  <c r="P102" i="292"/>
  <c r="J89" i="100"/>
  <c r="K13" i="292"/>
  <c r="J92" i="100"/>
  <c r="J93" s="1"/>
  <c r="E117" i="242"/>
  <c r="E118" s="1"/>
  <c r="E114"/>
  <c r="F102" i="292"/>
  <c r="K114" i="242"/>
  <c r="K117"/>
  <c r="K118" s="1"/>
  <c r="L102" i="292"/>
  <c r="M117" i="242"/>
  <c r="M118" s="1"/>
  <c r="M114"/>
  <c r="N102" i="292"/>
  <c r="N89" i="100"/>
  <c r="N92"/>
  <c r="N93" s="1"/>
  <c r="O13" i="292"/>
  <c r="F122" i="242"/>
  <c r="F126" s="1"/>
  <c r="F98" i="253"/>
  <c r="H92" i="100"/>
  <c r="H93" s="1"/>
  <c r="H89"/>
  <c r="I13" i="292"/>
  <c r="O89" i="100"/>
  <c r="O92"/>
  <c r="O93" s="1"/>
  <c r="P13" i="292"/>
  <c r="G114" i="242"/>
  <c r="H102" i="292"/>
  <c r="G117" i="242"/>
  <c r="G118" s="1"/>
  <c r="L116"/>
  <c r="M92" i="100"/>
  <c r="M93" s="1"/>
  <c r="M89"/>
  <c r="N13" i="292"/>
  <c r="I117" i="242"/>
  <c r="I118" s="1"/>
  <c r="I114"/>
  <c r="J102" i="292"/>
  <c r="F89" i="100"/>
  <c r="F92"/>
  <c r="F93" s="1"/>
  <c r="G13" i="292"/>
  <c r="I92" i="100"/>
  <c r="I93" s="1"/>
  <c r="I89"/>
  <c r="J13" i="292"/>
  <c r="I97" i="100" l="1"/>
  <c r="I101" s="1"/>
  <c r="I12" i="253"/>
  <c r="J97" i="100"/>
  <c r="J101" s="1"/>
  <c r="J12" i="253"/>
  <c r="O122" i="242"/>
  <c r="O126" s="1"/>
  <c r="O98" i="253"/>
  <c r="K97" i="100"/>
  <c r="K101" s="1"/>
  <c r="K12" i="253"/>
  <c r="H122" i="242"/>
  <c r="H126" s="1"/>
  <c r="H98" i="253"/>
  <c r="L117" i="242"/>
  <c r="L118" s="1"/>
  <c r="L114"/>
  <c r="M102" i="292"/>
  <c r="Q102" s="1"/>
  <c r="H210" s="1"/>
  <c r="I210" s="1"/>
  <c r="J210" s="1"/>
  <c r="F129" i="242"/>
  <c r="K122"/>
  <c r="K126" s="1"/>
  <c r="K98" i="253"/>
  <c r="E122" i="242"/>
  <c r="E126" s="1"/>
  <c r="E98" i="253"/>
  <c r="E97" i="100"/>
  <c r="E101" s="1"/>
  <c r="E12" i="253"/>
  <c r="G97" i="100"/>
  <c r="G101" s="1"/>
  <c r="G12" i="253"/>
  <c r="Q13" i="292"/>
  <c r="H179" s="1"/>
  <c r="I179" s="1"/>
  <c r="J179" s="1"/>
  <c r="M97" i="100"/>
  <c r="M101" s="1"/>
  <c r="M12" i="253"/>
  <c r="J122" i="242"/>
  <c r="J126" s="1"/>
  <c r="J98" i="253"/>
  <c r="L97" i="100"/>
  <c r="L101" s="1"/>
  <c r="L12" i="253"/>
  <c r="F97" i="100"/>
  <c r="F101" s="1"/>
  <c r="F12" i="253"/>
  <c r="I122" i="242"/>
  <c r="I126" s="1"/>
  <c r="I98" i="253"/>
  <c r="G122" i="242"/>
  <c r="G126" s="1"/>
  <c r="G98" i="253"/>
  <c r="O97" i="100"/>
  <c r="O101" s="1"/>
  <c r="O12" i="253"/>
  <c r="H97" i="100"/>
  <c r="H101" s="1"/>
  <c r="H12" i="253"/>
  <c r="N97" i="100"/>
  <c r="N101" s="1"/>
  <c r="N12" i="253"/>
  <c r="M122" i="242"/>
  <c r="M126" s="1"/>
  <c r="M98" i="253"/>
  <c r="D122" i="242"/>
  <c r="D126" s="1"/>
  <c r="D98" i="253"/>
  <c r="N122" i="242"/>
  <c r="N126" s="1"/>
  <c r="N98" i="253"/>
  <c r="D97" i="100"/>
  <c r="D101" s="1"/>
  <c r="D12" i="253"/>
  <c r="H129" i="242" l="1"/>
  <c r="O129"/>
  <c r="I104" i="100"/>
  <c r="D104"/>
  <c r="D129" i="242"/>
  <c r="N104" i="100"/>
  <c r="O104"/>
  <c r="I129" i="242"/>
  <c r="L104" i="100"/>
  <c r="M104"/>
  <c r="G104"/>
  <c r="E129" i="242"/>
  <c r="F127"/>
  <c r="F130"/>
  <c r="F131" s="1"/>
  <c r="G103" i="292"/>
  <c r="L122" i="242"/>
  <c r="L126" s="1"/>
  <c r="L98" i="253"/>
  <c r="K104" i="100"/>
  <c r="J104"/>
  <c r="N129" i="242"/>
  <c r="M129"/>
  <c r="H104" i="100"/>
  <c r="G129" i="242"/>
  <c r="F104" i="100"/>
  <c r="J129" i="242"/>
  <c r="E104" i="100"/>
  <c r="K129" i="242"/>
  <c r="G127" l="1"/>
  <c r="G130"/>
  <c r="G131" s="1"/>
  <c r="H103" i="292"/>
  <c r="I105" i="100"/>
  <c r="I106" s="1"/>
  <c r="I102"/>
  <c r="J14" i="292"/>
  <c r="K127" i="242"/>
  <c r="K130"/>
  <c r="K131" s="1"/>
  <c r="L103" i="292"/>
  <c r="E105" i="100"/>
  <c r="E106" s="1"/>
  <c r="E102"/>
  <c r="F14" i="292"/>
  <c r="F102" i="100"/>
  <c r="F105"/>
  <c r="F106" s="1"/>
  <c r="G14" i="292"/>
  <c r="N127" i="242"/>
  <c r="N130"/>
  <c r="N131" s="1"/>
  <c r="O103" i="292"/>
  <c r="F32" i="243"/>
  <c r="F99" i="253"/>
  <c r="F160" s="1"/>
  <c r="G102" i="100"/>
  <c r="G105"/>
  <c r="G106" s="1"/>
  <c r="H14" i="292"/>
  <c r="L105" i="100"/>
  <c r="L106" s="1"/>
  <c r="L102"/>
  <c r="M14" i="292"/>
  <c r="O102" i="100"/>
  <c r="P14" i="292"/>
  <c r="O105" i="100"/>
  <c r="O106" s="1"/>
  <c r="D130" i="242"/>
  <c r="D131" s="1"/>
  <c r="D127"/>
  <c r="E103" i="292"/>
  <c r="H130" i="242"/>
  <c r="H131" s="1"/>
  <c r="H127"/>
  <c r="I103" i="292"/>
  <c r="E130" i="242"/>
  <c r="E131" s="1"/>
  <c r="E127"/>
  <c r="F103" i="292"/>
  <c r="M105" i="100"/>
  <c r="M106" s="1"/>
  <c r="M102"/>
  <c r="N14" i="292"/>
  <c r="I130" i="242"/>
  <c r="I131" s="1"/>
  <c r="I127"/>
  <c r="J103" i="292"/>
  <c r="N102" i="100"/>
  <c r="N105"/>
  <c r="N106" s="1"/>
  <c r="O14" i="292"/>
  <c r="H105" i="100"/>
  <c r="H106" s="1"/>
  <c r="H102"/>
  <c r="I14" i="292"/>
  <c r="K102" i="100"/>
  <c r="L14" i="292"/>
  <c r="K105" i="100"/>
  <c r="K106" s="1"/>
  <c r="J127" i="242"/>
  <c r="J130"/>
  <c r="J131" s="1"/>
  <c r="K103" i="292"/>
  <c r="M130" i="242"/>
  <c r="M131" s="1"/>
  <c r="M127"/>
  <c r="N103" i="292"/>
  <c r="J102" i="100"/>
  <c r="K14" i="292"/>
  <c r="J105" i="100"/>
  <c r="J106" s="1"/>
  <c r="L129" i="242"/>
  <c r="D105" i="100"/>
  <c r="D106" s="1"/>
  <c r="D102"/>
  <c r="E14" i="292"/>
  <c r="O127" i="242"/>
  <c r="O130"/>
  <c r="O131" s="1"/>
  <c r="P103" i="292"/>
  <c r="Q14" l="1"/>
  <c r="H180" s="1"/>
  <c r="I180" s="1"/>
  <c r="J180" s="1"/>
  <c r="L130" i="242"/>
  <c r="L131" s="1"/>
  <c r="L127"/>
  <c r="M103" i="292"/>
  <c r="Q103" s="1"/>
  <c r="H211" s="1"/>
  <c r="I211" s="1"/>
  <c r="J211" s="1"/>
  <c r="E32" i="243"/>
  <c r="E99" i="253"/>
  <c r="E160" s="1"/>
  <c r="O32" i="243"/>
  <c r="O99" i="253"/>
  <c r="O160" s="1"/>
  <c r="D110" i="100"/>
  <c r="D114" s="1"/>
  <c r="D13" i="253"/>
  <c r="M32" i="243"/>
  <c r="M99" i="253"/>
  <c r="M160" s="1"/>
  <c r="K110" i="100"/>
  <c r="K114" s="1"/>
  <c r="K13" i="253"/>
  <c r="H32" i="243"/>
  <c r="H99" i="253"/>
  <c r="H160" s="1"/>
  <c r="O110" i="100"/>
  <c r="O114" s="1"/>
  <c r="O13" i="253"/>
  <c r="N32" i="243"/>
  <c r="N99" i="253"/>
  <c r="N160" s="1"/>
  <c r="J110" i="100"/>
  <c r="J114" s="1"/>
  <c r="J13" i="253"/>
  <c r="N110" i="100"/>
  <c r="N114" s="1"/>
  <c r="N13" i="253"/>
  <c r="I32" i="243"/>
  <c r="I99" i="253"/>
  <c r="I160" s="1"/>
  <c r="D32" i="243"/>
  <c r="D99" i="253"/>
  <c r="D160" s="1"/>
  <c r="G110" i="100"/>
  <c r="G114" s="1"/>
  <c r="G13" i="253"/>
  <c r="F110" i="100"/>
  <c r="F114" s="1"/>
  <c r="F13" i="253"/>
  <c r="E110" i="100"/>
  <c r="E114" s="1"/>
  <c r="E13" i="253"/>
  <c r="G32" i="243"/>
  <c r="G99" i="253"/>
  <c r="G160" s="1"/>
  <c r="J32" i="243"/>
  <c r="J99" i="253"/>
  <c r="J160" s="1"/>
  <c r="M110" i="100"/>
  <c r="M114" s="1"/>
  <c r="M13" i="253"/>
  <c r="H110" i="100"/>
  <c r="H114" s="1"/>
  <c r="H13" i="253"/>
  <c r="L110" i="100"/>
  <c r="L114" s="1"/>
  <c r="L13" i="253"/>
  <c r="K32" i="243"/>
  <c r="K99" i="253"/>
  <c r="K160" s="1"/>
  <c r="I110" i="100"/>
  <c r="I114" s="1"/>
  <c r="I13" i="253"/>
  <c r="L32" i="243" l="1"/>
  <c r="L99" i="253"/>
  <c r="L160" s="1"/>
  <c r="I117" i="100"/>
  <c r="L117"/>
  <c r="M117"/>
  <c r="F117"/>
  <c r="N117"/>
  <c r="H117"/>
  <c r="E117"/>
  <c r="G117"/>
  <c r="J117"/>
  <c r="O117"/>
  <c r="K117"/>
  <c r="D117"/>
  <c r="O115" l="1"/>
  <c r="O118"/>
  <c r="O119" s="1"/>
  <c r="O123" s="1"/>
  <c r="O127" s="1"/>
  <c r="L118"/>
  <c r="L119" s="1"/>
  <c r="L123" s="1"/>
  <c r="L127" s="1"/>
  <c r="L115"/>
  <c r="N115"/>
  <c r="N118"/>
  <c r="N119" s="1"/>
  <c r="N123" s="1"/>
  <c r="N127" s="1"/>
  <c r="F115"/>
  <c r="F118"/>
  <c r="F119" s="1"/>
  <c r="F123" s="1"/>
  <c r="F127" s="1"/>
  <c r="G115"/>
  <c r="G118"/>
  <c r="G119" s="1"/>
  <c r="G123" s="1"/>
  <c r="G127" s="1"/>
  <c r="E118"/>
  <c r="E119" s="1"/>
  <c r="E123" s="1"/>
  <c r="E127" s="1"/>
  <c r="E115"/>
  <c r="M118"/>
  <c r="M119" s="1"/>
  <c r="M123" s="1"/>
  <c r="M127" s="1"/>
  <c r="M115"/>
  <c r="I118"/>
  <c r="I119" s="1"/>
  <c r="I123" s="1"/>
  <c r="I127" s="1"/>
  <c r="I115"/>
  <c r="D118"/>
  <c r="D119" s="1"/>
  <c r="D123" s="1"/>
  <c r="D127" s="1"/>
  <c r="D115"/>
  <c r="H118"/>
  <c r="H119" s="1"/>
  <c r="H123" s="1"/>
  <c r="H127" s="1"/>
  <c r="H115"/>
  <c r="J115"/>
  <c r="J118"/>
  <c r="J119" s="1"/>
  <c r="J123" s="1"/>
  <c r="J127" s="1"/>
  <c r="K115"/>
  <c r="K118"/>
  <c r="K119" s="1"/>
  <c r="K123" s="1"/>
  <c r="K127" s="1"/>
  <c r="D130" l="1"/>
  <c r="M130"/>
  <c r="J130"/>
  <c r="G130"/>
  <c r="N130"/>
  <c r="O130"/>
  <c r="K130"/>
  <c r="H130"/>
  <c r="I130"/>
  <c r="E130"/>
  <c r="L130"/>
  <c r="F130"/>
  <c r="I131" l="1"/>
  <c r="I132" s="1"/>
  <c r="I128"/>
  <c r="J15" i="292"/>
  <c r="N128" i="100"/>
  <c r="N131"/>
  <c r="N132" s="1"/>
  <c r="O15" i="292"/>
  <c r="J128" i="100"/>
  <c r="J131"/>
  <c r="J132" s="1"/>
  <c r="K15" i="292"/>
  <c r="L131" i="100"/>
  <c r="L132" s="1"/>
  <c r="L128"/>
  <c r="M15" i="292"/>
  <c r="K128" i="100"/>
  <c r="K131"/>
  <c r="K132" s="1"/>
  <c r="L15" i="292"/>
  <c r="D131" i="100"/>
  <c r="D132" s="1"/>
  <c r="D128"/>
  <c r="E15" i="292"/>
  <c r="F128" i="100"/>
  <c r="G15" i="292"/>
  <c r="F131" i="100"/>
  <c r="F132" s="1"/>
  <c r="E131"/>
  <c r="E132" s="1"/>
  <c r="E128"/>
  <c r="F15" i="292"/>
  <c r="M131" i="100"/>
  <c r="M132" s="1"/>
  <c r="M128"/>
  <c r="N15" i="292"/>
  <c r="H131" i="100"/>
  <c r="H132" s="1"/>
  <c r="H128"/>
  <c r="I15" i="292"/>
  <c r="O128" i="100"/>
  <c r="O131"/>
  <c r="O132" s="1"/>
  <c r="P15" i="292"/>
  <c r="G128" i="100"/>
  <c r="H15" i="292"/>
  <c r="G131" i="100"/>
  <c r="G132" s="1"/>
  <c r="G136" l="1"/>
  <c r="G140" s="1"/>
  <c r="G14" i="253"/>
  <c r="O136" i="100"/>
  <c r="O140" s="1"/>
  <c r="O14" i="253"/>
  <c r="H136" i="100"/>
  <c r="H140" s="1"/>
  <c r="H14" i="253"/>
  <c r="M136" i="100"/>
  <c r="M140" s="1"/>
  <c r="M14" i="253"/>
  <c r="F136" i="100"/>
  <c r="F140" s="1"/>
  <c r="F14" i="253"/>
  <c r="N136" i="100"/>
  <c r="N140" s="1"/>
  <c r="N14" i="253"/>
  <c r="I136" i="100"/>
  <c r="I140" s="1"/>
  <c r="I14" i="253"/>
  <c r="E136" i="100"/>
  <c r="E140" s="1"/>
  <c r="E14" i="253"/>
  <c r="K136" i="100"/>
  <c r="K140" s="1"/>
  <c r="K14" i="253"/>
  <c r="L136" i="100"/>
  <c r="L140" s="1"/>
  <c r="L14" i="253"/>
  <c r="Q15" i="292"/>
  <c r="H181" s="1"/>
  <c r="I181" s="1"/>
  <c r="J181" s="1"/>
  <c r="D136" i="100"/>
  <c r="D140" s="1"/>
  <c r="D14" i="253"/>
  <c r="J136" i="100"/>
  <c r="J140" s="1"/>
  <c r="J14" i="253"/>
  <c r="K143" i="100" l="1"/>
  <c r="I143"/>
  <c r="F143"/>
  <c r="H143"/>
  <c r="G143"/>
  <c r="J143"/>
  <c r="D143"/>
  <c r="L143"/>
  <c r="E143"/>
  <c r="N143"/>
  <c r="M143"/>
  <c r="O143"/>
  <c r="M144" l="1"/>
  <c r="M145" s="1"/>
  <c r="M141"/>
  <c r="N16" i="292"/>
  <c r="E144" i="100"/>
  <c r="E145" s="1"/>
  <c r="E141"/>
  <c r="F16" i="292"/>
  <c r="F141" i="100"/>
  <c r="F144"/>
  <c r="F145" s="1"/>
  <c r="G16" i="292"/>
  <c r="D144" i="100"/>
  <c r="D145" s="1"/>
  <c r="D141"/>
  <c r="E16" i="292"/>
  <c r="G141" i="100"/>
  <c r="H16" i="292"/>
  <c r="G144" i="100"/>
  <c r="G145" s="1"/>
  <c r="K141"/>
  <c r="K144"/>
  <c r="K145" s="1"/>
  <c r="L16" i="292"/>
  <c r="N141" i="100"/>
  <c r="N144"/>
  <c r="N145" s="1"/>
  <c r="O16" i="292"/>
  <c r="J141" i="100"/>
  <c r="K16" i="292"/>
  <c r="J144" i="100"/>
  <c r="J145" s="1"/>
  <c r="I144"/>
  <c r="I145" s="1"/>
  <c r="I141"/>
  <c r="J16" i="292"/>
  <c r="O141" i="100"/>
  <c r="O144"/>
  <c r="O145" s="1"/>
  <c r="P16" i="292"/>
  <c r="L144" i="100"/>
  <c r="L145" s="1"/>
  <c r="L141"/>
  <c r="M16" i="292"/>
  <c r="H144" i="100"/>
  <c r="H145" s="1"/>
  <c r="H141"/>
  <c r="I16" i="292"/>
  <c r="O149" i="100" l="1"/>
  <c r="O153" s="1"/>
  <c r="O15" i="253"/>
  <c r="I149" i="100"/>
  <c r="I153" s="1"/>
  <c r="I15" i="253"/>
  <c r="K149" i="100"/>
  <c r="K153" s="1"/>
  <c r="K15" i="253"/>
  <c r="M149" i="100"/>
  <c r="M153" s="1"/>
  <c r="M15" i="253"/>
  <c r="H149" i="100"/>
  <c r="H153" s="1"/>
  <c r="H15" i="253"/>
  <c r="D149" i="100"/>
  <c r="D153" s="1"/>
  <c r="D15" i="253"/>
  <c r="G149" i="100"/>
  <c r="G153" s="1"/>
  <c r="G15" i="253"/>
  <c r="L149" i="100"/>
  <c r="L153" s="1"/>
  <c r="L15" i="253"/>
  <c r="J149" i="100"/>
  <c r="J153" s="1"/>
  <c r="J15" i="253"/>
  <c r="N149" i="100"/>
  <c r="N153" s="1"/>
  <c r="N15" i="253"/>
  <c r="F149" i="100"/>
  <c r="F153" s="1"/>
  <c r="F15" i="253"/>
  <c r="E149" i="100"/>
  <c r="E153" s="1"/>
  <c r="E15" i="253"/>
  <c r="Q16" i="292"/>
  <c r="H182" s="1"/>
  <c r="I182" s="1"/>
  <c r="J182" s="1"/>
  <c r="F156" i="100" l="1"/>
  <c r="J156"/>
  <c r="G156"/>
  <c r="H156"/>
  <c r="K156"/>
  <c r="O156"/>
  <c r="E156"/>
  <c r="N156"/>
  <c r="L156"/>
  <c r="D156"/>
  <c r="M156"/>
  <c r="I156"/>
  <c r="M157" l="1"/>
  <c r="M158" s="1"/>
  <c r="M154"/>
  <c r="N17" i="292"/>
  <c r="E157" i="100"/>
  <c r="E158" s="1"/>
  <c r="E154"/>
  <c r="F17" i="292"/>
  <c r="F154" i="100"/>
  <c r="F157"/>
  <c r="F158" s="1"/>
  <c r="G17" i="292"/>
  <c r="L157" i="100"/>
  <c r="L158" s="1"/>
  <c r="L154"/>
  <c r="M17" i="292"/>
  <c r="K154" i="100"/>
  <c r="K157"/>
  <c r="K158" s="1"/>
  <c r="L17" i="292"/>
  <c r="G154" i="100"/>
  <c r="G157"/>
  <c r="G158" s="1"/>
  <c r="H17" i="292"/>
  <c r="I157" i="100"/>
  <c r="I158" s="1"/>
  <c r="I154"/>
  <c r="J17" i="292"/>
  <c r="N154" i="100"/>
  <c r="O17" i="292"/>
  <c r="N157" i="100"/>
  <c r="N158" s="1"/>
  <c r="J154"/>
  <c r="K17" i="292"/>
  <c r="J157" i="100"/>
  <c r="J158" s="1"/>
  <c r="D157"/>
  <c r="D158" s="1"/>
  <c r="D154"/>
  <c r="E17" i="292"/>
  <c r="O154" i="100"/>
  <c r="P17" i="292"/>
  <c r="O157" i="100"/>
  <c r="O158" s="1"/>
  <c r="H157"/>
  <c r="H158" s="1"/>
  <c r="H154"/>
  <c r="I17" i="292"/>
  <c r="Q17" l="1"/>
  <c r="H183" s="1"/>
  <c r="I183" s="1"/>
  <c r="J183" s="1"/>
  <c r="J162" i="100"/>
  <c r="J166" s="1"/>
  <c r="J16" i="253"/>
  <c r="O162" i="100"/>
  <c r="O166" s="1"/>
  <c r="O16" i="253"/>
  <c r="G162" i="100"/>
  <c r="G166" s="1"/>
  <c r="G16" i="253"/>
  <c r="M162" i="100"/>
  <c r="M166" s="1"/>
  <c r="M16" i="253"/>
  <c r="H162" i="100"/>
  <c r="H166" s="1"/>
  <c r="H16" i="253"/>
  <c r="K162" i="100"/>
  <c r="K166" s="1"/>
  <c r="K16" i="253"/>
  <c r="L162" i="100"/>
  <c r="L166" s="1"/>
  <c r="L16" i="253"/>
  <c r="I162" i="100"/>
  <c r="I166" s="1"/>
  <c r="I16" i="253"/>
  <c r="D162" i="100"/>
  <c r="D166" s="1"/>
  <c r="D16" i="253"/>
  <c r="N162" i="100"/>
  <c r="N166" s="1"/>
  <c r="N16" i="253"/>
  <c r="F162" i="100"/>
  <c r="F166" s="1"/>
  <c r="F16" i="253"/>
  <c r="E162" i="100"/>
  <c r="E166" s="1"/>
  <c r="E16" i="253"/>
  <c r="F169" i="100" l="1"/>
  <c r="D169"/>
  <c r="L169"/>
  <c r="H169"/>
  <c r="G169"/>
  <c r="J169"/>
  <c r="E169"/>
  <c r="N169"/>
  <c r="I169"/>
  <c r="K169"/>
  <c r="M169"/>
  <c r="O169"/>
  <c r="M170" l="1"/>
  <c r="M171" s="1"/>
  <c r="M167"/>
  <c r="N18" i="292"/>
  <c r="I170" i="100"/>
  <c r="I171" s="1"/>
  <c r="I167"/>
  <c r="J18" i="292"/>
  <c r="E170" i="100"/>
  <c r="E171" s="1"/>
  <c r="E167"/>
  <c r="F18" i="292"/>
  <c r="F167" i="100"/>
  <c r="F170"/>
  <c r="F171" s="1"/>
  <c r="G18" i="292"/>
  <c r="G167" i="100"/>
  <c r="G170"/>
  <c r="G171" s="1"/>
  <c r="H18" i="292"/>
  <c r="L170" i="100"/>
  <c r="L171" s="1"/>
  <c r="L167"/>
  <c r="M18" i="292"/>
  <c r="N167" i="100"/>
  <c r="N170"/>
  <c r="N171" s="1"/>
  <c r="O18" i="292"/>
  <c r="J167" i="100"/>
  <c r="K18" i="292"/>
  <c r="J170" i="100"/>
  <c r="J171" s="1"/>
  <c r="O167"/>
  <c r="P18" i="292"/>
  <c r="O170" i="100"/>
  <c r="O171" s="1"/>
  <c r="K167"/>
  <c r="K170"/>
  <c r="K171" s="1"/>
  <c r="L18" i="292"/>
  <c r="H170" i="100"/>
  <c r="H171" s="1"/>
  <c r="H167"/>
  <c r="I18" i="292"/>
  <c r="D170" i="100"/>
  <c r="D171" s="1"/>
  <c r="D167"/>
  <c r="E18" i="292"/>
  <c r="K175" i="100" l="1"/>
  <c r="K179" s="1"/>
  <c r="K17" i="253"/>
  <c r="M175" i="100"/>
  <c r="M179" s="1"/>
  <c r="M17" i="253"/>
  <c r="G175" i="100"/>
  <c r="G179" s="1"/>
  <c r="G17" i="253"/>
  <c r="D175" i="100"/>
  <c r="D179" s="1"/>
  <c r="D17" i="253"/>
  <c r="F175" i="100"/>
  <c r="F179" s="1"/>
  <c r="F17" i="253"/>
  <c r="E175" i="100"/>
  <c r="E179" s="1"/>
  <c r="E17" i="253"/>
  <c r="H175" i="100"/>
  <c r="H179" s="1"/>
  <c r="H17" i="253"/>
  <c r="O175" i="100"/>
  <c r="O179" s="1"/>
  <c r="O17" i="253"/>
  <c r="J175" i="100"/>
  <c r="J179" s="1"/>
  <c r="J17" i="253"/>
  <c r="N175" i="100"/>
  <c r="N179" s="1"/>
  <c r="N17" i="253"/>
  <c r="L175" i="100"/>
  <c r="L179" s="1"/>
  <c r="L17" i="253"/>
  <c r="I175" i="100"/>
  <c r="I179" s="1"/>
  <c r="I17" i="253"/>
  <c r="Q18" i="292"/>
  <c r="H184" s="1"/>
  <c r="I184" s="1"/>
  <c r="J184" s="1"/>
  <c r="L182" i="100" l="1"/>
  <c r="J182"/>
  <c r="H182"/>
  <c r="F182"/>
  <c r="G182"/>
  <c r="K182"/>
  <c r="I182"/>
  <c r="N182"/>
  <c r="O182"/>
  <c r="E182"/>
  <c r="D182"/>
  <c r="M182"/>
  <c r="M183" l="1"/>
  <c r="M184" s="1"/>
  <c r="M180"/>
  <c r="N19" i="292"/>
  <c r="F180" i="100"/>
  <c r="G19" i="292"/>
  <c r="F183" i="100"/>
  <c r="F184" s="1"/>
  <c r="I183"/>
  <c r="I184" s="1"/>
  <c r="I180"/>
  <c r="J19" i="292"/>
  <c r="O180" i="100"/>
  <c r="O183"/>
  <c r="O184" s="1"/>
  <c r="P19" i="292"/>
  <c r="G180" i="100"/>
  <c r="H19" i="292"/>
  <c r="G183" i="100"/>
  <c r="G184" s="1"/>
  <c r="H183"/>
  <c r="H184" s="1"/>
  <c r="H180"/>
  <c r="I19" i="292"/>
  <c r="L183" i="100"/>
  <c r="L184" s="1"/>
  <c r="L180"/>
  <c r="M19" i="292"/>
  <c r="D183" i="100"/>
  <c r="D184" s="1"/>
  <c r="D180"/>
  <c r="E19" i="292"/>
  <c r="E183" i="100"/>
  <c r="E184" s="1"/>
  <c r="E180"/>
  <c r="F19" i="292"/>
  <c r="J180" i="100"/>
  <c r="J183"/>
  <c r="J184" s="1"/>
  <c r="K19" i="292"/>
  <c r="N180" i="100"/>
  <c r="N183"/>
  <c r="N184" s="1"/>
  <c r="O19" i="292"/>
  <c r="K180" i="100"/>
  <c r="K183"/>
  <c r="K184" s="1"/>
  <c r="L19" i="292"/>
  <c r="M188" i="100" l="1"/>
  <c r="M192" s="1"/>
  <c r="M18" i="253"/>
  <c r="D188" i="100"/>
  <c r="D192" s="1"/>
  <c r="D18" i="253"/>
  <c r="F188" i="100"/>
  <c r="F192" s="1"/>
  <c r="F18" i="253"/>
  <c r="J188" i="100"/>
  <c r="J192" s="1"/>
  <c r="J18" i="253"/>
  <c r="E188" i="100"/>
  <c r="E192" s="1"/>
  <c r="E18" i="253"/>
  <c r="K188" i="100"/>
  <c r="K192" s="1"/>
  <c r="K18" i="253"/>
  <c r="L188" i="100"/>
  <c r="L192" s="1"/>
  <c r="L18" i="253"/>
  <c r="G188" i="100"/>
  <c r="G192" s="1"/>
  <c r="G18" i="253"/>
  <c r="O188" i="100"/>
  <c r="O192" s="1"/>
  <c r="O18" i="253"/>
  <c r="I188" i="100"/>
  <c r="I192" s="1"/>
  <c r="I18" i="253"/>
  <c r="N188" i="100"/>
  <c r="N192" s="1"/>
  <c r="N18" i="253"/>
  <c r="H188" i="100"/>
  <c r="H192" s="1"/>
  <c r="H18" i="253"/>
  <c r="Q19" i="292"/>
  <c r="H185" s="1"/>
  <c r="I185" s="1"/>
  <c r="J185" s="1"/>
  <c r="N195" i="100" l="1"/>
  <c r="O195"/>
  <c r="L195"/>
  <c r="E195"/>
  <c r="F195"/>
  <c r="M195"/>
  <c r="H195"/>
  <c r="I195"/>
  <c r="G195"/>
  <c r="K195"/>
  <c r="J195"/>
  <c r="D195"/>
  <c r="I196" l="1"/>
  <c r="I197" s="1"/>
  <c r="I193"/>
  <c r="J20" i="292"/>
  <c r="D196" i="100"/>
  <c r="D197" s="1"/>
  <c r="D193"/>
  <c r="E20" i="292"/>
  <c r="J193" i="100"/>
  <c r="K20" i="292"/>
  <c r="J196" i="100"/>
  <c r="J197" s="1"/>
  <c r="F193"/>
  <c r="F196"/>
  <c r="F197" s="1"/>
  <c r="G20" i="292"/>
  <c r="N193" i="100"/>
  <c r="N196"/>
  <c r="N197" s="1"/>
  <c r="O20" i="292"/>
  <c r="G193" i="100"/>
  <c r="H20" i="292"/>
  <c r="G196" i="100"/>
  <c r="G197" s="1"/>
  <c r="H196"/>
  <c r="H197" s="1"/>
  <c r="H193"/>
  <c r="I20" i="292"/>
  <c r="L196" i="100"/>
  <c r="L197" s="1"/>
  <c r="L193"/>
  <c r="M20" i="292"/>
  <c r="M196" i="100"/>
  <c r="M197" s="1"/>
  <c r="M193"/>
  <c r="N20" i="292"/>
  <c r="E196" i="100"/>
  <c r="E197" s="1"/>
  <c r="E193"/>
  <c r="F20" i="292"/>
  <c r="K193" i="100"/>
  <c r="K196"/>
  <c r="K197" s="1"/>
  <c r="L20" i="292"/>
  <c r="O193" i="100"/>
  <c r="O196"/>
  <c r="O197" s="1"/>
  <c r="P20" i="292"/>
  <c r="M201" i="100" l="1"/>
  <c r="M205" s="1"/>
  <c r="M19" i="253"/>
  <c r="J201" i="100"/>
  <c r="J205" s="1"/>
  <c r="J19" i="253"/>
  <c r="I201" i="100"/>
  <c r="I205" s="1"/>
  <c r="I19" i="253"/>
  <c r="K201" i="100"/>
  <c r="K205" s="1"/>
  <c r="K19" i="253"/>
  <c r="E201" i="100"/>
  <c r="E205" s="1"/>
  <c r="E19" i="253"/>
  <c r="L201" i="100"/>
  <c r="L205" s="1"/>
  <c r="L19" i="253"/>
  <c r="G201" i="100"/>
  <c r="G205" s="1"/>
  <c r="G19" i="253"/>
  <c r="N201" i="100"/>
  <c r="N205" s="1"/>
  <c r="N19" i="253"/>
  <c r="Q20" i="292"/>
  <c r="H186" s="1"/>
  <c r="I186" s="1"/>
  <c r="J186" s="1"/>
  <c r="O201" i="100"/>
  <c r="O205" s="1"/>
  <c r="O19" i="253"/>
  <c r="H201" i="100"/>
  <c r="H205" s="1"/>
  <c r="H19" i="253"/>
  <c r="F201" i="100"/>
  <c r="F205" s="1"/>
  <c r="F19" i="253"/>
  <c r="D201" i="100"/>
  <c r="D205" s="1"/>
  <c r="D19" i="253"/>
  <c r="G208" i="100" l="1"/>
  <c r="E208"/>
  <c r="I208"/>
  <c r="M208"/>
  <c r="F208"/>
  <c r="O208"/>
  <c r="N208"/>
  <c r="L208"/>
  <c r="K208"/>
  <c r="J208"/>
  <c r="D208"/>
  <c r="H208"/>
  <c r="N206" l="1"/>
  <c r="O21" i="292"/>
  <c r="N209" i="100"/>
  <c r="N210" s="1"/>
  <c r="F206"/>
  <c r="F209"/>
  <c r="F210" s="1"/>
  <c r="G21" i="292"/>
  <c r="I209" i="100"/>
  <c r="I210" s="1"/>
  <c r="I206"/>
  <c r="J21" i="292"/>
  <c r="D209" i="100"/>
  <c r="D210" s="1"/>
  <c r="D206"/>
  <c r="E21" i="292"/>
  <c r="K206" i="100"/>
  <c r="K209"/>
  <c r="K210" s="1"/>
  <c r="L21" i="292"/>
  <c r="G206" i="100"/>
  <c r="G209"/>
  <c r="G210" s="1"/>
  <c r="H21" i="292"/>
  <c r="J206" i="100"/>
  <c r="K21" i="292"/>
  <c r="J209" i="100"/>
  <c r="J210" s="1"/>
  <c r="M209"/>
  <c r="M210" s="1"/>
  <c r="M206"/>
  <c r="N21" i="292"/>
  <c r="E209" i="100"/>
  <c r="E210" s="1"/>
  <c r="E206"/>
  <c r="F21" i="292"/>
  <c r="H209" i="100"/>
  <c r="H210" s="1"/>
  <c r="H206"/>
  <c r="I21" i="292"/>
  <c r="L209" i="100"/>
  <c r="L210" s="1"/>
  <c r="L206"/>
  <c r="M21" i="292"/>
  <c r="O206" i="100"/>
  <c r="P21" i="292"/>
  <c r="O209" i="100"/>
  <c r="O210" s="1"/>
  <c r="M5" i="171" l="1"/>
  <c r="M10" s="1"/>
  <c r="M20" i="253"/>
  <c r="M151" s="1"/>
  <c r="O5" i="171"/>
  <c r="O10" s="1"/>
  <c r="O20" i="253"/>
  <c r="O151" s="1"/>
  <c r="H5" i="171"/>
  <c r="H10" s="1"/>
  <c r="H20" i="253"/>
  <c r="H151" s="1"/>
  <c r="E5" i="171"/>
  <c r="E10" s="1"/>
  <c r="E20" i="253"/>
  <c r="E151" s="1"/>
  <c r="J5" i="171"/>
  <c r="J10" s="1"/>
  <c r="J20" i="253"/>
  <c r="J151" s="1"/>
  <c r="G5" i="171"/>
  <c r="G10" s="1"/>
  <c r="G20" i="253"/>
  <c r="G151" s="1"/>
  <c r="F5" i="171"/>
  <c r="F10" s="1"/>
  <c r="F20" i="253"/>
  <c r="F151" s="1"/>
  <c r="K5" i="171"/>
  <c r="K10" s="1"/>
  <c r="K20" i="253"/>
  <c r="K151" s="1"/>
  <c r="D5" i="171"/>
  <c r="D10" s="1"/>
  <c r="D20" i="253"/>
  <c r="D151" s="1"/>
  <c r="L5" i="171"/>
  <c r="L10" s="1"/>
  <c r="L20" i="253"/>
  <c r="L151" s="1"/>
  <c r="I5" i="171"/>
  <c r="I10" s="1"/>
  <c r="I20" i="253"/>
  <c r="I151" s="1"/>
  <c r="N5" i="171"/>
  <c r="N10" s="1"/>
  <c r="N20" i="253"/>
  <c r="N151" s="1"/>
  <c r="Q21" i="292"/>
  <c r="H187" s="1"/>
  <c r="I187" s="1"/>
  <c r="J187" s="1"/>
  <c r="I13" i="171" l="1"/>
  <c r="D13"/>
  <c r="F13"/>
  <c r="J13"/>
  <c r="H13"/>
  <c r="M13"/>
  <c r="N13"/>
  <c r="L13"/>
  <c r="K13"/>
  <c r="G13"/>
  <c r="E13"/>
  <c r="O13"/>
  <c r="G14" l="1"/>
  <c r="G15" s="1"/>
  <c r="G11"/>
  <c r="H35" i="292"/>
  <c r="K14" i="171"/>
  <c r="K15" s="1"/>
  <c r="K11"/>
  <c r="L35" i="292"/>
  <c r="H11" i="171"/>
  <c r="H14"/>
  <c r="H15" s="1"/>
  <c r="I35" i="292"/>
  <c r="N14" i="171"/>
  <c r="N15" s="1"/>
  <c r="N11"/>
  <c r="O35" i="292"/>
  <c r="F14" i="171"/>
  <c r="F15" s="1"/>
  <c r="F11"/>
  <c r="G35" i="292"/>
  <c r="I11" i="171"/>
  <c r="I14"/>
  <c r="I15" s="1"/>
  <c r="J35" i="292"/>
  <c r="O14" i="171"/>
  <c r="O15" s="1"/>
  <c r="O11"/>
  <c r="P35" i="292"/>
  <c r="L11" i="171"/>
  <c r="M35" i="292"/>
  <c r="L14" i="171"/>
  <c r="L15" s="1"/>
  <c r="D11"/>
  <c r="D14"/>
  <c r="D15" s="1"/>
  <c r="E35" i="292"/>
  <c r="E11" i="171"/>
  <c r="F35" i="292"/>
  <c r="E14" i="171"/>
  <c r="E15" s="1"/>
  <c r="M11"/>
  <c r="N35" i="292"/>
  <c r="M14" i="171"/>
  <c r="M15" s="1"/>
  <c r="J14"/>
  <c r="J15" s="1"/>
  <c r="J11"/>
  <c r="K35" i="292"/>
  <c r="M19" i="171" l="1"/>
  <c r="M23" s="1"/>
  <c r="M34" i="253"/>
  <c r="I19" i="171"/>
  <c r="I23" s="1"/>
  <c r="I34" i="253"/>
  <c r="F19" i="171"/>
  <c r="F23" s="1"/>
  <c r="F34" i="253"/>
  <c r="G19" i="171"/>
  <c r="G23" s="1"/>
  <c r="G34" i="253"/>
  <c r="J19" i="171"/>
  <c r="J23" s="1"/>
  <c r="J34" i="253"/>
  <c r="E19" i="171"/>
  <c r="E23" s="1"/>
  <c r="E34" i="253"/>
  <c r="D19" i="171"/>
  <c r="D23" s="1"/>
  <c r="D34" i="253"/>
  <c r="N19" i="171"/>
  <c r="N23" s="1"/>
  <c r="N34" i="253"/>
  <c r="Q35" i="292"/>
  <c r="O19" i="171"/>
  <c r="O23" s="1"/>
  <c r="O34" i="253"/>
  <c r="L19" i="171"/>
  <c r="L23" s="1"/>
  <c r="L34" i="253"/>
  <c r="H19" i="171"/>
  <c r="H23" s="1"/>
  <c r="H34" i="253"/>
  <c r="K19" i="171"/>
  <c r="K23" s="1"/>
  <c r="K34" i="253"/>
  <c r="K26" i="171" l="1"/>
  <c r="L26"/>
  <c r="F26"/>
  <c r="M26"/>
  <c r="N26"/>
  <c r="E26"/>
  <c r="G26"/>
  <c r="I26"/>
  <c r="H26"/>
  <c r="O26"/>
  <c r="D26"/>
  <c r="J26"/>
  <c r="J27" l="1"/>
  <c r="J28" s="1"/>
  <c r="J24"/>
  <c r="K36" i="292"/>
  <c r="H24" i="171"/>
  <c r="H27"/>
  <c r="H28" s="1"/>
  <c r="I36" i="292"/>
  <c r="G27" i="171"/>
  <c r="G28" s="1"/>
  <c r="G24"/>
  <c r="H36" i="292"/>
  <c r="K27" i="171"/>
  <c r="K28" s="1"/>
  <c r="K24"/>
  <c r="L36" i="292"/>
  <c r="D24" i="171"/>
  <c r="D27"/>
  <c r="D28" s="1"/>
  <c r="E36" i="292"/>
  <c r="N27" i="171"/>
  <c r="N28" s="1"/>
  <c r="N24"/>
  <c r="O36" i="292"/>
  <c r="F27" i="171"/>
  <c r="F28" s="1"/>
  <c r="F24"/>
  <c r="G36" i="292"/>
  <c r="O27" i="171"/>
  <c r="O28" s="1"/>
  <c r="O24"/>
  <c r="P36" i="292"/>
  <c r="L24" i="171"/>
  <c r="M36" i="292"/>
  <c r="L27" i="171"/>
  <c r="L28" s="1"/>
  <c r="I24"/>
  <c r="I27"/>
  <c r="I28" s="1"/>
  <c r="J36" i="292"/>
  <c r="E24" i="171"/>
  <c r="E27"/>
  <c r="E28" s="1"/>
  <c r="F36" i="292"/>
  <c r="M24" i="171"/>
  <c r="N36" i="292"/>
  <c r="M27" i="171"/>
  <c r="M28" s="1"/>
  <c r="I32" l="1"/>
  <c r="I36" s="1"/>
  <c r="I35" i="253"/>
  <c r="H32" i="171"/>
  <c r="H36" s="1"/>
  <c r="H35" i="253"/>
  <c r="J32" i="171"/>
  <c r="J36" s="1"/>
  <c r="J35" i="253"/>
  <c r="O32" i="171"/>
  <c r="O36" s="1"/>
  <c r="O35" i="253"/>
  <c r="D32" i="171"/>
  <c r="D36" s="1"/>
  <c r="D35" i="253"/>
  <c r="K32" i="171"/>
  <c r="K36" s="1"/>
  <c r="K35" i="253"/>
  <c r="L32" i="171"/>
  <c r="L36" s="1"/>
  <c r="L35" i="253"/>
  <c r="F32" i="171"/>
  <c r="F36" s="1"/>
  <c r="F35" i="253"/>
  <c r="Q36" i="292"/>
  <c r="H189" s="1"/>
  <c r="I189" s="1"/>
  <c r="J189" s="1"/>
  <c r="G32" i="171"/>
  <c r="G36" s="1"/>
  <c r="G35" i="253"/>
  <c r="M32" i="171"/>
  <c r="M36" s="1"/>
  <c r="M35" i="253"/>
  <c r="E32" i="171"/>
  <c r="E36" s="1"/>
  <c r="E35" i="253"/>
  <c r="N32" i="171"/>
  <c r="N36" s="1"/>
  <c r="N35" i="253"/>
  <c r="J39" i="171" l="1"/>
  <c r="I39"/>
  <c r="N39"/>
  <c r="M39"/>
  <c r="G39"/>
  <c r="F39"/>
  <c r="K39"/>
  <c r="O39"/>
  <c r="H39"/>
  <c r="E39"/>
  <c r="L39"/>
  <c r="D39"/>
  <c r="G37" l="1"/>
  <c r="H37" i="292"/>
  <c r="H151" s="1"/>
  <c r="G40" i="171"/>
  <c r="G41" s="1"/>
  <c r="L37"/>
  <c r="M37" i="292"/>
  <c r="M151" s="1"/>
  <c r="L40" i="171"/>
  <c r="L41" s="1"/>
  <c r="H37"/>
  <c r="I37" i="292"/>
  <c r="I151" s="1"/>
  <c r="H40" i="171"/>
  <c r="H41" s="1"/>
  <c r="K37"/>
  <c r="L37" i="292"/>
  <c r="L151" s="1"/>
  <c r="K40" i="171"/>
  <c r="K41" s="1"/>
  <c r="J37"/>
  <c r="K37" i="292"/>
  <c r="K151" s="1"/>
  <c r="J40" i="171"/>
  <c r="J41" s="1"/>
  <c r="O37"/>
  <c r="P37" i="292"/>
  <c r="P151" s="1"/>
  <c r="O40" i="171"/>
  <c r="O41" s="1"/>
  <c r="F37"/>
  <c r="G37" i="292"/>
  <c r="G151" s="1"/>
  <c r="F40" i="171"/>
  <c r="F41" s="1"/>
  <c r="N37"/>
  <c r="O37" i="292"/>
  <c r="O151" s="1"/>
  <c r="N40" i="171"/>
  <c r="N41" s="1"/>
  <c r="D37"/>
  <c r="E37" i="292"/>
  <c r="D40" i="171"/>
  <c r="D41" s="1"/>
  <c r="E37"/>
  <c r="F37" i="292"/>
  <c r="F151" s="1"/>
  <c r="E40" i="171"/>
  <c r="E41" s="1"/>
  <c r="M37"/>
  <c r="N37" i="292"/>
  <c r="N151" s="1"/>
  <c r="M40" i="171"/>
  <c r="M41" s="1"/>
  <c r="I37"/>
  <c r="J37" i="292"/>
  <c r="J151" s="1"/>
  <c r="I40" i="171"/>
  <c r="I41" s="1"/>
  <c r="R151" i="292" l="1"/>
  <c r="F5" i="175"/>
  <c r="F9" s="1"/>
  <c r="F36" i="253"/>
  <c r="F153" s="1"/>
  <c r="H5" i="175"/>
  <c r="H9" s="1"/>
  <c r="H36" i="253"/>
  <c r="H153" s="1"/>
  <c r="I5" i="175"/>
  <c r="I9" s="1"/>
  <c r="I36" i="253"/>
  <c r="I153" s="1"/>
  <c r="M5" i="175"/>
  <c r="M9" s="1"/>
  <c r="M36" i="253"/>
  <c r="M153" s="1"/>
  <c r="E5" i="175"/>
  <c r="E9" s="1"/>
  <c r="E36" i="253"/>
  <c r="E153" s="1"/>
  <c r="Q37" i="292"/>
  <c r="H190" s="1"/>
  <c r="I190" s="1"/>
  <c r="J190" s="1"/>
  <c r="E151"/>
  <c r="Q151" s="1"/>
  <c r="O5" i="175"/>
  <c r="O9" s="1"/>
  <c r="O36" i="253"/>
  <c r="O153" s="1"/>
  <c r="L5" i="175"/>
  <c r="L9" s="1"/>
  <c r="L36" i="253"/>
  <c r="L153" s="1"/>
  <c r="D5" i="175"/>
  <c r="D9" s="1"/>
  <c r="D36" i="253"/>
  <c r="D153" s="1"/>
  <c r="J5" i="175"/>
  <c r="J9" s="1"/>
  <c r="J36" i="253"/>
  <c r="J153" s="1"/>
  <c r="G5" i="175"/>
  <c r="G9" s="1"/>
  <c r="G36" i="253"/>
  <c r="G153" s="1"/>
  <c r="N5" i="175"/>
  <c r="N9" s="1"/>
  <c r="N36" i="253"/>
  <c r="N153" s="1"/>
  <c r="K5" i="175"/>
  <c r="K9" s="1"/>
  <c r="K36" i="253"/>
  <c r="K153" s="1"/>
  <c r="K12" i="175" l="1"/>
  <c r="G12"/>
  <c r="D12"/>
  <c r="O12"/>
  <c r="E12"/>
  <c r="I12"/>
  <c r="F12"/>
  <c r="N12"/>
  <c r="J12"/>
  <c r="L12"/>
  <c r="M12"/>
  <c r="H12"/>
  <c r="J10" l="1"/>
  <c r="J13"/>
  <c r="J14" s="1"/>
  <c r="K43" i="292"/>
  <c r="F10" i="175"/>
  <c r="F13"/>
  <c r="F14" s="1"/>
  <c r="G43" i="292"/>
  <c r="E10" i="175"/>
  <c r="F43" i="292"/>
  <c r="E13" i="175"/>
  <c r="E14" s="1"/>
  <c r="M10"/>
  <c r="M13"/>
  <c r="M14" s="1"/>
  <c r="N43" i="292"/>
  <c r="D10" i="175"/>
  <c r="D13"/>
  <c r="D14" s="1"/>
  <c r="E43" i="292"/>
  <c r="K10" i="175"/>
  <c r="K13"/>
  <c r="K14" s="1"/>
  <c r="L43" i="292"/>
  <c r="H10" i="175"/>
  <c r="H13"/>
  <c r="H14" s="1"/>
  <c r="I43" i="292"/>
  <c r="N10" i="175"/>
  <c r="N13"/>
  <c r="N14" s="1"/>
  <c r="O43" i="292"/>
  <c r="I10" i="175"/>
  <c r="I13"/>
  <c r="I14" s="1"/>
  <c r="J43" i="292"/>
  <c r="L10" i="175"/>
  <c r="L13"/>
  <c r="L14" s="1"/>
  <c r="M43" i="292"/>
  <c r="O10" i="175"/>
  <c r="O13"/>
  <c r="O14" s="1"/>
  <c r="P43" i="292"/>
  <c r="G10" i="175"/>
  <c r="G13"/>
  <c r="G14" s="1"/>
  <c r="H43" i="292"/>
  <c r="O18" i="175" l="1"/>
  <c r="O22" s="1"/>
  <c r="O42" i="253"/>
  <c r="L18" i="175"/>
  <c r="L22" s="1"/>
  <c r="L42" i="253"/>
  <c r="K18" i="175"/>
  <c r="K22" s="1"/>
  <c r="K42" i="253"/>
  <c r="E18" i="175"/>
  <c r="E22" s="1"/>
  <c r="E42" i="253"/>
  <c r="F18" i="175"/>
  <c r="F22" s="1"/>
  <c r="F42" i="253"/>
  <c r="I18" i="175"/>
  <c r="I22" s="1"/>
  <c r="I42" i="253"/>
  <c r="D18" i="175"/>
  <c r="D22" s="1"/>
  <c r="D42" i="253"/>
  <c r="J18" i="175"/>
  <c r="J22" s="1"/>
  <c r="J42" i="253"/>
  <c r="G18" i="175"/>
  <c r="G22" s="1"/>
  <c r="G42" i="253"/>
  <c r="N18" i="175"/>
  <c r="N22" s="1"/>
  <c r="N42" i="253"/>
  <c r="Q43" i="292"/>
  <c r="M18" i="175"/>
  <c r="M22" s="1"/>
  <c r="M42" i="253"/>
  <c r="H18" i="175"/>
  <c r="H22" s="1"/>
  <c r="H42" i="253"/>
  <c r="H25" i="175" l="1"/>
  <c r="M25"/>
  <c r="N25"/>
  <c r="F25"/>
  <c r="K25"/>
  <c r="O25"/>
  <c r="J25"/>
  <c r="I25"/>
  <c r="G25"/>
  <c r="E25"/>
  <c r="L25"/>
  <c r="D25"/>
  <c r="E23" l="1"/>
  <c r="E26"/>
  <c r="E27" s="1"/>
  <c r="F44" i="292"/>
  <c r="J23" i="175"/>
  <c r="J26"/>
  <c r="J27" s="1"/>
  <c r="K44" i="292"/>
  <c r="N23" i="175"/>
  <c r="N26"/>
  <c r="N27" s="1"/>
  <c r="O44" i="292"/>
  <c r="G23" i="175"/>
  <c r="G26"/>
  <c r="G27" s="1"/>
  <c r="H44" i="292"/>
  <c r="K23" i="175"/>
  <c r="K26"/>
  <c r="K27" s="1"/>
  <c r="L44" i="292"/>
  <c r="H23" i="175"/>
  <c r="H26"/>
  <c r="H27" s="1"/>
  <c r="I44" i="292"/>
  <c r="I23" i="175"/>
  <c r="J44" i="292"/>
  <c r="I26" i="175"/>
  <c r="I27" s="1"/>
  <c r="F23"/>
  <c r="F26"/>
  <c r="F27" s="1"/>
  <c r="G44" i="292"/>
  <c r="M23" i="175"/>
  <c r="M26"/>
  <c r="M27" s="1"/>
  <c r="N44" i="292"/>
  <c r="L23" i="175"/>
  <c r="L26"/>
  <c r="L27" s="1"/>
  <c r="M44" i="292"/>
  <c r="D23" i="175"/>
  <c r="E44" i="292"/>
  <c r="D26" i="175"/>
  <c r="D27" s="1"/>
  <c r="O23"/>
  <c r="O26"/>
  <c r="O27" s="1"/>
  <c r="P44" i="292"/>
  <c r="D31" i="175" l="1"/>
  <c r="D35" s="1"/>
  <c r="D43" i="253"/>
  <c r="L31" i="175"/>
  <c r="L35" s="1"/>
  <c r="L43" i="253"/>
  <c r="I31" i="175"/>
  <c r="I35" s="1"/>
  <c r="I43" i="253"/>
  <c r="H31" i="175"/>
  <c r="H35" s="1"/>
  <c r="H43" i="253"/>
  <c r="J31" i="175"/>
  <c r="J35" s="1"/>
  <c r="J43" i="253"/>
  <c r="M31" i="175"/>
  <c r="M35" s="1"/>
  <c r="M43" i="253"/>
  <c r="K31" i="175"/>
  <c r="K35" s="1"/>
  <c r="K43" i="253"/>
  <c r="E31" i="175"/>
  <c r="E35" s="1"/>
  <c r="E43" i="253"/>
  <c r="O31" i="175"/>
  <c r="O35" s="1"/>
  <c r="O43" i="253"/>
  <c r="F31" i="175"/>
  <c r="F35" s="1"/>
  <c r="F43" i="253"/>
  <c r="G31" i="175"/>
  <c r="G35" s="1"/>
  <c r="G43" i="253"/>
  <c r="Q44" i="292"/>
  <c r="H191" s="1"/>
  <c r="I191" s="1"/>
  <c r="J191" s="1"/>
  <c r="N31" i="175"/>
  <c r="N35" s="1"/>
  <c r="N43" i="253"/>
  <c r="F38" i="175" l="1"/>
  <c r="J38"/>
  <c r="I38"/>
  <c r="D38"/>
  <c r="E38"/>
  <c r="M38"/>
  <c r="N38"/>
  <c r="G38"/>
  <c r="O38"/>
  <c r="H38"/>
  <c r="L38"/>
  <c r="K38"/>
  <c r="H36" l="1"/>
  <c r="I45" i="292"/>
  <c r="H39" i="175"/>
  <c r="H40" s="1"/>
  <c r="O36"/>
  <c r="O39"/>
  <c r="O40" s="1"/>
  <c r="P45" i="292"/>
  <c r="N39" i="175"/>
  <c r="N40" s="1"/>
  <c r="N36"/>
  <c r="O45" i="292"/>
  <c r="F39" i="175"/>
  <c r="F40" s="1"/>
  <c r="F36"/>
  <c r="G45" i="292"/>
  <c r="L36" i="175"/>
  <c r="L39"/>
  <c r="L40" s="1"/>
  <c r="M45" i="292"/>
  <c r="E39" i="175"/>
  <c r="E40" s="1"/>
  <c r="E36"/>
  <c r="F45" i="292"/>
  <c r="I36" i="175"/>
  <c r="J45" i="292"/>
  <c r="I39" i="175"/>
  <c r="I40" s="1"/>
  <c r="K36"/>
  <c r="K39"/>
  <c r="K40" s="1"/>
  <c r="L45" i="292"/>
  <c r="G36" i="175"/>
  <c r="G39"/>
  <c r="G40" s="1"/>
  <c r="H45" i="292"/>
  <c r="J39" i="175"/>
  <c r="J40" s="1"/>
  <c r="J36"/>
  <c r="K45" i="292"/>
  <c r="M36" i="175"/>
  <c r="M39"/>
  <c r="M40" s="1"/>
  <c r="N45" i="292"/>
  <c r="D36" i="175"/>
  <c r="D39"/>
  <c r="D40" s="1"/>
  <c r="E45" i="292"/>
  <c r="I44" i="175" l="1"/>
  <c r="I48" s="1"/>
  <c r="I44" i="253"/>
  <c r="I154" s="1"/>
  <c r="O44" i="175"/>
  <c r="O48" s="1"/>
  <c r="O44" i="253"/>
  <c r="O154" s="1"/>
  <c r="G44" i="175"/>
  <c r="G48" s="1"/>
  <c r="G44" i="253"/>
  <c r="G154" s="1"/>
  <c r="L44" i="175"/>
  <c r="L48" s="1"/>
  <c r="L44" i="253"/>
  <c r="L154" s="1"/>
  <c r="F44" i="175"/>
  <c r="F48" s="1"/>
  <c r="F44" i="253"/>
  <c r="F154" s="1"/>
  <c r="D44" i="175"/>
  <c r="D48" s="1"/>
  <c r="D44" i="253"/>
  <c r="D154" s="1"/>
  <c r="K44" i="175"/>
  <c r="K48" s="1"/>
  <c r="K44" i="253"/>
  <c r="K154" s="1"/>
  <c r="N44" i="175"/>
  <c r="N48" s="1"/>
  <c r="N44" i="253"/>
  <c r="N154" s="1"/>
  <c r="H44" i="175"/>
  <c r="H48" s="1"/>
  <c r="H44" i="253"/>
  <c r="H154" s="1"/>
  <c r="Q45" i="292"/>
  <c r="H192" s="1"/>
  <c r="I192" s="1"/>
  <c r="J192" s="1"/>
  <c r="M44" i="175"/>
  <c r="M48" s="1"/>
  <c r="M44" i="253"/>
  <c r="M154" s="1"/>
  <c r="J44" i="175"/>
  <c r="J48" s="1"/>
  <c r="J44" i="253"/>
  <c r="J154" s="1"/>
  <c r="E44" i="175"/>
  <c r="E48" s="1"/>
  <c r="E44" i="253"/>
  <c r="E154" s="1"/>
  <c r="E51" i="175" l="1"/>
  <c r="M51"/>
  <c r="N51"/>
  <c r="D51"/>
  <c r="L51"/>
  <c r="I51"/>
  <c r="J51"/>
  <c r="H51"/>
  <c r="K51"/>
  <c r="F51"/>
  <c r="G51"/>
  <c r="O51"/>
  <c r="K49" l="1"/>
  <c r="K52"/>
  <c r="K53" s="1"/>
  <c r="L46" i="292"/>
  <c r="J52" i="175"/>
  <c r="J53" s="1"/>
  <c r="J49"/>
  <c r="K46" i="292"/>
  <c r="N52" i="175"/>
  <c r="N53" s="1"/>
  <c r="N49"/>
  <c r="O46" i="292"/>
  <c r="G49" i="175"/>
  <c r="G52"/>
  <c r="G53" s="1"/>
  <c r="H46" i="292"/>
  <c r="L49" i="175"/>
  <c r="M46" i="292"/>
  <c r="L52" i="175"/>
  <c r="L53" s="1"/>
  <c r="E52"/>
  <c r="E53" s="1"/>
  <c r="E49"/>
  <c r="F46" i="292"/>
  <c r="H49" i="175"/>
  <c r="H52"/>
  <c r="H53" s="1"/>
  <c r="I46" i="292"/>
  <c r="O49" i="175"/>
  <c r="O52"/>
  <c r="O53" s="1"/>
  <c r="P46" i="292"/>
  <c r="F52" i="175"/>
  <c r="F53" s="1"/>
  <c r="F49"/>
  <c r="G46" i="292"/>
  <c r="I52" i="175"/>
  <c r="I53" s="1"/>
  <c r="I49"/>
  <c r="J46" i="292"/>
  <c r="D49" i="175"/>
  <c r="D52"/>
  <c r="D53" s="1"/>
  <c r="E46" i="292"/>
  <c r="M52" i="175"/>
  <c r="M53" s="1"/>
  <c r="M49"/>
  <c r="N46" i="292"/>
  <c r="F5" i="176" l="1"/>
  <c r="F9" s="1"/>
  <c r="F45" i="253"/>
  <c r="K5" i="176"/>
  <c r="K9" s="1"/>
  <c r="K45" i="253"/>
  <c r="Q46" i="292"/>
  <c r="H193" s="1"/>
  <c r="I193" s="1"/>
  <c r="J193" s="1"/>
  <c r="E152"/>
  <c r="M5" i="176"/>
  <c r="M9" s="1"/>
  <c r="M45" i="253"/>
  <c r="O5" i="176"/>
  <c r="O9" s="1"/>
  <c r="O45" i="253"/>
  <c r="L5" i="176"/>
  <c r="L9" s="1"/>
  <c r="L45" i="253"/>
  <c r="G5" i="176"/>
  <c r="G9" s="1"/>
  <c r="G45" i="253"/>
  <c r="N5" i="176"/>
  <c r="N9" s="1"/>
  <c r="N45" i="253"/>
  <c r="D5" i="176"/>
  <c r="D9" s="1"/>
  <c r="D45" i="253"/>
  <c r="I5" i="176"/>
  <c r="I9" s="1"/>
  <c r="I45" i="253"/>
  <c r="H5" i="176"/>
  <c r="H9" s="1"/>
  <c r="H45" i="253"/>
  <c r="E5" i="176"/>
  <c r="E9" s="1"/>
  <c r="E45" i="253"/>
  <c r="J5" i="176"/>
  <c r="J9" s="1"/>
  <c r="J45" i="253"/>
  <c r="J12" i="176" l="1"/>
  <c r="H12"/>
  <c r="D12"/>
  <c r="G12"/>
  <c r="O12"/>
  <c r="F12"/>
  <c r="E12"/>
  <c r="I12"/>
  <c r="N12"/>
  <c r="L12"/>
  <c r="M12"/>
  <c r="K12"/>
  <c r="N13" l="1"/>
  <c r="N14" s="1"/>
  <c r="N10"/>
  <c r="O52" i="292"/>
  <c r="O10" i="176"/>
  <c r="O13"/>
  <c r="O14" s="1"/>
  <c r="P52" i="292"/>
  <c r="J13" i="176"/>
  <c r="J14" s="1"/>
  <c r="J10"/>
  <c r="K52" i="292"/>
  <c r="M13" i="176"/>
  <c r="M14" s="1"/>
  <c r="M10"/>
  <c r="N52" i="292"/>
  <c r="E13" i="176"/>
  <c r="E14" s="1"/>
  <c r="E10"/>
  <c r="F52" i="292"/>
  <c r="D10" i="176"/>
  <c r="D13"/>
  <c r="D14" s="1"/>
  <c r="E52" i="292"/>
  <c r="K10" i="176"/>
  <c r="K13"/>
  <c r="K14" s="1"/>
  <c r="L52" i="292"/>
  <c r="F13" i="176"/>
  <c r="F14" s="1"/>
  <c r="F10"/>
  <c r="G52" i="292"/>
  <c r="G10" i="176"/>
  <c r="G13"/>
  <c r="G14" s="1"/>
  <c r="H52" i="292"/>
  <c r="L10" i="176"/>
  <c r="M52" i="292"/>
  <c r="L13" i="176"/>
  <c r="L14" s="1"/>
  <c r="I13"/>
  <c r="I14" s="1"/>
  <c r="I10"/>
  <c r="J52" i="292"/>
  <c r="H10" i="176"/>
  <c r="H13"/>
  <c r="H14" s="1"/>
  <c r="I52" i="292"/>
  <c r="I18" i="176" l="1"/>
  <c r="I22" s="1"/>
  <c r="I51" i="253"/>
  <c r="D18" i="176"/>
  <c r="D22" s="1"/>
  <c r="D51" i="253"/>
  <c r="E18" i="176"/>
  <c r="E22" s="1"/>
  <c r="E51" i="253"/>
  <c r="O18" i="176"/>
  <c r="O22" s="1"/>
  <c r="O51" i="253"/>
  <c r="N18" i="176"/>
  <c r="N22" s="1"/>
  <c r="N51" i="253"/>
  <c r="H18" i="176"/>
  <c r="H22" s="1"/>
  <c r="H51" i="253"/>
  <c r="L18" i="176"/>
  <c r="L22" s="1"/>
  <c r="L51" i="253"/>
  <c r="G18" i="176"/>
  <c r="G22" s="1"/>
  <c r="G51" i="253"/>
  <c r="F18" i="176"/>
  <c r="F22" s="1"/>
  <c r="F51" i="253"/>
  <c r="Q52" i="292"/>
  <c r="M18" i="176"/>
  <c r="M22" s="1"/>
  <c r="M51" i="253"/>
  <c r="J18" i="176"/>
  <c r="J22" s="1"/>
  <c r="J51" i="253"/>
  <c r="K18" i="176"/>
  <c r="K22" s="1"/>
  <c r="K51" i="253"/>
  <c r="J25" i="176" l="1"/>
  <c r="K25"/>
  <c r="M25"/>
  <c r="F25"/>
  <c r="L25"/>
  <c r="N25"/>
  <c r="E25"/>
  <c r="I25"/>
  <c r="G25"/>
  <c r="H25"/>
  <c r="O25"/>
  <c r="D25"/>
  <c r="O23" l="1"/>
  <c r="P53" i="292"/>
  <c r="O26" i="176"/>
  <c r="O27" s="1"/>
  <c r="G23"/>
  <c r="G26"/>
  <c r="G27" s="1"/>
  <c r="H53" i="292"/>
  <c r="J26" i="176"/>
  <c r="J27" s="1"/>
  <c r="J23"/>
  <c r="K53" i="292"/>
  <c r="E26" i="176"/>
  <c r="E27" s="1"/>
  <c r="E23"/>
  <c r="F53" i="292"/>
  <c r="L23" i="176"/>
  <c r="L26"/>
  <c r="L27" s="1"/>
  <c r="M53" i="292"/>
  <c r="M26" i="176"/>
  <c r="M27" s="1"/>
  <c r="M23"/>
  <c r="N53" i="292"/>
  <c r="N26" i="176"/>
  <c r="N27" s="1"/>
  <c r="N23"/>
  <c r="O53" i="292"/>
  <c r="F26" i="176"/>
  <c r="F27" s="1"/>
  <c r="F23"/>
  <c r="G53" i="292"/>
  <c r="K23" i="176"/>
  <c r="K26"/>
  <c r="K27" s="1"/>
  <c r="L53" i="292"/>
  <c r="D23" i="176"/>
  <c r="E53" i="292"/>
  <c r="D26" i="176"/>
  <c r="D27" s="1"/>
  <c r="H23"/>
  <c r="H26"/>
  <c r="H27" s="1"/>
  <c r="I53" i="292"/>
  <c r="I26" i="176"/>
  <c r="I27" s="1"/>
  <c r="I23"/>
  <c r="J53" i="292"/>
  <c r="H31" i="176" l="1"/>
  <c r="H35" s="1"/>
  <c r="H52" i="253"/>
  <c r="Q53" i="292"/>
  <c r="H194" s="1"/>
  <c r="I194" s="1"/>
  <c r="J194" s="1"/>
  <c r="G31" i="176"/>
  <c r="G35" s="1"/>
  <c r="G52" i="253"/>
  <c r="I31" i="176"/>
  <c r="I35" s="1"/>
  <c r="I52" i="253"/>
  <c r="D31" i="176"/>
  <c r="D35" s="1"/>
  <c r="D52" i="253"/>
  <c r="K31" i="176"/>
  <c r="K35" s="1"/>
  <c r="K52" i="253"/>
  <c r="F31" i="176"/>
  <c r="F35" s="1"/>
  <c r="F52" i="253"/>
  <c r="L31" i="176"/>
  <c r="L35" s="1"/>
  <c r="L52" i="253"/>
  <c r="E31" i="176"/>
  <c r="E35" s="1"/>
  <c r="E52" i="253"/>
  <c r="N31" i="176"/>
  <c r="N35" s="1"/>
  <c r="N52" i="253"/>
  <c r="J31" i="176"/>
  <c r="J35" s="1"/>
  <c r="J52" i="253"/>
  <c r="O31" i="176"/>
  <c r="O35" s="1"/>
  <c r="O52" i="253"/>
  <c r="M31" i="176"/>
  <c r="M35" s="1"/>
  <c r="M52" i="253"/>
  <c r="G38" i="176" l="1"/>
  <c r="H38"/>
  <c r="M38"/>
  <c r="O38"/>
  <c r="N38"/>
  <c r="L38"/>
  <c r="K38"/>
  <c r="I38"/>
  <c r="J38"/>
  <c r="E38"/>
  <c r="F38"/>
  <c r="D38"/>
  <c r="D36" l="1"/>
  <c r="E54" i="292"/>
  <c r="D39" i="176"/>
  <c r="D40" s="1"/>
  <c r="J39"/>
  <c r="J40" s="1"/>
  <c r="J36"/>
  <c r="K54" i="292"/>
  <c r="N39" i="176"/>
  <c r="N40" s="1"/>
  <c r="N36"/>
  <c r="O54" i="292"/>
  <c r="G36" i="176"/>
  <c r="H54" i="292"/>
  <c r="G39" i="176"/>
  <c r="G40" s="1"/>
  <c r="E39"/>
  <c r="E40" s="1"/>
  <c r="E36"/>
  <c r="F54" i="292"/>
  <c r="K36" i="176"/>
  <c r="K39"/>
  <c r="K40" s="1"/>
  <c r="L54" i="292"/>
  <c r="M39" i="176"/>
  <c r="M40" s="1"/>
  <c r="M36"/>
  <c r="N54" i="292"/>
  <c r="F39" i="176"/>
  <c r="F40" s="1"/>
  <c r="F36"/>
  <c r="G54" i="292"/>
  <c r="O36" i="176"/>
  <c r="O39"/>
  <c r="O40" s="1"/>
  <c r="P54" i="292"/>
  <c r="I39" i="176"/>
  <c r="I40" s="1"/>
  <c r="I36"/>
  <c r="J54" i="292"/>
  <c r="L36" i="176"/>
  <c r="L39"/>
  <c r="L40" s="1"/>
  <c r="M54" i="292"/>
  <c r="H36" i="176"/>
  <c r="H39"/>
  <c r="H40" s="1"/>
  <c r="I54" i="292"/>
  <c r="K44" i="176" l="1"/>
  <c r="K48" s="1"/>
  <c r="K53" i="253"/>
  <c r="E44" i="176"/>
  <c r="E48" s="1"/>
  <c r="E53" i="253"/>
  <c r="O44" i="176"/>
  <c r="O48" s="1"/>
  <c r="O53" i="253"/>
  <c r="F44" i="176"/>
  <c r="F48" s="1"/>
  <c r="F53" i="253"/>
  <c r="Q54" i="292"/>
  <c r="H195" s="1"/>
  <c r="I195" s="1"/>
  <c r="J195" s="1"/>
  <c r="H44" i="176"/>
  <c r="H48" s="1"/>
  <c r="H53" i="253"/>
  <c r="M44" i="176"/>
  <c r="M48" s="1"/>
  <c r="M53" i="253"/>
  <c r="N44" i="176"/>
  <c r="N48" s="1"/>
  <c r="N53" i="253"/>
  <c r="D44" i="176"/>
  <c r="D48" s="1"/>
  <c r="D53" i="253"/>
  <c r="L44" i="176"/>
  <c r="L48" s="1"/>
  <c r="L53" i="253"/>
  <c r="I44" i="176"/>
  <c r="I48" s="1"/>
  <c r="I53" i="253"/>
  <c r="G44" i="176"/>
  <c r="G48" s="1"/>
  <c r="G53" i="253"/>
  <c r="J44" i="176"/>
  <c r="J48" s="1"/>
  <c r="J53" i="253"/>
  <c r="N51" i="176" l="1"/>
  <c r="H51"/>
  <c r="K51"/>
  <c r="J51"/>
  <c r="I51"/>
  <c r="F51"/>
  <c r="D51"/>
  <c r="M51"/>
  <c r="E51"/>
  <c r="G51"/>
  <c r="L51"/>
  <c r="O51"/>
  <c r="L49" l="1"/>
  <c r="M55" i="292"/>
  <c r="L52" i="176"/>
  <c r="L53" s="1"/>
  <c r="M52"/>
  <c r="M53" s="1"/>
  <c r="M49"/>
  <c r="N55" i="292"/>
  <c r="K49" i="176"/>
  <c r="K52"/>
  <c r="K53" s="1"/>
  <c r="L55" i="292"/>
  <c r="N52" i="176"/>
  <c r="N53" s="1"/>
  <c r="N49"/>
  <c r="O55" i="292"/>
  <c r="E52" i="176"/>
  <c r="E53" s="1"/>
  <c r="E49"/>
  <c r="F55" i="292"/>
  <c r="D49" i="176"/>
  <c r="D52"/>
  <c r="D53" s="1"/>
  <c r="E55" i="292"/>
  <c r="I52" i="176"/>
  <c r="I53" s="1"/>
  <c r="I49"/>
  <c r="J55" i="292"/>
  <c r="O49" i="176"/>
  <c r="O52"/>
  <c r="O53" s="1"/>
  <c r="P55" i="292"/>
  <c r="F52" i="176"/>
  <c r="F53" s="1"/>
  <c r="F49"/>
  <c r="G55" i="292"/>
  <c r="J52" i="176"/>
  <c r="J53" s="1"/>
  <c r="J49"/>
  <c r="K55" i="292"/>
  <c r="G49" i="176"/>
  <c r="H55" i="292"/>
  <c r="G52" i="176"/>
  <c r="G53" s="1"/>
  <c r="H49"/>
  <c r="H52"/>
  <c r="H53" s="1"/>
  <c r="I55" i="292"/>
  <c r="J57" i="176" l="1"/>
  <c r="J61" s="1"/>
  <c r="J54" i="253"/>
  <c r="J155" s="1"/>
  <c r="G57" i="176"/>
  <c r="G61" s="1"/>
  <c r="G54" i="253"/>
  <c r="G155" s="1"/>
  <c r="F57" i="176"/>
  <c r="F61" s="1"/>
  <c r="F54" i="253"/>
  <c r="F155" s="1"/>
  <c r="D57" i="176"/>
  <c r="D61" s="1"/>
  <c r="D54" i="253"/>
  <c r="D155" s="1"/>
  <c r="E57" i="176"/>
  <c r="E61" s="1"/>
  <c r="E54" i="253"/>
  <c r="E155" s="1"/>
  <c r="Q55" i="292"/>
  <c r="H196" s="1"/>
  <c r="I196" s="1"/>
  <c r="J196" s="1"/>
  <c r="N57" i="176"/>
  <c r="N61" s="1"/>
  <c r="N54" i="253"/>
  <c r="N155" s="1"/>
  <c r="H57" i="176"/>
  <c r="H61" s="1"/>
  <c r="H54" i="253"/>
  <c r="H155" s="1"/>
  <c r="O57" i="176"/>
  <c r="O61" s="1"/>
  <c r="O54" i="253"/>
  <c r="O155" s="1"/>
  <c r="I57" i="176"/>
  <c r="I61" s="1"/>
  <c r="I54" i="253"/>
  <c r="I155" s="1"/>
  <c r="L57" i="176"/>
  <c r="L61" s="1"/>
  <c r="L54" i="253"/>
  <c r="L155" s="1"/>
  <c r="K57" i="176"/>
  <c r="K61" s="1"/>
  <c r="K54" i="253"/>
  <c r="K155" s="1"/>
  <c r="M57" i="176"/>
  <c r="M61" s="1"/>
  <c r="M54" i="253"/>
  <c r="M155" s="1"/>
  <c r="M64" i="176" l="1"/>
  <c r="L64"/>
  <c r="O64"/>
  <c r="N64"/>
  <c r="E64"/>
  <c r="F64"/>
  <c r="J64"/>
  <c r="K64"/>
  <c r="I64"/>
  <c r="H64"/>
  <c r="D64"/>
  <c r="G64"/>
  <c r="K62" l="1"/>
  <c r="L56" i="292"/>
  <c r="K65" i="176"/>
  <c r="K66" s="1"/>
  <c r="K5" i="177" s="1"/>
  <c r="K9" s="1"/>
  <c r="J62" i="176"/>
  <c r="K56" i="292"/>
  <c r="J65" i="176"/>
  <c r="J66" s="1"/>
  <c r="J5" i="177" s="1"/>
  <c r="J9" s="1"/>
  <c r="O62" i="176"/>
  <c r="P56" i="292"/>
  <c r="O65" i="176"/>
  <c r="O66" s="1"/>
  <c r="O5" i="177" s="1"/>
  <c r="O9" s="1"/>
  <c r="I62" i="176"/>
  <c r="J56" i="292"/>
  <c r="I65" i="176"/>
  <c r="I66" s="1"/>
  <c r="I5" i="177" s="1"/>
  <c r="I9" s="1"/>
  <c r="E62" i="176"/>
  <c r="F56" i="292"/>
  <c r="E65" i="176"/>
  <c r="E66" s="1"/>
  <c r="E5" i="177" s="1"/>
  <c r="E9" s="1"/>
  <c r="M62" i="176"/>
  <c r="N56" i="292"/>
  <c r="M65" i="176"/>
  <c r="M66" s="1"/>
  <c r="M5" i="177" s="1"/>
  <c r="M9" s="1"/>
  <c r="G62" i="176"/>
  <c r="H56" i="292"/>
  <c r="G65" i="176"/>
  <c r="G66" s="1"/>
  <c r="G5" i="177" s="1"/>
  <c r="G9" s="1"/>
  <c r="F62" i="176"/>
  <c r="G56" i="292"/>
  <c r="F65" i="176"/>
  <c r="F66" s="1"/>
  <c r="F5" i="177" s="1"/>
  <c r="F9" s="1"/>
  <c r="N62" i="176"/>
  <c r="O56" i="292"/>
  <c r="N65" i="176"/>
  <c r="N66" s="1"/>
  <c r="N5" i="177" s="1"/>
  <c r="N9" s="1"/>
  <c r="D62" i="176"/>
  <c r="E56" i="292"/>
  <c r="D65" i="176"/>
  <c r="D66" s="1"/>
  <c r="D5" i="177" s="1"/>
  <c r="D9" s="1"/>
  <c r="H62" i="176"/>
  <c r="I56" i="292"/>
  <c r="H65" i="176"/>
  <c r="H66" s="1"/>
  <c r="H5" i="177" s="1"/>
  <c r="H9" s="1"/>
  <c r="L62" i="176"/>
  <c r="M56" i="292"/>
  <c r="L65" i="176"/>
  <c r="L66" s="1"/>
  <c r="L5" i="177" s="1"/>
  <c r="L9" s="1"/>
  <c r="L12" l="1"/>
  <c r="H12"/>
  <c r="Q56" i="292"/>
  <c r="H197" s="1"/>
  <c r="I197" s="1"/>
  <c r="J197" s="1"/>
  <c r="E153"/>
  <c r="G12" i="177"/>
  <c r="O12"/>
  <c r="D12"/>
  <c r="M12"/>
  <c r="J12"/>
  <c r="N12"/>
  <c r="E12"/>
  <c r="K12"/>
  <c r="F12"/>
  <c r="I12"/>
  <c r="K10" l="1"/>
  <c r="K13"/>
  <c r="K14" s="1"/>
  <c r="L62" i="292"/>
  <c r="L154" s="1"/>
  <c r="N13" i="177"/>
  <c r="N14" s="1"/>
  <c r="N10"/>
  <c r="O62" i="292"/>
  <c r="O154" s="1"/>
  <c r="O10" i="177"/>
  <c r="P62" i="292"/>
  <c r="P154" s="1"/>
  <c r="O13" i="177"/>
  <c r="O14" s="1"/>
  <c r="L10"/>
  <c r="L13"/>
  <c r="L14" s="1"/>
  <c r="M62" i="292"/>
  <c r="M154" s="1"/>
  <c r="M13" i="177"/>
  <c r="M14" s="1"/>
  <c r="M10"/>
  <c r="N62" i="292"/>
  <c r="N154" s="1"/>
  <c r="F13" i="177"/>
  <c r="F14" s="1"/>
  <c r="F10"/>
  <c r="G62" i="292"/>
  <c r="G154" s="1"/>
  <c r="J13" i="177"/>
  <c r="J14" s="1"/>
  <c r="J10"/>
  <c r="K62" i="292"/>
  <c r="K154" s="1"/>
  <c r="G10" i="177"/>
  <c r="G13"/>
  <c r="G14" s="1"/>
  <c r="H62" i="292"/>
  <c r="H154" s="1"/>
  <c r="I13" i="177"/>
  <c r="I14" s="1"/>
  <c r="I10"/>
  <c r="J62" i="292"/>
  <c r="J154" s="1"/>
  <c r="E13" i="177"/>
  <c r="E14" s="1"/>
  <c r="E10"/>
  <c r="F62" i="292"/>
  <c r="F154" s="1"/>
  <c r="D10" i="177"/>
  <c r="D13"/>
  <c r="D14" s="1"/>
  <c r="E62" i="292"/>
  <c r="H10" i="177"/>
  <c r="I62" i="292"/>
  <c r="I154" s="1"/>
  <c r="R154" s="1"/>
  <c r="H13" i="177"/>
  <c r="H14" s="1"/>
  <c r="G18" l="1"/>
  <c r="G22" s="1"/>
  <c r="G60" i="253"/>
  <c r="J18" i="177"/>
  <c r="J22" s="1"/>
  <c r="J60" i="253"/>
  <c r="H18" i="177"/>
  <c r="H22" s="1"/>
  <c r="H60" i="253"/>
  <c r="D18" i="177"/>
  <c r="D22" s="1"/>
  <c r="D60" i="253"/>
  <c r="E18" i="177"/>
  <c r="E22" s="1"/>
  <c r="E60" i="253"/>
  <c r="F18" i="177"/>
  <c r="F22" s="1"/>
  <c r="F60" i="253"/>
  <c r="O18" i="177"/>
  <c r="O22" s="1"/>
  <c r="O60" i="253"/>
  <c r="Q62" i="292"/>
  <c r="E154"/>
  <c r="Q154" s="1"/>
  <c r="I18" i="177"/>
  <c r="I22" s="1"/>
  <c r="I60" i="253"/>
  <c r="M18" i="177"/>
  <c r="M22" s="1"/>
  <c r="M60" i="253"/>
  <c r="K18" i="177"/>
  <c r="K22" s="1"/>
  <c r="K60" i="253"/>
  <c r="L18" i="177"/>
  <c r="L22" s="1"/>
  <c r="L60" i="253"/>
  <c r="N18" i="177"/>
  <c r="N22" s="1"/>
  <c r="N60" i="253"/>
  <c r="O67" i="187" l="1"/>
  <c r="O69" s="1"/>
  <c r="O76" s="1"/>
  <c r="L67"/>
  <c r="L69" s="1"/>
  <c r="L76" s="1"/>
  <c r="J67"/>
  <c r="J69" s="1"/>
  <c r="J76" s="1"/>
  <c r="P67"/>
  <c r="P69" s="1"/>
  <c r="P76" s="1"/>
  <c r="F67"/>
  <c r="F69" s="1"/>
  <c r="F76" s="1"/>
  <c r="I67"/>
  <c r="I69" s="1"/>
  <c r="I76" s="1"/>
  <c r="H67"/>
  <c r="H69" s="1"/>
  <c r="H76" s="1"/>
  <c r="M67"/>
  <c r="M69" s="1"/>
  <c r="M76" s="1"/>
  <c r="N67"/>
  <c r="N69" s="1"/>
  <c r="N76" s="1"/>
  <c r="G67"/>
  <c r="G69" s="1"/>
  <c r="G76" s="1"/>
  <c r="E67"/>
  <c r="E69" s="1"/>
  <c r="E76" s="1"/>
  <c r="D33" i="177"/>
  <c r="D35" s="1"/>
  <c r="D34"/>
  <c r="K67" i="187"/>
  <c r="K69" s="1"/>
  <c r="K76" s="1"/>
  <c r="D8" i="144" l="1"/>
  <c r="D21"/>
  <c r="M8"/>
  <c r="M21"/>
  <c r="G8"/>
  <c r="G21"/>
  <c r="E8"/>
  <c r="E21"/>
  <c r="I8"/>
  <c r="I21"/>
  <c r="N8"/>
  <c r="N21"/>
  <c r="D37" i="177"/>
  <c r="J8" i="144"/>
  <c r="J21"/>
  <c r="D29" i="177"/>
  <c r="L8" i="144"/>
  <c r="L21"/>
  <c r="O8"/>
  <c r="O21"/>
  <c r="K8"/>
  <c r="K21"/>
  <c r="F8"/>
  <c r="F21"/>
  <c r="H8"/>
  <c r="H21"/>
  <c r="Q21" s="1"/>
  <c r="Q28" s="1"/>
  <c r="D36" i="177"/>
  <c r="Q8" i="144" l="1"/>
  <c r="Q15" s="1"/>
  <c r="Q31" s="1"/>
  <c r="P8"/>
  <c r="P15" s="1"/>
  <c r="P21"/>
  <c r="P28" s="1"/>
  <c r="D5" i="245"/>
  <c r="D9" s="1"/>
  <c r="D61" i="253"/>
  <c r="D156" s="1"/>
  <c r="E34" i="177"/>
  <c r="E36" s="1"/>
  <c r="E33"/>
  <c r="P31" i="144" l="1"/>
  <c r="E29" i="177"/>
  <c r="E35"/>
  <c r="E37" s="1"/>
  <c r="D12" i="245"/>
  <c r="F34" i="177"/>
  <c r="F33" l="1"/>
  <c r="E5" i="245"/>
  <c r="E9" s="1"/>
  <c r="E61" i="253"/>
  <c r="E156" s="1"/>
  <c r="F29" i="177"/>
  <c r="F36"/>
  <c r="D13" i="245"/>
  <c r="D14" s="1"/>
  <c r="D10"/>
  <c r="E69" i="292"/>
  <c r="F35" i="177"/>
  <c r="F37" s="1"/>
  <c r="G33" l="1"/>
  <c r="G35" s="1"/>
  <c r="H33" s="1"/>
  <c r="F5" i="245"/>
  <c r="F9" s="1"/>
  <c r="F61" i="253"/>
  <c r="F156" s="1"/>
  <c r="G34" i="177"/>
  <c r="E12" i="245"/>
  <c r="D18"/>
  <c r="D22" s="1"/>
  <c r="D67" i="253"/>
  <c r="E13" i="245" l="1"/>
  <c r="E14" s="1"/>
  <c r="E10"/>
  <c r="F69" i="292"/>
  <c r="F12" i="245"/>
  <c r="H35" i="177"/>
  <c r="I33" s="1"/>
  <c r="D25" i="245"/>
  <c r="G37" i="177"/>
  <c r="G29"/>
  <c r="G36"/>
  <c r="I35" l="1"/>
  <c r="J33" s="1"/>
  <c r="D26" i="245"/>
  <c r="D27" s="1"/>
  <c r="D23"/>
  <c r="E72" i="292"/>
  <c r="E18" i="245"/>
  <c r="E22" s="1"/>
  <c r="E67" i="253"/>
  <c r="H34" i="177"/>
  <c r="H36" s="1"/>
  <c r="G5" i="245"/>
  <c r="G9" s="1"/>
  <c r="G61" i="253"/>
  <c r="G156" s="1"/>
  <c r="F10" i="245"/>
  <c r="F13"/>
  <c r="F14" s="1"/>
  <c r="G69" i="292"/>
  <c r="I34" i="177" l="1"/>
  <c r="I36" s="1"/>
  <c r="H37"/>
  <c r="H29"/>
  <c r="C13" i="300" s="1"/>
  <c r="G12" i="245"/>
  <c r="E25"/>
  <c r="J35" i="177"/>
  <c r="K33" s="1"/>
  <c r="F18" i="245"/>
  <c r="F22" s="1"/>
  <c r="F67" i="253"/>
  <c r="D31" i="245"/>
  <c r="D35" s="1"/>
  <c r="D70" i="253"/>
  <c r="D157" s="1"/>
  <c r="J34" i="177" l="1"/>
  <c r="J36" s="1"/>
  <c r="E26" i="245"/>
  <c r="E27" s="1"/>
  <c r="E23"/>
  <c r="F72" i="292"/>
  <c r="F25" i="245"/>
  <c r="I37" i="177"/>
  <c r="I29"/>
  <c r="D13" i="300" s="1"/>
  <c r="D38" i="245"/>
  <c r="L33" i="177"/>
  <c r="K35"/>
  <c r="G10" i="245"/>
  <c r="H69" i="292"/>
  <c r="G13" i="245"/>
  <c r="G14" s="1"/>
  <c r="H5"/>
  <c r="H9" s="1"/>
  <c r="H61" i="253"/>
  <c r="H156" s="1"/>
  <c r="G18" i="245" l="1"/>
  <c r="G22" s="1"/>
  <c r="G67" i="253"/>
  <c r="L35" i="177"/>
  <c r="M33" s="1"/>
  <c r="I5" i="245"/>
  <c r="I9" s="1"/>
  <c r="I61" i="253"/>
  <c r="I156" s="1"/>
  <c r="H12" i="245"/>
  <c r="J37" i="177"/>
  <c r="J29"/>
  <c r="E13" i="300" s="1"/>
  <c r="F23" i="245"/>
  <c r="G72" i="292"/>
  <c r="F26" i="245"/>
  <c r="F27" s="1"/>
  <c r="K34" i="177"/>
  <c r="K36"/>
  <c r="D39" i="245"/>
  <c r="D40" s="1"/>
  <c r="D36"/>
  <c r="E70" i="292"/>
  <c r="E31" i="245"/>
  <c r="E35" s="1"/>
  <c r="E70" i="253"/>
  <c r="E157" s="1"/>
  <c r="M35" i="177" l="1"/>
  <c r="N33" s="1"/>
  <c r="K37"/>
  <c r="K29"/>
  <c r="F13" i="300" s="1"/>
  <c r="H13" i="245"/>
  <c r="H14" s="1"/>
  <c r="H10"/>
  <c r="I69" i="292"/>
  <c r="E38" i="245"/>
  <c r="L34" i="177"/>
  <c r="L36" s="1"/>
  <c r="D44" i="245"/>
  <c r="D48" s="1"/>
  <c r="D68" i="253"/>
  <c r="J5" i="245"/>
  <c r="J9" s="1"/>
  <c r="J61" i="253"/>
  <c r="J156" s="1"/>
  <c r="I12" i="245"/>
  <c r="G25"/>
  <c r="F31"/>
  <c r="F35" s="1"/>
  <c r="F70" i="253"/>
  <c r="F157" s="1"/>
  <c r="L37" i="177" l="1"/>
  <c r="L29"/>
  <c r="G13" i="300" s="1"/>
  <c r="K5" i="245"/>
  <c r="K9" s="1"/>
  <c r="K61" i="253"/>
  <c r="K156" s="1"/>
  <c r="J12" i="245"/>
  <c r="I13"/>
  <c r="I14" s="1"/>
  <c r="I10"/>
  <c r="J69" i="292"/>
  <c r="D51" i="245"/>
  <c r="E39"/>
  <c r="E40" s="1"/>
  <c r="E36"/>
  <c r="F70" i="292"/>
  <c r="N35" i="177"/>
  <c r="O33" s="1"/>
  <c r="O35" s="1"/>
  <c r="G23" i="245"/>
  <c r="G26"/>
  <c r="G27" s="1"/>
  <c r="H72" i="292"/>
  <c r="F38" i="245"/>
  <c r="H18"/>
  <c r="H22" s="1"/>
  <c r="H67" i="253"/>
  <c r="M34" i="177"/>
  <c r="M36" s="1"/>
  <c r="F36" i="245" l="1"/>
  <c r="F39"/>
  <c r="F40" s="1"/>
  <c r="G70" i="292"/>
  <c r="E44" i="245"/>
  <c r="E48" s="1"/>
  <c r="E68" i="253"/>
  <c r="L5" i="245"/>
  <c r="L9" s="1"/>
  <c r="L61" i="253"/>
  <c r="L156" s="1"/>
  <c r="J10" i="245"/>
  <c r="K69" i="292"/>
  <c r="J13" i="245"/>
  <c r="J14" s="1"/>
  <c r="N34" i="177"/>
  <c r="N36" s="1"/>
  <c r="M37"/>
  <c r="M29"/>
  <c r="H25" i="245"/>
  <c r="G31"/>
  <c r="G35" s="1"/>
  <c r="G70" i="253"/>
  <c r="G157" s="1"/>
  <c r="K12" i="245"/>
  <c r="D52"/>
  <c r="D53" s="1"/>
  <c r="D49"/>
  <c r="E71" i="292"/>
  <c r="I18" i="245"/>
  <c r="I22" s="1"/>
  <c r="I67" i="253"/>
  <c r="O34" i="177" l="1"/>
  <c r="O36" s="1"/>
  <c r="H26" i="245"/>
  <c r="H27" s="1"/>
  <c r="H23"/>
  <c r="I72" i="292"/>
  <c r="E155"/>
  <c r="G38" i="245"/>
  <c r="M5"/>
  <c r="M9" s="1"/>
  <c r="M61" i="253"/>
  <c r="M156" s="1"/>
  <c r="J18" i="245"/>
  <c r="J22" s="1"/>
  <c r="J67" i="253"/>
  <c r="L12" i="245"/>
  <c r="F44"/>
  <c r="F48" s="1"/>
  <c r="F68" i="253"/>
  <c r="K10" i="245"/>
  <c r="L69" i="292"/>
  <c r="K13" i="245"/>
  <c r="K14" s="1"/>
  <c r="I25"/>
  <c r="D57"/>
  <c r="D61" s="1"/>
  <c r="D69" i="253"/>
  <c r="N37" i="177"/>
  <c r="N29"/>
  <c r="E51" i="245"/>
  <c r="N5" l="1"/>
  <c r="N9" s="1"/>
  <c r="N61" i="253"/>
  <c r="N156" s="1"/>
  <c r="L13" i="245"/>
  <c r="L14" s="1"/>
  <c r="L10"/>
  <c r="M69" i="292"/>
  <c r="E52" i="245"/>
  <c r="E53" s="1"/>
  <c r="E49"/>
  <c r="F71" i="292"/>
  <c r="D64" i="245"/>
  <c r="K18"/>
  <c r="K22" s="1"/>
  <c r="K67" i="253"/>
  <c r="F51" i="245"/>
  <c r="J25"/>
  <c r="O37" i="177"/>
  <c r="O29"/>
  <c r="G36" i="245"/>
  <c r="G39"/>
  <c r="G40" s="1"/>
  <c r="H70" i="292"/>
  <c r="I26" i="245"/>
  <c r="I27" s="1"/>
  <c r="I23"/>
  <c r="J72" i="292"/>
  <c r="M12" i="245"/>
  <c r="H31"/>
  <c r="H35" s="1"/>
  <c r="H70" i="253"/>
  <c r="H157" s="1"/>
  <c r="O5" i="245" l="1"/>
  <c r="O9" s="1"/>
  <c r="O61" i="253"/>
  <c r="O156" s="1"/>
  <c r="F49" i="245"/>
  <c r="F52"/>
  <c r="F53" s="1"/>
  <c r="G71" i="292"/>
  <c r="G155" s="1"/>
  <c r="N12" i="245"/>
  <c r="M13"/>
  <c r="M14" s="1"/>
  <c r="M10"/>
  <c r="N69" i="292"/>
  <c r="I31" i="245"/>
  <c r="I35" s="1"/>
  <c r="I70" i="253"/>
  <c r="I157" s="1"/>
  <c r="D62" i="245"/>
  <c r="D65"/>
  <c r="D66" s="1"/>
  <c r="D5" i="244" s="1"/>
  <c r="D9" s="1"/>
  <c r="E57" i="245"/>
  <c r="E61" s="1"/>
  <c r="E69" i="253"/>
  <c r="J23" i="245"/>
  <c r="J26"/>
  <c r="J27" s="1"/>
  <c r="K72" i="292"/>
  <c r="K25" i="245"/>
  <c r="L18"/>
  <c r="L22" s="1"/>
  <c r="L67" i="253"/>
  <c r="H38" i="245"/>
  <c r="G44"/>
  <c r="G48" s="1"/>
  <c r="G68" i="253"/>
  <c r="F155" i="292"/>
  <c r="K23" i="245" l="1"/>
  <c r="K26"/>
  <c r="K27" s="1"/>
  <c r="L72" i="292"/>
  <c r="G51" i="245"/>
  <c r="J31"/>
  <c r="J35" s="1"/>
  <c r="J70" i="253"/>
  <c r="J157" s="1"/>
  <c r="L25" i="245"/>
  <c r="D12" i="244"/>
  <c r="E64" i="245"/>
  <c r="I38"/>
  <c r="F57"/>
  <c r="F61" s="1"/>
  <c r="F69" i="253"/>
  <c r="M18" i="245"/>
  <c r="M22" s="1"/>
  <c r="M67" i="253"/>
  <c r="O12" i="245"/>
  <c r="H39"/>
  <c r="H40" s="1"/>
  <c r="H36"/>
  <c r="I70" i="292"/>
  <c r="N10" i="245"/>
  <c r="N13"/>
  <c r="N14" s="1"/>
  <c r="O69" i="292"/>
  <c r="F64" i="245" l="1"/>
  <c r="E62"/>
  <c r="E65"/>
  <c r="E66" s="1"/>
  <c r="E5" i="244" s="1"/>
  <c r="E9" s="1"/>
  <c r="G49" i="245"/>
  <c r="G52"/>
  <c r="G53" s="1"/>
  <c r="H71" i="292"/>
  <c r="L26" i="245"/>
  <c r="L27" s="1"/>
  <c r="L23"/>
  <c r="M72" i="292"/>
  <c r="J38" i="245"/>
  <c r="K31"/>
  <c r="K35" s="1"/>
  <c r="K70" i="253"/>
  <c r="K157" s="1"/>
  <c r="O10" i="245"/>
  <c r="O13"/>
  <c r="O14" s="1"/>
  <c r="P69" i="292"/>
  <c r="I39" i="245"/>
  <c r="I40" s="1"/>
  <c r="I36"/>
  <c r="J70" i="292"/>
  <c r="N18" i="245"/>
  <c r="N22" s="1"/>
  <c r="N67" i="253"/>
  <c r="H44" i="245"/>
  <c r="H48" s="1"/>
  <c r="H68" i="253"/>
  <c r="M25" i="245"/>
  <c r="D13" i="244"/>
  <c r="D14" s="1"/>
  <c r="D10"/>
  <c r="E78" i="292"/>
  <c r="O18" i="245" l="1"/>
  <c r="O22" s="1"/>
  <c r="O67" i="253"/>
  <c r="J36" i="245"/>
  <c r="K70" i="292"/>
  <c r="J39" i="245"/>
  <c r="J40" s="1"/>
  <c r="F62"/>
  <c r="F65"/>
  <c r="F66" s="1"/>
  <c r="F5" i="244" s="1"/>
  <c r="F9" s="1"/>
  <c r="I44" i="245"/>
  <c r="I48" s="1"/>
  <c r="I68" i="253"/>
  <c r="D18" i="244"/>
  <c r="D22" s="1"/>
  <c r="D76" i="253"/>
  <c r="H51" i="245"/>
  <c r="L31"/>
  <c r="L35" s="1"/>
  <c r="L70" i="253"/>
  <c r="L157" s="1"/>
  <c r="G57" i="245"/>
  <c r="G61" s="1"/>
  <c r="G69" i="253"/>
  <c r="K38" i="245"/>
  <c r="H155" i="292"/>
  <c r="M26" i="245"/>
  <c r="M27" s="1"/>
  <c r="M23"/>
  <c r="N72" i="292"/>
  <c r="N25" i="245"/>
  <c r="Q69" i="292"/>
  <c r="E12" i="244"/>
  <c r="E13" l="1"/>
  <c r="E14" s="1"/>
  <c r="E10"/>
  <c r="F78" i="292"/>
  <c r="L38" i="245"/>
  <c r="D25" i="244"/>
  <c r="N23" i="245"/>
  <c r="N26"/>
  <c r="N27" s="1"/>
  <c r="O72" i="292"/>
  <c r="M31" i="245"/>
  <c r="M35" s="1"/>
  <c r="M70" i="253"/>
  <c r="M157" s="1"/>
  <c r="K36" i="245"/>
  <c r="K39"/>
  <c r="K40" s="1"/>
  <c r="L70" i="292"/>
  <c r="J44" i="245"/>
  <c r="J48" s="1"/>
  <c r="J68" i="253"/>
  <c r="O25" i="245"/>
  <c r="G64"/>
  <c r="I51"/>
  <c r="H52"/>
  <c r="H53" s="1"/>
  <c r="H49"/>
  <c r="I71" i="292"/>
  <c r="F12" i="244"/>
  <c r="O23" i="245" l="1"/>
  <c r="O26"/>
  <c r="O27" s="1"/>
  <c r="P72" i="292"/>
  <c r="Q72" s="1"/>
  <c r="H200" s="1"/>
  <c r="I200" s="1"/>
  <c r="J200" s="1"/>
  <c r="F10" i="244"/>
  <c r="F13"/>
  <c r="F14" s="1"/>
  <c r="G78" i="292"/>
  <c r="J51" i="245"/>
  <c r="L39"/>
  <c r="L40" s="1"/>
  <c r="L36"/>
  <c r="M70" i="292"/>
  <c r="E18" i="244"/>
  <c r="E22" s="1"/>
  <c r="E76" i="253"/>
  <c r="H57" i="245"/>
  <c r="H61" s="1"/>
  <c r="H69" i="253"/>
  <c r="G62" i="245"/>
  <c r="G65"/>
  <c r="G66" s="1"/>
  <c r="G5" i="244" s="1"/>
  <c r="G9" s="1"/>
  <c r="N31" i="245"/>
  <c r="N35" s="1"/>
  <c r="N70" i="253"/>
  <c r="N157" s="1"/>
  <c r="I52" i="245"/>
  <c r="I53" s="1"/>
  <c r="I49"/>
  <c r="J71" i="292"/>
  <c r="J155" s="1"/>
  <c r="D15" i="300" s="1"/>
  <c r="K44" i="245"/>
  <c r="K48" s="1"/>
  <c r="K68" i="253"/>
  <c r="D26" i="244"/>
  <c r="D27" s="1"/>
  <c r="D31" s="1"/>
  <c r="D35" s="1"/>
  <c r="D23"/>
  <c r="E80" i="292"/>
  <c r="I155"/>
  <c r="M38" i="245"/>
  <c r="C15" i="300" l="1"/>
  <c r="D38" i="244"/>
  <c r="G12"/>
  <c r="L44" i="245"/>
  <c r="L48" s="1"/>
  <c r="L68" i="253"/>
  <c r="F18" i="244"/>
  <c r="F22" s="1"/>
  <c r="F76" i="253"/>
  <c r="N38" i="245"/>
  <c r="H64"/>
  <c r="O31"/>
  <c r="O35" s="1"/>
  <c r="O70" i="253"/>
  <c r="O157" s="1"/>
  <c r="K51" i="245"/>
  <c r="J49"/>
  <c r="J52"/>
  <c r="J53" s="1"/>
  <c r="K71" i="292"/>
  <c r="M39" i="245"/>
  <c r="M40" s="1"/>
  <c r="M36"/>
  <c r="N70" i="292"/>
  <c r="I57" i="245"/>
  <c r="I61" s="1"/>
  <c r="I69" i="253"/>
  <c r="E25" i="244"/>
  <c r="K49" i="245" l="1"/>
  <c r="L71" i="292"/>
  <c r="L155" s="1"/>
  <c r="F15" i="300" s="1"/>
  <c r="K52" i="245"/>
  <c r="K53" s="1"/>
  <c r="O38"/>
  <c r="N36"/>
  <c r="N39"/>
  <c r="N40" s="1"/>
  <c r="O70" i="292"/>
  <c r="L51" i="245"/>
  <c r="E26" i="244"/>
  <c r="E27" s="1"/>
  <c r="E31" s="1"/>
  <c r="E35" s="1"/>
  <c r="E23"/>
  <c r="F80" i="292"/>
  <c r="I64" i="245"/>
  <c r="D36" i="244"/>
  <c r="E79" i="292"/>
  <c r="D39" i="244"/>
  <c r="D40" s="1"/>
  <c r="M44" i="245"/>
  <c r="M48" s="1"/>
  <c r="M68" i="253"/>
  <c r="J57" i="245"/>
  <c r="J61" s="1"/>
  <c r="J69" i="253"/>
  <c r="F25" i="244"/>
  <c r="K155" i="292"/>
  <c r="H62" i="245"/>
  <c r="H65"/>
  <c r="H66" s="1"/>
  <c r="H5" i="244" s="1"/>
  <c r="H9" s="1"/>
  <c r="G10"/>
  <c r="G13"/>
  <c r="G14" s="1"/>
  <c r="H78" i="292"/>
  <c r="E15" i="300" l="1"/>
  <c r="H12" i="244"/>
  <c r="O36" i="245"/>
  <c r="P70" i="292"/>
  <c r="O39" i="245"/>
  <c r="O40" s="1"/>
  <c r="L52"/>
  <c r="L53" s="1"/>
  <c r="L49"/>
  <c r="M71" i="292"/>
  <c r="M155" s="1"/>
  <c r="G15" i="300" s="1"/>
  <c r="E156" i="292"/>
  <c r="G18" i="244"/>
  <c r="G22" s="1"/>
  <c r="G76" i="253"/>
  <c r="D5" i="243"/>
  <c r="D9" s="1"/>
  <c r="D77" i="253"/>
  <c r="D158" s="1"/>
  <c r="I62" i="245"/>
  <c r="I65"/>
  <c r="I66" s="1"/>
  <c r="I5" i="244" s="1"/>
  <c r="I9" s="1"/>
  <c r="N44" i="245"/>
  <c r="N48" s="1"/>
  <c r="N68" i="253"/>
  <c r="K57" i="245"/>
  <c r="K61" s="1"/>
  <c r="K69" i="253"/>
  <c r="J64" i="245"/>
  <c r="F23" i="244"/>
  <c r="F26"/>
  <c r="F27" s="1"/>
  <c r="F31" s="1"/>
  <c r="F35" s="1"/>
  <c r="G80" i="292"/>
  <c r="M51" i="245"/>
  <c r="E38" i="244"/>
  <c r="R155" i="292" l="1"/>
  <c r="I12" i="244"/>
  <c r="M52" i="245"/>
  <c r="M53" s="1"/>
  <c r="M49"/>
  <c r="N71" i="292"/>
  <c r="N155" s="1"/>
  <c r="N51" i="245"/>
  <c r="D12" i="243"/>
  <c r="O44" i="245"/>
  <c r="O48" s="1"/>
  <c r="O68" i="253"/>
  <c r="L57" i="245"/>
  <c r="L61" s="1"/>
  <c r="L69" i="253"/>
  <c r="H13" i="244"/>
  <c r="H14" s="1"/>
  <c r="H10"/>
  <c r="I78" i="292"/>
  <c r="J62" i="245"/>
  <c r="J65"/>
  <c r="J66" s="1"/>
  <c r="J5" i="244" s="1"/>
  <c r="J9" s="1"/>
  <c r="E36"/>
  <c r="F79" i="292"/>
  <c r="E39" i="244"/>
  <c r="E40" s="1"/>
  <c r="F38"/>
  <c r="K64" i="245"/>
  <c r="G25" i="244"/>
  <c r="Q70" i="292"/>
  <c r="H198" s="1"/>
  <c r="I198" s="1"/>
  <c r="J198" s="1"/>
  <c r="F156" l="1"/>
  <c r="G23" i="244"/>
  <c r="H80" i="292"/>
  <c r="G26" i="244"/>
  <c r="G27" s="1"/>
  <c r="G31" s="1"/>
  <c r="G35" s="1"/>
  <c r="L64" i="245"/>
  <c r="I13" i="244"/>
  <c r="I14" s="1"/>
  <c r="I10"/>
  <c r="J78" i="292"/>
  <c r="K62" i="245"/>
  <c r="K65"/>
  <c r="K66" s="1"/>
  <c r="K5" i="244" s="1"/>
  <c r="K9" s="1"/>
  <c r="E5" i="243"/>
  <c r="E9" s="1"/>
  <c r="E77" i="253"/>
  <c r="E158" s="1"/>
  <c r="H18" i="244"/>
  <c r="H22" s="1"/>
  <c r="H76" i="253"/>
  <c r="O51" i="245"/>
  <c r="N49"/>
  <c r="O71" i="292"/>
  <c r="O155" s="1"/>
  <c r="N52" i="245"/>
  <c r="N53" s="1"/>
  <c r="D13" i="243"/>
  <c r="D14" s="1"/>
  <c r="D10"/>
  <c r="E86" i="292"/>
  <c r="F36" i="244"/>
  <c r="G79" i="292"/>
  <c r="G156" s="1"/>
  <c r="F39" i="244"/>
  <c r="F40" s="1"/>
  <c r="J12"/>
  <c r="M57" i="245"/>
  <c r="M61" s="1"/>
  <c r="M69" i="253"/>
  <c r="H25" i="244" l="1"/>
  <c r="L62" i="245"/>
  <c r="L65"/>
  <c r="L66" s="1"/>
  <c r="L5" i="244" s="1"/>
  <c r="L9" s="1"/>
  <c r="G38"/>
  <c r="M64" i="245"/>
  <c r="F5" i="243"/>
  <c r="F9" s="1"/>
  <c r="F77" i="253"/>
  <c r="F158" s="1"/>
  <c r="K12" i="244"/>
  <c r="I18"/>
  <c r="I22" s="1"/>
  <c r="I76" i="253"/>
  <c r="J10" i="244"/>
  <c r="K78" i="292"/>
  <c r="J13" i="244"/>
  <c r="J14" s="1"/>
  <c r="N57" i="245"/>
  <c r="N61" s="1"/>
  <c r="N69" i="253"/>
  <c r="E12" i="243"/>
  <c r="D18"/>
  <c r="D22" s="1"/>
  <c r="D83" i="253"/>
  <c r="O49" i="245"/>
  <c r="P71" i="292"/>
  <c r="O52" i="245"/>
  <c r="O53" s="1"/>
  <c r="K10" i="244" l="1"/>
  <c r="L78" i="292"/>
  <c r="K13" i="244"/>
  <c r="K14" s="1"/>
  <c r="Q71" i="292"/>
  <c r="H199" s="1"/>
  <c r="I199" s="1"/>
  <c r="J199" s="1"/>
  <c r="P155"/>
  <c r="Q155" s="1"/>
  <c r="O57" i="245"/>
  <c r="O61" s="1"/>
  <c r="O69" i="253"/>
  <c r="D25" i="243"/>
  <c r="N64" i="245"/>
  <c r="I25" i="244"/>
  <c r="F12" i="243"/>
  <c r="G36" i="244"/>
  <c r="H79" i="292"/>
  <c r="G39" i="244"/>
  <c r="G40" s="1"/>
  <c r="H26"/>
  <c r="H27" s="1"/>
  <c r="H31" s="1"/>
  <c r="H35" s="1"/>
  <c r="H23"/>
  <c r="I80" i="292"/>
  <c r="J18" i="244"/>
  <c r="J22" s="1"/>
  <c r="J76" i="253"/>
  <c r="E13" i="243"/>
  <c r="E14" s="1"/>
  <c r="E10"/>
  <c r="F86" i="292"/>
  <c r="M62" i="245"/>
  <c r="M65"/>
  <c r="M66" s="1"/>
  <c r="M5" i="244" s="1"/>
  <c r="M9" s="1"/>
  <c r="L12"/>
  <c r="H38" l="1"/>
  <c r="D26" i="243"/>
  <c r="D27" s="1"/>
  <c r="D31" s="1"/>
  <c r="D36" s="1"/>
  <c r="D23"/>
  <c r="E88" i="292"/>
  <c r="M12" i="244"/>
  <c r="E18" i="243"/>
  <c r="E22" s="1"/>
  <c r="E83" i="253"/>
  <c r="I26" i="244"/>
  <c r="I27" s="1"/>
  <c r="I31" s="1"/>
  <c r="I35" s="1"/>
  <c r="I23"/>
  <c r="J80" i="292"/>
  <c r="N62" i="245"/>
  <c r="N65"/>
  <c r="N66" s="1"/>
  <c r="N5" i="244" s="1"/>
  <c r="N9" s="1"/>
  <c r="O64" i="245"/>
  <c r="H156" i="292"/>
  <c r="K18" i="244"/>
  <c r="K22" s="1"/>
  <c r="K76" i="253"/>
  <c r="L13" i="244"/>
  <c r="L14" s="1"/>
  <c r="L10"/>
  <c r="M78" i="292"/>
  <c r="J25" i="244"/>
  <c r="G5" i="243"/>
  <c r="G9" s="1"/>
  <c r="G77" i="253"/>
  <c r="G158" s="1"/>
  <c r="F10" i="243"/>
  <c r="F13"/>
  <c r="F14" s="1"/>
  <c r="G86" i="292"/>
  <c r="G12" i="243" l="1"/>
  <c r="L18" i="244"/>
  <c r="L22" s="1"/>
  <c r="L76" i="253"/>
  <c r="N12" i="244"/>
  <c r="I38"/>
  <c r="M13"/>
  <c r="M14" s="1"/>
  <c r="M10"/>
  <c r="N78" i="292"/>
  <c r="H36" i="244"/>
  <c r="I79" i="292"/>
  <c r="H39" i="244"/>
  <c r="H40" s="1"/>
  <c r="J23"/>
  <c r="J26"/>
  <c r="J27" s="1"/>
  <c r="J31" s="1"/>
  <c r="J35" s="1"/>
  <c r="K80" i="292"/>
  <c r="D39" i="243"/>
  <c r="F18"/>
  <c r="F22" s="1"/>
  <c r="F83" i="253"/>
  <c r="K25" i="244"/>
  <c r="O62" i="245"/>
  <c r="O65"/>
  <c r="O66" s="1"/>
  <c r="O5" i="244" s="1"/>
  <c r="O9" s="1"/>
  <c r="E25" i="243"/>
  <c r="O12" i="244" l="1"/>
  <c r="I36"/>
  <c r="J79" i="292"/>
  <c r="J156" s="1"/>
  <c r="D17" i="300" s="1"/>
  <c r="I39" i="244"/>
  <c r="I40" s="1"/>
  <c r="L25"/>
  <c r="E26" i="243"/>
  <c r="E27" s="1"/>
  <c r="E31" s="1"/>
  <c r="E36" s="1"/>
  <c r="E23"/>
  <c r="F88" i="292"/>
  <c r="D37" i="243"/>
  <c r="E87" i="292"/>
  <c r="D40" i="243"/>
  <c r="D41" s="1"/>
  <c r="G10"/>
  <c r="H86" i="292"/>
  <c r="G13" i="243"/>
  <c r="G14" s="1"/>
  <c r="I156" i="292"/>
  <c r="M18" i="244"/>
  <c r="M22" s="1"/>
  <c r="M76" i="253"/>
  <c r="N10" i="244"/>
  <c r="N13"/>
  <c r="N14" s="1"/>
  <c r="O78" i="292"/>
  <c r="K23" i="244"/>
  <c r="K26"/>
  <c r="K27" s="1"/>
  <c r="K31" s="1"/>
  <c r="K35" s="1"/>
  <c r="L80" i="292"/>
  <c r="F25" i="243"/>
  <c r="J38" i="244"/>
  <c r="H5" i="243"/>
  <c r="H9" s="1"/>
  <c r="H77" i="253"/>
  <c r="C17" i="300" l="1"/>
  <c r="F23" i="243"/>
  <c r="G88" i="292"/>
  <c r="F26" i="243"/>
  <c r="F27" s="1"/>
  <c r="F31" s="1"/>
  <c r="F36" s="1"/>
  <c r="H158" i="253"/>
  <c r="C19" i="300"/>
  <c r="G18" i="243"/>
  <c r="G22" s="1"/>
  <c r="G83" i="253"/>
  <c r="E157" i="292"/>
  <c r="E39" i="243"/>
  <c r="I5"/>
  <c r="I9" s="1"/>
  <c r="I77" i="253"/>
  <c r="D5" i="241"/>
  <c r="D9" s="1"/>
  <c r="D84" i="253"/>
  <c r="D159" s="1"/>
  <c r="O10" i="244"/>
  <c r="P78" i="292"/>
  <c r="O13" i="244"/>
  <c r="O14" s="1"/>
  <c r="J36"/>
  <c r="K79" i="292"/>
  <c r="K156" s="1"/>
  <c r="E17" i="300" s="1"/>
  <c r="J39" i="244"/>
  <c r="J40" s="1"/>
  <c r="K38"/>
  <c r="N18"/>
  <c r="N22" s="1"/>
  <c r="N76" i="253"/>
  <c r="L26" i="244"/>
  <c r="L27" s="1"/>
  <c r="L31" s="1"/>
  <c r="L35" s="1"/>
  <c r="L23"/>
  <c r="M80" i="292"/>
  <c r="H12" i="243"/>
  <c r="M25" i="244"/>
  <c r="N25" l="1"/>
  <c r="J5" i="243"/>
  <c r="J9" s="1"/>
  <c r="J77" i="253"/>
  <c r="Q78" i="292"/>
  <c r="H13" i="243"/>
  <c r="H14" s="1"/>
  <c r="H10"/>
  <c r="I86" i="292"/>
  <c r="I158" i="253"/>
  <c r="D19" i="300"/>
  <c r="L38" i="244"/>
  <c r="O18"/>
  <c r="O22" s="1"/>
  <c r="O76" i="253"/>
  <c r="D12" i="241"/>
  <c r="G25" i="243"/>
  <c r="K36" i="244"/>
  <c r="L79" i="292"/>
  <c r="L156" s="1"/>
  <c r="F17" i="300" s="1"/>
  <c r="K39" i="244"/>
  <c r="K40" s="1"/>
  <c r="E37" i="243"/>
  <c r="F87" i="292"/>
  <c r="E40" i="243"/>
  <c r="E41" s="1"/>
  <c r="F39"/>
  <c r="M26" i="244"/>
  <c r="M27" s="1"/>
  <c r="M31" s="1"/>
  <c r="M35" s="1"/>
  <c r="M23"/>
  <c r="N80" i="292"/>
  <c r="I12" i="243"/>
  <c r="N23" i="244" l="1"/>
  <c r="N26"/>
  <c r="N27" s="1"/>
  <c r="N31" s="1"/>
  <c r="N35" s="1"/>
  <c r="O80" i="292"/>
  <c r="D13" i="241"/>
  <c r="D14" s="1"/>
  <c r="D18" s="1"/>
  <c r="D22" s="1"/>
  <c r="D10"/>
  <c r="L36" i="244"/>
  <c r="M79" i="292"/>
  <c r="M156" s="1"/>
  <c r="G17" i="300" s="1"/>
  <c r="L39" i="244"/>
  <c r="L40" s="1"/>
  <c r="M38"/>
  <c r="F157" i="292"/>
  <c r="E5" i="241"/>
  <c r="E9" s="1"/>
  <c r="E84" i="253"/>
  <c r="E159" s="1"/>
  <c r="F37" i="243"/>
  <c r="G87" i="292"/>
  <c r="G157" s="1"/>
  <c r="F40" i="243"/>
  <c r="F41" s="1"/>
  <c r="K5"/>
  <c r="K9" s="1"/>
  <c r="K77" i="253"/>
  <c r="O25" i="244"/>
  <c r="J12" i="243"/>
  <c r="I13"/>
  <c r="I14" s="1"/>
  <c r="I10"/>
  <c r="J86" i="292"/>
  <c r="G23" i="243"/>
  <c r="G26"/>
  <c r="G27" s="1"/>
  <c r="G31" s="1"/>
  <c r="G36" s="1"/>
  <c r="H88" i="292"/>
  <c r="H18" i="243"/>
  <c r="H22" s="1"/>
  <c r="H83" i="253"/>
  <c r="J158"/>
  <c r="E19" i="300"/>
  <c r="R156" i="292" l="1"/>
  <c r="K158" i="253"/>
  <c r="F19" i="300"/>
  <c r="G39" i="243"/>
  <c r="I18"/>
  <c r="I22" s="1"/>
  <c r="I83" i="253"/>
  <c r="N38" i="244"/>
  <c r="M36"/>
  <c r="N79" i="292"/>
  <c r="N156" s="1"/>
  <c r="M39" i="244"/>
  <c r="M40" s="1"/>
  <c r="O23"/>
  <c r="P80" i="292"/>
  <c r="Q80" s="1"/>
  <c r="H201" s="1"/>
  <c r="I201" s="1"/>
  <c r="J201" s="1"/>
  <c r="O26" i="244"/>
  <c r="O27" s="1"/>
  <c r="O31" s="1"/>
  <c r="O35" s="1"/>
  <c r="F5" i="241"/>
  <c r="F9" s="1"/>
  <c r="F84" i="253"/>
  <c r="F159" s="1"/>
  <c r="E12" i="241"/>
  <c r="H25" i="243"/>
  <c r="J10"/>
  <c r="J13"/>
  <c r="J14" s="1"/>
  <c r="K86" i="292"/>
  <c r="K12" i="243"/>
  <c r="L5"/>
  <c r="L9" s="1"/>
  <c r="L77" i="253"/>
  <c r="D25" i="241"/>
  <c r="D26" l="1"/>
  <c r="D27" s="1"/>
  <c r="D23"/>
  <c r="E109" i="292"/>
  <c r="H26" i="243"/>
  <c r="H27" s="1"/>
  <c r="H31" s="1"/>
  <c r="H36" s="1"/>
  <c r="H23"/>
  <c r="I88" i="292"/>
  <c r="F12" i="241"/>
  <c r="M5" i="243"/>
  <c r="M9" s="1"/>
  <c r="M77" i="253"/>
  <c r="M158" s="1"/>
  <c r="L12" i="243"/>
  <c r="J18"/>
  <c r="J22" s="1"/>
  <c r="J83" i="253"/>
  <c r="O38" i="244"/>
  <c r="L158" i="253"/>
  <c r="G19" i="300"/>
  <c r="I25" i="243"/>
  <c r="K10"/>
  <c r="K13"/>
  <c r="K14" s="1"/>
  <c r="L86" i="292"/>
  <c r="E13" i="241"/>
  <c r="E14" s="1"/>
  <c r="E18" s="1"/>
  <c r="E22" s="1"/>
  <c r="E10"/>
  <c r="N36" i="244"/>
  <c r="O79" i="292"/>
  <c r="O156" s="1"/>
  <c r="N39" i="244"/>
  <c r="N40" s="1"/>
  <c r="G37" i="243"/>
  <c r="H87" i="292"/>
  <c r="G40" i="243"/>
  <c r="G41" s="1"/>
  <c r="H157" i="292" l="1"/>
  <c r="G5" i="241"/>
  <c r="G9" s="1"/>
  <c r="G84" i="253"/>
  <c r="G159" s="1"/>
  <c r="N5" i="243"/>
  <c r="N9" s="1"/>
  <c r="N77" i="253"/>
  <c r="N158" s="1"/>
  <c r="E25" i="241"/>
  <c r="O36" i="244"/>
  <c r="P79" i="292"/>
  <c r="O39" i="244"/>
  <c r="O40" s="1"/>
  <c r="L13" i="243"/>
  <c r="L14" s="1"/>
  <c r="L10"/>
  <c r="M86" i="292"/>
  <c r="M12" i="243"/>
  <c r="D31" i="241"/>
  <c r="D35" s="1"/>
  <c r="D105" i="253"/>
  <c r="J25" i="243"/>
  <c r="K18"/>
  <c r="K22" s="1"/>
  <c r="K83" i="253"/>
  <c r="F10" i="241"/>
  <c r="F13"/>
  <c r="F14" s="1"/>
  <c r="F18" s="1"/>
  <c r="F22" s="1"/>
  <c r="I23" i="243"/>
  <c r="I26"/>
  <c r="I27" s="1"/>
  <c r="I31" s="1"/>
  <c r="I36" s="1"/>
  <c r="J88" i="292"/>
  <c r="H39" i="243"/>
  <c r="K25" l="1"/>
  <c r="D38" i="241"/>
  <c r="N12" i="243"/>
  <c r="Q79" i="292"/>
  <c r="P156"/>
  <c r="Q156" s="1"/>
  <c r="M13" i="243"/>
  <c r="M14" s="1"/>
  <c r="M10"/>
  <c r="N86" i="292"/>
  <c r="O5" i="243"/>
  <c r="O9" s="1"/>
  <c r="O77" i="253"/>
  <c r="O158" s="1"/>
  <c r="E26" i="241"/>
  <c r="E27" s="1"/>
  <c r="E23"/>
  <c r="F109" i="292"/>
  <c r="G12" i="241"/>
  <c r="H37" i="243"/>
  <c r="I87" i="292"/>
  <c r="H40" i="243"/>
  <c r="H41" s="1"/>
  <c r="I39"/>
  <c r="F25" i="241"/>
  <c r="J23" i="243"/>
  <c r="J26"/>
  <c r="J27" s="1"/>
  <c r="J31" s="1"/>
  <c r="J36" s="1"/>
  <c r="K88" i="292"/>
  <c r="L18" i="243"/>
  <c r="L22" s="1"/>
  <c r="L83" i="253"/>
  <c r="J39" i="243" l="1"/>
  <c r="N10"/>
  <c r="O86" i="292"/>
  <c r="N13" i="243"/>
  <c r="N14" s="1"/>
  <c r="I37"/>
  <c r="J87" i="292"/>
  <c r="J157" s="1"/>
  <c r="I40" i="243"/>
  <c r="I41" s="1"/>
  <c r="I157" i="292"/>
  <c r="K23" i="243"/>
  <c r="L88" i="292"/>
  <c r="K26" i="243"/>
  <c r="K27" s="1"/>
  <c r="K31" s="1"/>
  <c r="K36" s="1"/>
  <c r="F23" i="241"/>
  <c r="G109" i="292"/>
  <c r="F26" i="241"/>
  <c r="F27" s="1"/>
  <c r="O12" i="243"/>
  <c r="L25"/>
  <c r="H5" i="241"/>
  <c r="H9" s="1"/>
  <c r="H84" i="253"/>
  <c r="H159" s="1"/>
  <c r="M18" i="243"/>
  <c r="M22" s="1"/>
  <c r="M83" i="253"/>
  <c r="G10" i="241"/>
  <c r="G13"/>
  <c r="G14" s="1"/>
  <c r="G18" s="1"/>
  <c r="G22" s="1"/>
  <c r="E31"/>
  <c r="E35" s="1"/>
  <c r="E105" i="253"/>
  <c r="D39" i="241"/>
  <c r="D40" s="1"/>
  <c r="D36"/>
  <c r="E110" i="292"/>
  <c r="D44" i="241" l="1"/>
  <c r="D48" s="1"/>
  <c r="D106" i="253"/>
  <c r="H12" i="241"/>
  <c r="G25"/>
  <c r="O10" i="243"/>
  <c r="O13"/>
  <c r="O14" s="1"/>
  <c r="P86" i="292"/>
  <c r="F31" i="241"/>
  <c r="F35" s="1"/>
  <c r="F105" i="253"/>
  <c r="I5" i="241"/>
  <c r="I9" s="1"/>
  <c r="I84" i="253"/>
  <c r="I159" s="1"/>
  <c r="N18" i="243"/>
  <c r="N22" s="1"/>
  <c r="N83" i="253"/>
  <c r="J37" i="243"/>
  <c r="K87" i="292"/>
  <c r="K157" s="1"/>
  <c r="J40" i="243"/>
  <c r="J41" s="1"/>
  <c r="E38" i="241"/>
  <c r="M25" i="243"/>
  <c r="K39"/>
  <c r="L26"/>
  <c r="L27" s="1"/>
  <c r="L31" s="1"/>
  <c r="L36" s="1"/>
  <c r="L23"/>
  <c r="M88" i="292"/>
  <c r="L39" i="243" l="1"/>
  <c r="I12" i="241"/>
  <c r="O18" i="243"/>
  <c r="O22" s="1"/>
  <c r="O83" i="253"/>
  <c r="H13" i="241"/>
  <c r="H14" s="1"/>
  <c r="H18" s="1"/>
  <c r="H22" s="1"/>
  <c r="H10"/>
  <c r="Q86" i="292"/>
  <c r="D51" i="241"/>
  <c r="E39"/>
  <c r="E40" s="1"/>
  <c r="E36"/>
  <c r="F110" i="292"/>
  <c r="K37" i="243"/>
  <c r="L87" i="292"/>
  <c r="L157" s="1"/>
  <c r="K40" i="243"/>
  <c r="K41" s="1"/>
  <c r="J5" i="241"/>
  <c r="J9" s="1"/>
  <c r="J84" i="253"/>
  <c r="J159" s="1"/>
  <c r="N25" i="243"/>
  <c r="F38" i="241"/>
  <c r="G23"/>
  <c r="G26"/>
  <c r="G27" s="1"/>
  <c r="H109" i="292"/>
  <c r="M23" i="243"/>
  <c r="M26"/>
  <c r="M27" s="1"/>
  <c r="M31" s="1"/>
  <c r="M36" s="1"/>
  <c r="N88" i="292"/>
  <c r="O25" i="243" l="1"/>
  <c r="E44" i="241"/>
  <c r="E48" s="1"/>
  <c r="E106" i="253"/>
  <c r="L37" i="243"/>
  <c r="M87" i="292"/>
  <c r="M157" s="1"/>
  <c r="R157" s="1"/>
  <c r="L40" i="243"/>
  <c r="L41" s="1"/>
  <c r="G31" i="241"/>
  <c r="G35" s="1"/>
  <c r="G105" i="253"/>
  <c r="N23" i="243"/>
  <c r="N26"/>
  <c r="N27" s="1"/>
  <c r="N31" s="1"/>
  <c r="N36" s="1"/>
  <c r="O88" i="292"/>
  <c r="K5" i="241"/>
  <c r="K9" s="1"/>
  <c r="K84" i="253"/>
  <c r="K159" s="1"/>
  <c r="H25" i="241"/>
  <c r="I13"/>
  <c r="I14" s="1"/>
  <c r="I18" s="1"/>
  <c r="I22" s="1"/>
  <c r="I10"/>
  <c r="M39" i="243"/>
  <c r="F36" i="241"/>
  <c r="F39"/>
  <c r="F40" s="1"/>
  <c r="G110" i="292"/>
  <c r="J12" i="241"/>
  <c r="D52"/>
  <c r="D53" s="1"/>
  <c r="D49"/>
  <c r="E111" i="292"/>
  <c r="F44" i="241" l="1"/>
  <c r="F48" s="1"/>
  <c r="F106" i="253"/>
  <c r="M37" i="243"/>
  <c r="N87" i="292"/>
  <c r="N157" s="1"/>
  <c r="M40" i="243"/>
  <c r="M41" s="1"/>
  <c r="H26" i="241"/>
  <c r="H27" s="1"/>
  <c r="H23"/>
  <c r="I109" i="292"/>
  <c r="G38" i="241"/>
  <c r="O23" i="243"/>
  <c r="P88" i="292"/>
  <c r="Q88" s="1"/>
  <c r="H202" s="1"/>
  <c r="I202" s="1"/>
  <c r="J202" s="1"/>
  <c r="O26" i="243"/>
  <c r="O27" s="1"/>
  <c r="O31" s="1"/>
  <c r="O36" s="1"/>
  <c r="D57" i="241"/>
  <c r="D61" s="1"/>
  <c r="D107" i="253"/>
  <c r="L5" i="241"/>
  <c r="L9" s="1"/>
  <c r="L84" i="253"/>
  <c r="L159" s="1"/>
  <c r="E51" i="241"/>
  <c r="I25"/>
  <c r="K12"/>
  <c r="J10"/>
  <c r="J13"/>
  <c r="J14" s="1"/>
  <c r="J18" s="1"/>
  <c r="J22" s="1"/>
  <c r="N39" i="243"/>
  <c r="I26" i="241" l="1"/>
  <c r="I27" s="1"/>
  <c r="I23"/>
  <c r="J109" i="292"/>
  <c r="J25" i="241"/>
  <c r="E52"/>
  <c r="E53" s="1"/>
  <c r="E49"/>
  <c r="F111" i="292"/>
  <c r="D64" i="241"/>
  <c r="M5"/>
  <c r="M9" s="1"/>
  <c r="M84" i="253"/>
  <c r="M159" s="1"/>
  <c r="F51" i="241"/>
  <c r="G36"/>
  <c r="H110" i="292"/>
  <c r="G39" i="241"/>
  <c r="G40" s="1"/>
  <c r="H31"/>
  <c r="H35" s="1"/>
  <c r="H105" i="253"/>
  <c r="N37" i="243"/>
  <c r="O87" i="292"/>
  <c r="O157" s="1"/>
  <c r="N40" i="243"/>
  <c r="N41" s="1"/>
  <c r="K10" i="241"/>
  <c r="K13"/>
  <c r="K14" s="1"/>
  <c r="K18" s="1"/>
  <c r="K22" s="1"/>
  <c r="L12"/>
  <c r="O39" i="243"/>
  <c r="O37" l="1"/>
  <c r="P87" i="292"/>
  <c r="O40" i="243"/>
  <c r="O41" s="1"/>
  <c r="K25" i="241"/>
  <c r="F49"/>
  <c r="F52"/>
  <c r="F53" s="1"/>
  <c r="G111" i="292"/>
  <c r="I31" i="241"/>
  <c r="I35" s="1"/>
  <c r="I105" i="253"/>
  <c r="G44" i="241"/>
  <c r="G48" s="1"/>
  <c r="G106" i="253"/>
  <c r="D62" i="241"/>
  <c r="E112" i="292"/>
  <c r="D65" i="241"/>
  <c r="D66" s="1"/>
  <c r="E57"/>
  <c r="E61" s="1"/>
  <c r="E107" i="253"/>
  <c r="M12" i="241"/>
  <c r="L13"/>
  <c r="L14" s="1"/>
  <c r="L18" s="1"/>
  <c r="L22" s="1"/>
  <c r="L10"/>
  <c r="N5"/>
  <c r="N9" s="1"/>
  <c r="N84" i="253"/>
  <c r="N159" s="1"/>
  <c r="H38" i="241"/>
  <c r="J23"/>
  <c r="J26"/>
  <c r="J27" s="1"/>
  <c r="K109" i="292"/>
  <c r="N12" i="241" l="1"/>
  <c r="D6" i="240"/>
  <c r="D10" s="1"/>
  <c r="D108" i="253"/>
  <c r="D161" s="1"/>
  <c r="G51" i="241"/>
  <c r="F57"/>
  <c r="F61" s="1"/>
  <c r="F107" i="253"/>
  <c r="K23" i="241"/>
  <c r="K26"/>
  <c r="K27" s="1"/>
  <c r="L109" i="292"/>
  <c r="Q87"/>
  <c r="P157"/>
  <c r="Q157" s="1"/>
  <c r="E64" i="241"/>
  <c r="L25"/>
  <c r="I38"/>
  <c r="O5"/>
  <c r="O9" s="1"/>
  <c r="O84" i="253"/>
  <c r="O159" s="1"/>
  <c r="J31" i="241"/>
  <c r="J35" s="1"/>
  <c r="J105" i="253"/>
  <c r="H39" i="241"/>
  <c r="H40" s="1"/>
  <c r="H36"/>
  <c r="I110" i="292"/>
  <c r="M13" i="241"/>
  <c r="M14" s="1"/>
  <c r="M18" s="1"/>
  <c r="M22" s="1"/>
  <c r="M10"/>
  <c r="E159" i="292"/>
  <c r="M25" i="241" l="1"/>
  <c r="N10"/>
  <c r="N13"/>
  <c r="N14" s="1"/>
  <c r="N18" s="1"/>
  <c r="N22" s="1"/>
  <c r="L26"/>
  <c r="L27" s="1"/>
  <c r="L23"/>
  <c r="M109" i="292"/>
  <c r="H44" i="241"/>
  <c r="H48" s="1"/>
  <c r="H106" i="253"/>
  <c r="O12" i="241"/>
  <c r="K31"/>
  <c r="K35" s="1"/>
  <c r="K105" i="253"/>
  <c r="G49" i="241"/>
  <c r="H111" i="292"/>
  <c r="G52" i="241"/>
  <c r="G53" s="1"/>
  <c r="F64"/>
  <c r="D13" i="240"/>
  <c r="J38" i="241"/>
  <c r="I39"/>
  <c r="I40" s="1"/>
  <c r="I36"/>
  <c r="J110" i="292"/>
  <c r="E62" i="241"/>
  <c r="F112" i="292"/>
  <c r="E65" i="241"/>
  <c r="E66" s="1"/>
  <c r="F159" i="292" l="1"/>
  <c r="I44" i="241"/>
  <c r="I48" s="1"/>
  <c r="I106" i="253"/>
  <c r="D14" i="240"/>
  <c r="D15" s="1"/>
  <c r="D11"/>
  <c r="G57" i="241"/>
  <c r="G61" s="1"/>
  <c r="G107" i="253"/>
  <c r="K38" i="241"/>
  <c r="H51"/>
  <c r="M26"/>
  <c r="M27" s="1"/>
  <c r="M23"/>
  <c r="N109" i="292"/>
  <c r="E6" i="240"/>
  <c r="E10" s="1"/>
  <c r="E108" i="253"/>
  <c r="E161" s="1"/>
  <c r="F62" i="241"/>
  <c r="G112" i="292"/>
  <c r="F65" i="241"/>
  <c r="F66" s="1"/>
  <c r="L31"/>
  <c r="L35" s="1"/>
  <c r="L105" i="253"/>
  <c r="J36" i="241"/>
  <c r="K110" i="292"/>
  <c r="J39" i="241"/>
  <c r="J40" s="1"/>
  <c r="O10"/>
  <c r="O13"/>
  <c r="O14" s="1"/>
  <c r="O18" s="1"/>
  <c r="O22" s="1"/>
  <c r="N25"/>
  <c r="J44" l="1"/>
  <c r="J48" s="1"/>
  <c r="J106" i="253"/>
  <c r="L38" i="241"/>
  <c r="M31"/>
  <c r="M35" s="1"/>
  <c r="M105" i="253"/>
  <c r="D19" i="240"/>
  <c r="D23" s="1"/>
  <c r="D115" i="253"/>
  <c r="O25" i="241"/>
  <c r="K36"/>
  <c r="K39"/>
  <c r="K40" s="1"/>
  <c r="L110" i="292"/>
  <c r="N23" i="241"/>
  <c r="O109" i="292"/>
  <c r="N26" i="241"/>
  <c r="N27" s="1"/>
  <c r="G64"/>
  <c r="I51"/>
  <c r="F6" i="240"/>
  <c r="F10" s="1"/>
  <c r="F108" i="253"/>
  <c r="F161" s="1"/>
  <c r="E13" i="240"/>
  <c r="H52" i="241"/>
  <c r="H53" s="1"/>
  <c r="H49"/>
  <c r="I111" i="292"/>
  <c r="L39" i="241" l="1"/>
  <c r="L40" s="1"/>
  <c r="L36"/>
  <c r="M110" i="292"/>
  <c r="I52" i="241"/>
  <c r="I53" s="1"/>
  <c r="I49"/>
  <c r="J111" i="292"/>
  <c r="E14" i="240"/>
  <c r="E15" s="1"/>
  <c r="E11"/>
  <c r="N31" i="241"/>
  <c r="N35" s="1"/>
  <c r="N105" i="253"/>
  <c r="K44" i="241"/>
  <c r="K48" s="1"/>
  <c r="K106" i="253"/>
  <c r="M38" i="241"/>
  <c r="J51"/>
  <c r="H57"/>
  <c r="H61" s="1"/>
  <c r="H107" i="253"/>
  <c r="F13" i="240"/>
  <c r="G62" i="241"/>
  <c r="H112" i="292"/>
  <c r="G65" i="241"/>
  <c r="G66" s="1"/>
  <c r="O23"/>
  <c r="O26"/>
  <c r="O27" s="1"/>
  <c r="P109" i="292"/>
  <c r="D26" i="240"/>
  <c r="F11" l="1"/>
  <c r="F14"/>
  <c r="F15" s="1"/>
  <c r="D27"/>
  <c r="D28" s="1"/>
  <c r="D24"/>
  <c r="E119" i="292"/>
  <c r="O31" i="241"/>
  <c r="O35" s="1"/>
  <c r="O105" i="253"/>
  <c r="H64" i="241"/>
  <c r="I57"/>
  <c r="I61" s="1"/>
  <c r="I107" i="253"/>
  <c r="L44" i="241"/>
  <c r="L48" s="1"/>
  <c r="L106" i="253"/>
  <c r="Q109" i="292"/>
  <c r="H212" s="1"/>
  <c r="I212" s="1"/>
  <c r="J212" s="1"/>
  <c r="H159"/>
  <c r="J49" i="241"/>
  <c r="K111" i="292"/>
  <c r="J52" i="241"/>
  <c r="J53" s="1"/>
  <c r="K51"/>
  <c r="E19" i="240"/>
  <c r="E23" s="1"/>
  <c r="E115" i="253"/>
  <c r="G6" i="240"/>
  <c r="G10" s="1"/>
  <c r="G108" i="253"/>
  <c r="G161" s="1"/>
  <c r="M39" i="241"/>
  <c r="M40" s="1"/>
  <c r="M36"/>
  <c r="N110" i="292"/>
  <c r="N38" i="241"/>
  <c r="J57" l="1"/>
  <c r="J61" s="1"/>
  <c r="J107" i="253"/>
  <c r="L51" i="241"/>
  <c r="E26" i="240"/>
  <c r="N36" i="241"/>
  <c r="N39"/>
  <c r="N40" s="1"/>
  <c r="O110" i="292"/>
  <c r="M44" i="241"/>
  <c r="M48" s="1"/>
  <c r="M106" i="253"/>
  <c r="G13" i="240"/>
  <c r="H62" i="241"/>
  <c r="I112" i="292"/>
  <c r="H65" i="241"/>
  <c r="H66" s="1"/>
  <c r="K49"/>
  <c r="K52"/>
  <c r="K53" s="1"/>
  <c r="L111" i="292"/>
  <c r="I64" i="241"/>
  <c r="O38"/>
  <c r="F19" i="240"/>
  <c r="F23" s="1"/>
  <c r="F115" i="253"/>
  <c r="D32" i="240"/>
  <c r="D36" s="1"/>
  <c r="D116" i="253"/>
  <c r="D39" i="240" l="1"/>
  <c r="K57" i="241"/>
  <c r="K61" s="1"/>
  <c r="K107" i="253"/>
  <c r="H6" i="240"/>
  <c r="H108" i="253"/>
  <c r="H161" s="1"/>
  <c r="N44" i="241"/>
  <c r="N48" s="1"/>
  <c r="N106" i="253"/>
  <c r="J64" i="241"/>
  <c r="O36"/>
  <c r="O39"/>
  <c r="O40" s="1"/>
  <c r="P110" i="292"/>
  <c r="E27" i="240"/>
  <c r="E28" s="1"/>
  <c r="E24"/>
  <c r="F119" i="292"/>
  <c r="F26" i="240"/>
  <c r="I62" i="241"/>
  <c r="J112" i="292"/>
  <c r="I65" i="241"/>
  <c r="I66" s="1"/>
  <c r="M51"/>
  <c r="G11" i="240"/>
  <c r="G14"/>
  <c r="G15" s="1"/>
  <c r="L52" i="241"/>
  <c r="L53" s="1"/>
  <c r="L49"/>
  <c r="M111" i="292"/>
  <c r="Q110" l="1"/>
  <c r="H213" s="1"/>
  <c r="I213" s="1"/>
  <c r="J213" s="1"/>
  <c r="J62" i="241"/>
  <c r="K112" i="292"/>
  <c r="J65" i="241"/>
  <c r="J66" s="1"/>
  <c r="B20" i="299"/>
  <c r="B21" s="1"/>
  <c r="H10" i="240"/>
  <c r="F24"/>
  <c r="F27"/>
  <c r="F28" s="1"/>
  <c r="G119" i="292"/>
  <c r="E32" i="240"/>
  <c r="E36" s="1"/>
  <c r="E116" i="253"/>
  <c r="D40" i="240"/>
  <c r="D41" s="1"/>
  <c r="D37"/>
  <c r="E120" i="292"/>
  <c r="I6" i="240"/>
  <c r="I108" i="253"/>
  <c r="I161" s="1"/>
  <c r="G19" i="240"/>
  <c r="G23" s="1"/>
  <c r="G115" i="253"/>
  <c r="M52" i="241"/>
  <c r="M53" s="1"/>
  <c r="M49"/>
  <c r="N111" i="292"/>
  <c r="N51" i="241"/>
  <c r="K64"/>
  <c r="L57"/>
  <c r="L61" s="1"/>
  <c r="L107" i="253"/>
  <c r="O44" i="241"/>
  <c r="O48" s="1"/>
  <c r="O106" i="253"/>
  <c r="K62" i="241" l="1"/>
  <c r="L112" i="292"/>
  <c r="K65" i="241"/>
  <c r="K66" s="1"/>
  <c r="L64"/>
  <c r="N49"/>
  <c r="N52"/>
  <c r="N53" s="1"/>
  <c r="O111" i="292"/>
  <c r="M57" i="241"/>
  <c r="M61" s="1"/>
  <c r="M107" i="253"/>
  <c r="C20" i="299"/>
  <c r="C21" s="1"/>
  <c r="I10" i="240"/>
  <c r="D45"/>
  <c r="D49" s="1"/>
  <c r="D117" i="253"/>
  <c r="F32" i="240"/>
  <c r="F36" s="1"/>
  <c r="F116" i="253"/>
  <c r="J6" i="240"/>
  <c r="J108" i="253"/>
  <c r="J161" s="1"/>
  <c r="B22" i="299"/>
  <c r="G26" i="240"/>
  <c r="E39"/>
  <c r="H13"/>
  <c r="O51" i="241"/>
  <c r="G24" i="240" l="1"/>
  <c r="H119" i="292"/>
  <c r="G27" i="240"/>
  <c r="G28" s="1"/>
  <c r="I13"/>
  <c r="O49" i="241"/>
  <c r="P111" i="292"/>
  <c r="O52" i="241"/>
  <c r="O53" s="1"/>
  <c r="D20" i="299"/>
  <c r="D21" s="1"/>
  <c r="J10" i="240"/>
  <c r="D52"/>
  <c r="M64" i="241"/>
  <c r="L62"/>
  <c r="M112" i="292"/>
  <c r="L65" i="241"/>
  <c r="L66" s="1"/>
  <c r="H14" i="240"/>
  <c r="H15" s="1"/>
  <c r="H11"/>
  <c r="E40"/>
  <c r="E41" s="1"/>
  <c r="E37"/>
  <c r="F120" i="292"/>
  <c r="F39" i="240"/>
  <c r="C22" i="299"/>
  <c r="N57" i="241"/>
  <c r="N61" s="1"/>
  <c r="N107" i="253"/>
  <c r="K6" i="240"/>
  <c r="K108" i="253"/>
  <c r="K161" s="1"/>
  <c r="L6" i="240" l="1"/>
  <c r="L108" i="253"/>
  <c r="L161" s="1"/>
  <c r="M62" i="241"/>
  <c r="N112" i="292"/>
  <c r="M65" i="241"/>
  <c r="M66" s="1"/>
  <c r="D22" i="299"/>
  <c r="N64" i="241"/>
  <c r="E20" i="299"/>
  <c r="E21" s="1"/>
  <c r="K10" i="240"/>
  <c r="H19"/>
  <c r="H23" s="1"/>
  <c r="H115" i="253"/>
  <c r="J13" i="240"/>
  <c r="F37"/>
  <c r="G120" i="292"/>
  <c r="F40" i="240"/>
  <c r="F41" s="1"/>
  <c r="Q111" i="292"/>
  <c r="H214" s="1"/>
  <c r="I214" s="1"/>
  <c r="J214" s="1"/>
  <c r="G32" i="240"/>
  <c r="G36" s="1"/>
  <c r="G116" i="253"/>
  <c r="E45" i="240"/>
  <c r="E49" s="1"/>
  <c r="E117" i="253"/>
  <c r="D53" i="240"/>
  <c r="D54" s="1"/>
  <c r="D50"/>
  <c r="E121" i="292"/>
  <c r="O57" i="241"/>
  <c r="O61" s="1"/>
  <c r="O107" i="253"/>
  <c r="I14" i="240"/>
  <c r="I15" s="1"/>
  <c r="I11"/>
  <c r="O64" i="241" l="1"/>
  <c r="J11" i="240"/>
  <c r="J14"/>
  <c r="J15" s="1"/>
  <c r="N62" i="241"/>
  <c r="O112" i="292"/>
  <c r="N65" i="241"/>
  <c r="N66" s="1"/>
  <c r="M6" i="240"/>
  <c r="M10" s="1"/>
  <c r="M108" i="253"/>
  <c r="M161" s="1"/>
  <c r="F20" i="299"/>
  <c r="F21" s="1"/>
  <c r="L10" i="240"/>
  <c r="D118" i="253"/>
  <c r="G39" i="240"/>
  <c r="I19"/>
  <c r="I23" s="1"/>
  <c r="I115" i="253"/>
  <c r="F45" i="240"/>
  <c r="F49" s="1"/>
  <c r="F117" i="253"/>
  <c r="H26" i="240"/>
  <c r="E22" i="299"/>
  <c r="E52" i="240"/>
  <c r="K13"/>
  <c r="K11" l="1"/>
  <c r="K14"/>
  <c r="K15" s="1"/>
  <c r="I26"/>
  <c r="F22" i="299"/>
  <c r="O62" i="241"/>
  <c r="P112" i="292"/>
  <c r="O65" i="241"/>
  <c r="O66" s="1"/>
  <c r="E53" i="240"/>
  <c r="E54" s="1"/>
  <c r="E50"/>
  <c r="F121" i="292"/>
  <c r="H27" i="240"/>
  <c r="H28" s="1"/>
  <c r="H24"/>
  <c r="I119" i="292"/>
  <c r="G37" i="240"/>
  <c r="G40"/>
  <c r="G41" s="1"/>
  <c r="H120" i="292"/>
  <c r="L13" i="240"/>
  <c r="N6"/>
  <c r="N10" s="1"/>
  <c r="N108" i="253"/>
  <c r="N161" s="1"/>
  <c r="F52" i="240"/>
  <c r="M13"/>
  <c r="J19"/>
  <c r="J23" s="1"/>
  <c r="J115" i="253"/>
  <c r="E122" i="292" l="1"/>
  <c r="D67" i="240"/>
  <c r="D119" i="253" s="1"/>
  <c r="D162" s="1"/>
  <c r="Q112" i="292"/>
  <c r="H215" s="1"/>
  <c r="I215" s="1"/>
  <c r="J215" s="1"/>
  <c r="P159"/>
  <c r="M14" i="240"/>
  <c r="M15" s="1"/>
  <c r="M11"/>
  <c r="L14"/>
  <c r="L15" s="1"/>
  <c r="L11"/>
  <c r="J26"/>
  <c r="N13"/>
  <c r="G45"/>
  <c r="G49" s="1"/>
  <c r="G117" i="253"/>
  <c r="H32" i="240"/>
  <c r="H36" s="1"/>
  <c r="H116" i="253"/>
  <c r="O6" i="240"/>
  <c r="O10" s="1"/>
  <c r="O108" i="253"/>
  <c r="O161" s="1"/>
  <c r="K19" i="240"/>
  <c r="K23" s="1"/>
  <c r="K115" i="253"/>
  <c r="E118"/>
  <c r="I27" i="240"/>
  <c r="I28" s="1"/>
  <c r="I24"/>
  <c r="J119" i="292"/>
  <c r="F50" i="240"/>
  <c r="F53"/>
  <c r="F54" s="1"/>
  <c r="G121" i="292"/>
  <c r="K26" i="240" l="1"/>
  <c r="H39"/>
  <c r="N11"/>
  <c r="N14"/>
  <c r="N15" s="1"/>
  <c r="M19"/>
  <c r="M23" s="1"/>
  <c r="M115" i="253"/>
  <c r="E158" i="292"/>
  <c r="E149"/>
  <c r="E160"/>
  <c r="F118" i="253"/>
  <c r="I32" i="240"/>
  <c r="I36" s="1"/>
  <c r="I116" i="253"/>
  <c r="O13" i="240"/>
  <c r="G52"/>
  <c r="J24"/>
  <c r="J27"/>
  <c r="J28" s="1"/>
  <c r="K119" i="292"/>
  <c r="L19" i="240"/>
  <c r="L23" s="1"/>
  <c r="L115" i="253"/>
  <c r="N19" i="240" l="1"/>
  <c r="N23" s="1"/>
  <c r="N115" i="253"/>
  <c r="K24" i="240"/>
  <c r="K27"/>
  <c r="K28" s="1"/>
  <c r="L119" i="292"/>
  <c r="M26" i="240"/>
  <c r="F122" i="292"/>
  <c r="E67" i="240"/>
  <c r="E119" i="253" s="1"/>
  <c r="E162" s="1"/>
  <c r="L26" i="240"/>
  <c r="J32"/>
  <c r="J36" s="1"/>
  <c r="J116" i="253"/>
  <c r="B11" i="299"/>
  <c r="H40" i="240"/>
  <c r="H41" s="1"/>
  <c r="H37"/>
  <c r="I120" i="292"/>
  <c r="G50" i="240"/>
  <c r="H121" i="292"/>
  <c r="G53" i="240"/>
  <c r="G54" s="1"/>
  <c r="O11"/>
  <c r="O14"/>
  <c r="O15" s="1"/>
  <c r="I39"/>
  <c r="J39" l="1"/>
  <c r="M27"/>
  <c r="M28" s="1"/>
  <c r="M24"/>
  <c r="N119" i="292"/>
  <c r="N26" i="240"/>
  <c r="G118" i="253"/>
  <c r="C11" i="299"/>
  <c r="I40" i="240"/>
  <c r="I41" s="1"/>
  <c r="I37"/>
  <c r="J120" i="292"/>
  <c r="G122"/>
  <c r="F67" i="240"/>
  <c r="F119" i="253" s="1"/>
  <c r="F162" s="1"/>
  <c r="O19" i="240"/>
  <c r="O23" s="1"/>
  <c r="O115" i="253"/>
  <c r="H45" i="240"/>
  <c r="H49" s="1"/>
  <c r="H117" i="253"/>
  <c r="L27" i="240"/>
  <c r="L28" s="1"/>
  <c r="L24"/>
  <c r="M119" i="292"/>
  <c r="F158"/>
  <c r="F149"/>
  <c r="F152"/>
  <c r="F153"/>
  <c r="F160"/>
  <c r="K32" i="240"/>
  <c r="K36" s="1"/>
  <c r="K116" i="253"/>
  <c r="H52" i="240" l="1"/>
  <c r="D11" i="299"/>
  <c r="J37" i="240"/>
  <c r="J40"/>
  <c r="J41" s="1"/>
  <c r="K120" i="292"/>
  <c r="L32" i="240"/>
  <c r="L36" s="1"/>
  <c r="L116" i="253"/>
  <c r="O26" i="240"/>
  <c r="G158" i="292"/>
  <c r="G149"/>
  <c r="G152"/>
  <c r="G153"/>
  <c r="G159"/>
  <c r="G160"/>
  <c r="I45" i="240"/>
  <c r="I49" s="1"/>
  <c r="I117" i="253"/>
  <c r="N24" i="240"/>
  <c r="N27"/>
  <c r="N28" s="1"/>
  <c r="O119" i="292"/>
  <c r="K39" i="240"/>
  <c r="M32"/>
  <c r="M36" s="1"/>
  <c r="M116" i="253"/>
  <c r="N32" i="240" l="1"/>
  <c r="N36" s="1"/>
  <c r="N116" i="253"/>
  <c r="I52" i="240"/>
  <c r="H53"/>
  <c r="H54" s="1"/>
  <c r="H50"/>
  <c r="I121" i="292"/>
  <c r="E11" i="299"/>
  <c r="K37" i="240"/>
  <c r="L120" i="292"/>
  <c r="K40" i="240"/>
  <c r="K41" s="1"/>
  <c r="O24"/>
  <c r="P119" i="292"/>
  <c r="O27" i="240"/>
  <c r="O28" s="1"/>
  <c r="J45"/>
  <c r="J49" s="1"/>
  <c r="J117" i="253"/>
  <c r="M39" i="240"/>
  <c r="L39"/>
  <c r="H122" i="292"/>
  <c r="G67" i="240"/>
  <c r="G119" i="253" s="1"/>
  <c r="G162" s="1"/>
  <c r="J52" i="240" l="1"/>
  <c r="K45"/>
  <c r="K49" s="1"/>
  <c r="K117" i="253"/>
  <c r="H158" i="292"/>
  <c r="H149"/>
  <c r="H152"/>
  <c r="H153"/>
  <c r="H160"/>
  <c r="O32" i="240"/>
  <c r="O36" s="1"/>
  <c r="O116" i="253"/>
  <c r="F11" i="299"/>
  <c r="L40" i="240"/>
  <c r="L41" s="1"/>
  <c r="L37"/>
  <c r="M120" i="292"/>
  <c r="H58" i="240"/>
  <c r="H62" s="1"/>
  <c r="H118" i="253"/>
  <c r="N39" i="240"/>
  <c r="M40"/>
  <c r="M41" s="1"/>
  <c r="M37"/>
  <c r="N120" i="292"/>
  <c r="Q119"/>
  <c r="I53" i="240"/>
  <c r="I54" s="1"/>
  <c r="I50"/>
  <c r="J121" i="292"/>
  <c r="I58" i="240" l="1"/>
  <c r="I62" s="1"/>
  <c r="I118" i="253"/>
  <c r="M45" i="240"/>
  <c r="M49" s="1"/>
  <c r="M117" i="253"/>
  <c r="H65" i="240"/>
  <c r="J50"/>
  <c r="K121" i="292"/>
  <c r="J53" i="240"/>
  <c r="J54" s="1"/>
  <c r="L45"/>
  <c r="L49" s="1"/>
  <c r="L117" i="253"/>
  <c r="N37" i="240"/>
  <c r="N40"/>
  <c r="N41" s="1"/>
  <c r="O120" i="292"/>
  <c r="O39" i="240"/>
  <c r="K52"/>
  <c r="J58" l="1"/>
  <c r="J62" s="1"/>
  <c r="J118" i="253"/>
  <c r="I65" i="240"/>
  <c r="K50"/>
  <c r="K53"/>
  <c r="K54" s="1"/>
  <c r="L121" i="292"/>
  <c r="O37" i="240"/>
  <c r="O40"/>
  <c r="O41" s="1"/>
  <c r="P120" i="292"/>
  <c r="H63" i="240"/>
  <c r="I122" i="292"/>
  <c r="H66" i="240"/>
  <c r="H67" s="1"/>
  <c r="N45"/>
  <c r="N49" s="1"/>
  <c r="N117" i="253"/>
  <c r="L52" i="240"/>
  <c r="M52"/>
  <c r="L53" l="1"/>
  <c r="L54" s="1"/>
  <c r="L50"/>
  <c r="M121" i="292"/>
  <c r="H119" i="253"/>
  <c r="H162" s="1"/>
  <c r="B13" i="299"/>
  <c r="O45" i="240"/>
  <c r="O49" s="1"/>
  <c r="O117" i="253"/>
  <c r="J65" i="240"/>
  <c r="M53"/>
  <c r="M54" s="1"/>
  <c r="M50"/>
  <c r="N121" i="292"/>
  <c r="N52" i="240"/>
  <c r="Q120" i="292"/>
  <c r="H216" s="1"/>
  <c r="I216" s="1"/>
  <c r="J216" s="1"/>
  <c r="K58" i="240"/>
  <c r="K62" s="1"/>
  <c r="K118" i="253"/>
  <c r="I63" i="240"/>
  <c r="J122" i="292"/>
  <c r="I66" i="240"/>
  <c r="I67" s="1"/>
  <c r="I158" i="292"/>
  <c r="I149"/>
  <c r="I152"/>
  <c r="I153"/>
  <c r="I159"/>
  <c r="I160"/>
  <c r="K65" i="240" l="1"/>
  <c r="N50"/>
  <c r="N53"/>
  <c r="N54" s="1"/>
  <c r="O121" i="292"/>
  <c r="L58" i="240"/>
  <c r="L62" s="1"/>
  <c r="L118" i="253"/>
  <c r="C11" i="300"/>
  <c r="C21" s="1"/>
  <c r="C22" s="1"/>
  <c r="J158" i="292"/>
  <c r="J149"/>
  <c r="J152"/>
  <c r="J153"/>
  <c r="J159"/>
  <c r="J160"/>
  <c r="M118" i="253"/>
  <c r="O52" i="240"/>
  <c r="I119" i="253"/>
  <c r="I162" s="1"/>
  <c r="C13" i="299"/>
  <c r="J63" i="240"/>
  <c r="K122" i="292"/>
  <c r="J66" i="240"/>
  <c r="J67" s="1"/>
  <c r="B9" i="299"/>
  <c r="B16" s="1"/>
  <c r="B17" s="1"/>
  <c r="K158" i="292" l="1"/>
  <c r="K149"/>
  <c r="K152"/>
  <c r="K153"/>
  <c r="K159"/>
  <c r="K160"/>
  <c r="C28" i="300"/>
  <c r="C26"/>
  <c r="C30"/>
  <c r="C25"/>
  <c r="C32"/>
  <c r="C24"/>
  <c r="N118" i="253"/>
  <c r="C9" i="299"/>
  <c r="C16" s="1"/>
  <c r="C17" s="1"/>
  <c r="O50" i="240"/>
  <c r="P121" i="292"/>
  <c r="O53" i="240"/>
  <c r="O54" s="1"/>
  <c r="L65"/>
  <c r="K63"/>
  <c r="L122" i="292"/>
  <c r="K66" i="240"/>
  <c r="K67" s="1"/>
  <c r="D11" i="300"/>
  <c r="D21" s="1"/>
  <c r="D22" s="1"/>
  <c r="J119" i="253"/>
  <c r="J162" s="1"/>
  <c r="D13" i="299"/>
  <c r="B18"/>
  <c r="B24"/>
  <c r="B25"/>
  <c r="D25" i="300" l="1"/>
  <c r="D32"/>
  <c r="D26"/>
  <c r="D24"/>
  <c r="D30"/>
  <c r="D28"/>
  <c r="L63" i="240"/>
  <c r="M122" i="292"/>
  <c r="L66" i="240"/>
  <c r="L67" s="1"/>
  <c r="D9" i="299"/>
  <c r="D16" s="1"/>
  <c r="D17" s="1"/>
  <c r="Q121" i="292"/>
  <c r="H217" s="1"/>
  <c r="I217" s="1"/>
  <c r="J217" s="1"/>
  <c r="E11" i="300"/>
  <c r="E21" s="1"/>
  <c r="E22" s="1"/>
  <c r="N122" i="292"/>
  <c r="M67" i="240"/>
  <c r="M119" i="253" s="1"/>
  <c r="M162" s="1"/>
  <c r="L158" i="292"/>
  <c r="L149"/>
  <c r="L152"/>
  <c r="L153"/>
  <c r="L159"/>
  <c r="L160"/>
  <c r="O118" i="253"/>
  <c r="C18" i="299"/>
  <c r="C24"/>
  <c r="C25"/>
  <c r="K119" i="253"/>
  <c r="K162" s="1"/>
  <c r="E13" i="299"/>
  <c r="N158" i="292" l="1"/>
  <c r="N149"/>
  <c r="N152"/>
  <c r="N153"/>
  <c r="N159"/>
  <c r="N160"/>
  <c r="L119" i="253"/>
  <c r="L162" s="1"/>
  <c r="F13" i="299"/>
  <c r="O122" i="292"/>
  <c r="N67" i="240"/>
  <c r="N119" i="253" s="1"/>
  <c r="N162" s="1"/>
  <c r="E25" i="300"/>
  <c r="E32"/>
  <c r="E24"/>
  <c r="E30"/>
  <c r="E26"/>
  <c r="E28"/>
  <c r="E9" i="299"/>
  <c r="E16" s="1"/>
  <c r="E17" s="1"/>
  <c r="D18"/>
  <c r="D25"/>
  <c r="D24"/>
  <c r="M158" i="292"/>
  <c r="R158" s="1"/>
  <c r="M149"/>
  <c r="R149" s="1"/>
  <c r="M152"/>
  <c r="R152" s="1"/>
  <c r="M153"/>
  <c r="R153" s="1"/>
  <c r="M159"/>
  <c r="R159" s="1"/>
  <c r="M160"/>
  <c r="R160" s="1"/>
  <c r="F11" i="300"/>
  <c r="F21" s="1"/>
  <c r="F22" s="1"/>
  <c r="R162" i="292" l="1"/>
  <c r="G11" i="300"/>
  <c r="G21" s="1"/>
  <c r="G22" s="1"/>
  <c r="F28"/>
  <c r="F30"/>
  <c r="F26"/>
  <c r="F25"/>
  <c r="F32"/>
  <c r="F24"/>
  <c r="P122" i="292"/>
  <c r="O67" i="240"/>
  <c r="O119" i="253" s="1"/>
  <c r="O162" s="1"/>
  <c r="E18" i="299"/>
  <c r="E24"/>
  <c r="E25"/>
  <c r="O158" i="292"/>
  <c r="O149"/>
  <c r="O152"/>
  <c r="O153"/>
  <c r="O159"/>
  <c r="Q159" s="1"/>
  <c r="O160"/>
  <c r="F9" i="299"/>
  <c r="F16" s="1"/>
  <c r="F17" s="1"/>
  <c r="P158" i="292" l="1"/>
  <c r="Q158" s="1"/>
  <c r="P149"/>
  <c r="Q149" s="1"/>
  <c r="P152"/>
  <c r="Q152" s="1"/>
  <c r="P153"/>
  <c r="Q153" s="1"/>
  <c r="Q122"/>
  <c r="P160"/>
  <c r="Q160" s="1"/>
  <c r="G30" i="300"/>
  <c r="G26"/>
  <c r="G24"/>
  <c r="G25"/>
  <c r="G32"/>
  <c r="G28"/>
  <c r="F18" i="299"/>
  <c r="F24"/>
  <c r="F25"/>
  <c r="Q162" i="292" l="1"/>
</calcChain>
</file>

<file path=xl/comments1.xml><?xml version="1.0" encoding="utf-8"?>
<comments xmlns="http://schemas.openxmlformats.org/spreadsheetml/2006/main">
  <authors>
    <author>jschug</author>
  </authors>
  <commentList>
    <comment ref="X11" authorId="0">
      <text>
        <r>
          <rPr>
            <b/>
            <i/>
            <u/>
            <sz val="12"/>
            <color indexed="81"/>
            <rFont val="Tahoma"/>
            <family val="2"/>
          </rPr>
          <t>The NODE Table</t>
        </r>
        <r>
          <rPr>
            <sz val="12"/>
            <color indexed="81"/>
            <rFont val="Tahoma"/>
            <family val="2"/>
          </rPr>
          <t xml:space="preserve">
Each </t>
        </r>
        <r>
          <rPr>
            <b/>
            <sz val="12"/>
            <color indexed="81"/>
            <rFont val="Tahoma"/>
            <family val="2"/>
          </rPr>
          <t>NODE</t>
        </r>
        <r>
          <rPr>
            <sz val="12"/>
            <color indexed="81"/>
            <rFont val="Tahoma"/>
            <family val="2"/>
          </rPr>
          <t xml:space="preserve"> represents an accounting of water coming into and flowing out of the node. </t>
        </r>
        <r>
          <rPr>
            <b/>
            <sz val="12"/>
            <color indexed="81"/>
            <rFont val="Tahoma"/>
            <family val="2"/>
          </rPr>
          <t xml:space="preserve"> Inflows</t>
        </r>
        <r>
          <rPr>
            <sz val="12"/>
            <color indexed="81"/>
            <rFont val="Tahoma"/>
            <family val="2"/>
          </rPr>
          <t xml:space="preserve"> include flow coming from upstream, ungaged gains ( i.e. ungaged tributaries and groundwater inflow) and irrigation return flows.
</t>
        </r>
        <r>
          <rPr>
            <b/>
            <sz val="12"/>
            <color indexed="81"/>
            <rFont val="Tahoma"/>
            <family val="2"/>
          </rPr>
          <t>Outflows</t>
        </r>
        <r>
          <rPr>
            <sz val="12"/>
            <color indexed="81"/>
            <rFont val="Tahoma"/>
            <family val="2"/>
          </rPr>
          <t xml:space="preserve"> include diversions and ungaged stream losses ( i.e., groundwater infiltration, evaporation, etc.).  
The spreadsheet model knows which worksheet to look to to find the appropriate inflow and outflow data.  Nodes located downstream of any other node will look to the outflow from the upstream node.  Nodes located at the upstream end of a tributary or mainstem of the system will look to the USGS gaging data worksheet (</t>
        </r>
        <r>
          <rPr>
            <b/>
            <sz val="12"/>
            <color indexed="81"/>
            <rFont val="Tahoma"/>
            <family val="2"/>
          </rPr>
          <t>Gage Data</t>
        </r>
        <r>
          <rPr>
            <sz val="12"/>
            <color indexed="81"/>
            <rFont val="Tahoma"/>
            <family val="2"/>
          </rPr>
          <t>).</t>
        </r>
      </text>
    </comment>
    <comment ref="X13" authorId="0">
      <text>
        <r>
          <rPr>
            <b/>
            <i/>
            <u/>
            <sz val="12"/>
            <color indexed="81"/>
            <rFont val="Tahoma"/>
            <family val="2"/>
          </rPr>
          <t xml:space="preserve">The NODE  Number
</t>
        </r>
        <r>
          <rPr>
            <sz val="12"/>
            <color indexed="81"/>
            <rFont val="Tahoma"/>
            <family val="2"/>
          </rPr>
          <t xml:space="preserve">
The following numbering system  is used throughout this spreadsheet model:
The integer value of each node number represents the reach in which the node is located.
The decimal value represents the node's relative location within that reach.
In this example, Node 15.09 is the ninth node from the upstream end of reach 15.
</t>
        </r>
      </text>
    </comment>
    <comment ref="X14" authorId="0">
      <text>
        <r>
          <rPr>
            <b/>
            <i/>
            <u/>
            <sz val="12"/>
            <color indexed="81"/>
            <rFont val="Tahoma"/>
            <family val="2"/>
          </rPr>
          <t>IRRIGATION RETURNS</t>
        </r>
        <r>
          <rPr>
            <b/>
            <sz val="12"/>
            <color indexed="81"/>
            <rFont val="Tahoma"/>
            <family val="2"/>
          </rPr>
          <t xml:space="preserve">
Irrigation Returns </t>
        </r>
        <r>
          <rPr>
            <sz val="12"/>
            <color indexed="81"/>
            <rFont val="Tahoma"/>
            <family val="2"/>
          </rPr>
          <t xml:space="preserve">are those flows which return to the river at this node.  They represent that portion of upstream diversions which return to the river following losses associated with the conveyance system and crop consumptive uses.
Irrigation Returns are computed in a seperate worksheet within this spreadsheet model (see </t>
        </r>
        <r>
          <rPr>
            <b/>
            <sz val="12"/>
            <color indexed="81"/>
            <rFont val="Tahoma"/>
            <family val="2"/>
          </rPr>
          <t xml:space="preserve">Irrigation Returns </t>
        </r>
        <r>
          <rPr>
            <sz val="12"/>
            <color indexed="81"/>
            <rFont val="Tahoma"/>
            <family val="2"/>
          </rPr>
          <t>worksheet) and automatically incorporated in the Node Table.  
Irrigation Returns include consideration of "lag patterns".  That is, not all of the water diverted for irrigation returns to the river in the same month it is diverted.  A portion of it may, while the remainder may take up to several months before finding its way back via groundwater pathways.</t>
        </r>
        <r>
          <rPr>
            <sz val="8"/>
            <color indexed="81"/>
            <rFont val="Tahoma"/>
            <family val="2"/>
          </rPr>
          <t xml:space="preserve">
</t>
        </r>
      </text>
    </comment>
    <comment ref="X15" authorId="0">
      <text>
        <r>
          <rPr>
            <b/>
            <i/>
            <u/>
            <sz val="12"/>
            <color indexed="81"/>
            <rFont val="Tahoma"/>
            <family val="2"/>
          </rPr>
          <t>UNGAGED  REACH GAINS</t>
        </r>
        <r>
          <rPr>
            <sz val="12"/>
            <color indexed="81"/>
            <rFont val="Tahoma"/>
            <family val="2"/>
          </rPr>
          <t xml:space="preserve">
</t>
        </r>
        <r>
          <rPr>
            <b/>
            <sz val="12"/>
            <color indexed="81"/>
            <rFont val="Tahoma"/>
            <family val="2"/>
          </rPr>
          <t>Ungaged Reach Gains</t>
        </r>
        <r>
          <rPr>
            <sz val="12"/>
            <color indexed="81"/>
            <rFont val="Tahoma"/>
            <family val="2"/>
          </rPr>
          <t xml:space="preserve"> are added here.  Gains are added to the top of a reach so they are available to diversions.  Losses are coming out at the bottom of a reach.  
The total gains for the reach are computed in the </t>
        </r>
        <r>
          <rPr>
            <b/>
            <sz val="12"/>
            <color indexed="81"/>
            <rFont val="Tahoma"/>
            <family val="2"/>
          </rPr>
          <t>Gain/Loss</t>
        </r>
        <r>
          <rPr>
            <sz val="12"/>
            <color indexed="81"/>
            <rFont val="Tahoma"/>
            <family val="2"/>
          </rPr>
          <t xml:space="preserve"> worksheet and looked up here.</t>
        </r>
      </text>
    </comment>
    <comment ref="X17" authorId="0">
      <text>
        <r>
          <rPr>
            <b/>
            <i/>
            <u/>
            <sz val="12"/>
            <color indexed="81"/>
            <rFont val="Tahoma"/>
            <family val="2"/>
          </rPr>
          <t xml:space="preserve">TOTAL REACH INFLOW </t>
        </r>
        <r>
          <rPr>
            <sz val="12"/>
            <color indexed="81"/>
            <rFont val="Tahoma"/>
            <family val="2"/>
          </rPr>
          <t xml:space="preserve">
Sum of all node inflows.</t>
        </r>
      </text>
    </comment>
    <comment ref="X19" authorId="0">
      <text>
        <r>
          <rPr>
            <b/>
            <i/>
            <u/>
            <sz val="12"/>
            <color indexed="81"/>
            <rFont val="Tahoma"/>
            <family val="2"/>
          </rPr>
          <t>DIVERSION DATA</t>
        </r>
        <r>
          <rPr>
            <sz val="12"/>
            <color indexed="81"/>
            <rFont val="Tahoma"/>
            <family val="2"/>
          </rPr>
          <t xml:space="preserve">
Diversion data are entered in the </t>
        </r>
        <r>
          <rPr>
            <b/>
            <sz val="12"/>
            <color indexed="81"/>
            <rFont val="Tahoma"/>
            <family val="2"/>
          </rPr>
          <t>Diversion Data</t>
        </r>
        <r>
          <rPr>
            <sz val="12"/>
            <color indexed="81"/>
            <rFont val="Tahoma"/>
            <family val="2"/>
          </rPr>
          <t xml:space="preserve"> worksheet and looked up here in the Node table.</t>
        </r>
        <r>
          <rPr>
            <sz val="8"/>
            <color indexed="81"/>
            <rFont val="Tahoma"/>
            <family val="2"/>
          </rPr>
          <t xml:space="preserve">
</t>
        </r>
        <r>
          <rPr>
            <sz val="12"/>
            <color indexed="81"/>
            <rFont val="Tahoma"/>
            <family val="2"/>
          </rPr>
          <t xml:space="preserve">
These data represent the mean monthly diversions for the corresponding hydrologic condition ( i.e, Dry / Normal / or Wet years).</t>
        </r>
      </text>
    </comment>
    <comment ref="X20" authorId="0">
      <text>
        <r>
          <rPr>
            <b/>
            <i/>
            <u/>
            <sz val="12"/>
            <color indexed="81"/>
            <rFont val="Tahoma"/>
            <family val="2"/>
          </rPr>
          <t>UNGAGED REACH LOSSES</t>
        </r>
        <r>
          <rPr>
            <sz val="12"/>
            <color indexed="81"/>
            <rFont val="Tahoma"/>
            <family val="2"/>
          </rPr>
          <t xml:space="preserve">
Ungaged reach losses are added here if this is the LAST node of a reach.  If this is NOT the last node of a reach, enter NA instead of a node number.
The total ungaged losses for the reach are computed in the </t>
        </r>
        <r>
          <rPr>
            <b/>
            <sz val="12"/>
            <color indexed="81"/>
            <rFont val="Tahoma"/>
            <family val="2"/>
          </rPr>
          <t>Gain/Loss</t>
        </r>
        <r>
          <rPr>
            <sz val="12"/>
            <color indexed="81"/>
            <rFont val="Tahoma"/>
            <family val="2"/>
          </rPr>
          <t xml:space="preserve"> worksheet and looked up here.</t>
        </r>
      </text>
    </comment>
    <comment ref="X21" authorId="0">
      <text>
        <r>
          <rPr>
            <b/>
            <i/>
            <u/>
            <sz val="12"/>
            <color indexed="81"/>
            <rFont val="Tahoma"/>
            <family val="2"/>
          </rPr>
          <t>Total Node Outflow</t>
        </r>
        <r>
          <rPr>
            <sz val="12"/>
            <color indexed="81"/>
            <rFont val="Tahoma"/>
            <family val="2"/>
          </rPr>
          <t xml:space="preserve">
Sum of Diversions and Ungaged Reach Losses.</t>
        </r>
      </text>
    </comment>
    <comment ref="X22" authorId="0">
      <text>
        <r>
          <rPr>
            <b/>
            <i/>
            <u/>
            <sz val="12"/>
            <color indexed="81"/>
            <rFont val="Tahoma"/>
            <family val="2"/>
          </rPr>
          <t>Net</t>
        </r>
        <r>
          <rPr>
            <sz val="12"/>
            <color indexed="81"/>
            <rFont val="Tahoma"/>
            <family val="2"/>
          </rPr>
          <t xml:space="preserve">
The NET flow for the node is the difference between the Node's Inflow and its Outflow.  If diversions at this node deplete the river's flow, the model will report a value of "0" and provide a warning.  (The model will not allow "Negative" flows.)
The node's outflow then becomes the inflow to the next node downstream.</t>
        </r>
      </text>
    </comment>
  </commentList>
</comments>
</file>

<file path=xl/comments2.xml><?xml version="1.0" encoding="utf-8"?>
<comments xmlns="http://schemas.openxmlformats.org/spreadsheetml/2006/main">
  <authors>
    <author>jschug</author>
  </authors>
  <commentList>
    <comment ref="B38" authorId="0">
      <text>
        <r>
          <rPr>
            <sz val="12"/>
            <color indexed="81"/>
            <rFont val="Tahoma"/>
            <family val="2"/>
          </rPr>
          <t xml:space="preserve">
Historic Average Release is the target reservoir release (data from USGS Gaging Station 10015900).</t>
        </r>
      </text>
    </comment>
    <comment ref="B39" authorId="0">
      <text>
        <r>
          <rPr>
            <sz val="12"/>
            <color indexed="81"/>
            <rFont val="Tahoma"/>
            <family val="2"/>
          </rPr>
          <t xml:space="preserve">
Evaporation values are conservatively high: assume full reservoir.</t>
        </r>
      </text>
    </comment>
    <comment ref="B46" authorId="0">
      <text>
        <r>
          <rPr>
            <b/>
            <u/>
            <sz val="12"/>
            <color indexed="81"/>
            <rFont val="Tahoma"/>
            <family val="2"/>
          </rPr>
          <t>This row is used as a temporary calculation</t>
        </r>
        <r>
          <rPr>
            <sz val="12"/>
            <color indexed="81"/>
            <rFont val="Tahoma"/>
            <family val="2"/>
          </rPr>
          <t xml:space="preserve">:
The purpose of this row is keep the reservoir from displaying storage less than the inactive storage pool.
</t>
        </r>
        <r>
          <rPr>
            <b/>
            <sz val="12"/>
            <color indexed="81"/>
            <rFont val="Tahoma"/>
            <family val="2"/>
          </rPr>
          <t>IF</t>
        </r>
        <r>
          <rPr>
            <sz val="12"/>
            <color indexed="81"/>
            <rFont val="Tahoma"/>
            <family val="2"/>
          </rPr>
          <t xml:space="preserve"> the new EOM storage (In - Out + Previous EOM) is less than Inactive Storage, 
</t>
        </r>
        <r>
          <rPr>
            <b/>
            <sz val="12"/>
            <color indexed="81"/>
            <rFont val="Tahoma"/>
            <family val="2"/>
          </rPr>
          <t>THEN</t>
        </r>
        <r>
          <rPr>
            <sz val="12"/>
            <color indexed="81"/>
            <rFont val="Tahoma"/>
            <family val="2"/>
          </rPr>
          <t xml:space="preserve"> the new EOM storage is set to Inactive Storage,
</t>
        </r>
        <r>
          <rPr>
            <b/>
            <sz val="12"/>
            <color indexed="81"/>
            <rFont val="Tahoma"/>
            <family val="2"/>
          </rPr>
          <t>OTHERWISE</t>
        </r>
        <r>
          <rPr>
            <sz val="12"/>
            <color indexed="81"/>
            <rFont val="Tahoma"/>
            <family val="2"/>
          </rPr>
          <t>, the new EOM storage = In - Out + Previous EOM storage.
This row does not allow spillage and is allowed to exceed the maximum storage capacity of the reservoir.</t>
        </r>
        <r>
          <rPr>
            <sz val="8"/>
            <color indexed="81"/>
            <rFont val="Tahoma"/>
            <family val="2"/>
          </rPr>
          <t xml:space="preserve">
</t>
        </r>
      </text>
    </comment>
    <comment ref="B47" authorId="0">
      <text>
        <r>
          <rPr>
            <sz val="8"/>
            <color indexed="81"/>
            <rFont val="Tahoma"/>
            <family val="2"/>
          </rPr>
          <t xml:space="preserve">
</t>
        </r>
        <r>
          <rPr>
            <b/>
            <sz val="12"/>
            <color indexed="81"/>
            <rFont val="Tahoma"/>
            <family val="2"/>
          </rPr>
          <t xml:space="preserve">Actual Resease:
</t>
        </r>
        <r>
          <rPr>
            <sz val="8"/>
            <color indexed="81"/>
            <rFont val="Tahoma"/>
            <family val="2"/>
          </rPr>
          <t xml:space="preserve">
</t>
        </r>
        <r>
          <rPr>
            <b/>
            <sz val="12"/>
            <color indexed="81"/>
            <rFont val="Tahoma"/>
            <family val="2"/>
          </rPr>
          <t>IF</t>
        </r>
        <r>
          <rPr>
            <sz val="12"/>
            <color indexed="81"/>
            <rFont val="Tahoma"/>
            <family val="2"/>
          </rPr>
          <t xml:space="preserve"> there is enough water available to meet historic releases,
</t>
        </r>
        <r>
          <rPr>
            <b/>
            <sz val="12"/>
            <color indexed="81"/>
            <rFont val="Tahoma"/>
            <family val="2"/>
          </rPr>
          <t>THEN</t>
        </r>
        <r>
          <rPr>
            <sz val="12"/>
            <color indexed="81"/>
            <rFont val="Tahoma"/>
            <family val="2"/>
          </rPr>
          <t xml:space="preserve"> the reservoir releases the historic amount, 
</t>
        </r>
        <r>
          <rPr>
            <b/>
            <sz val="12"/>
            <color indexed="81"/>
            <rFont val="Tahoma"/>
            <family val="2"/>
          </rPr>
          <t>OTHERWISE</t>
        </r>
        <r>
          <rPr>
            <sz val="12"/>
            <color indexed="81"/>
            <rFont val="Tahoma"/>
            <family val="2"/>
          </rPr>
          <t>, Actual Release = Previous EOM storage + Inflow - Reservoir Evaporation</t>
        </r>
      </text>
    </comment>
    <comment ref="B48" authorId="0">
      <text>
        <r>
          <rPr>
            <b/>
            <sz val="12"/>
            <color indexed="81"/>
            <rFont val="Tahoma"/>
            <family val="2"/>
          </rPr>
          <t>Spillage</t>
        </r>
        <r>
          <rPr>
            <sz val="8"/>
            <color indexed="81"/>
            <rFont val="Tahoma"/>
            <family val="2"/>
          </rPr>
          <t xml:space="preserve">
</t>
        </r>
        <r>
          <rPr>
            <b/>
            <sz val="12"/>
            <color indexed="81"/>
            <rFont val="Tahoma"/>
            <family val="2"/>
          </rPr>
          <t>IF</t>
        </r>
        <r>
          <rPr>
            <sz val="12"/>
            <color indexed="81"/>
            <rFont val="Tahoma"/>
            <family val="2"/>
          </rPr>
          <t xml:space="preserve"> the EOM Content (w/o max capacity limitation) exceeds the maximum reservoir capacity,
</t>
        </r>
        <r>
          <rPr>
            <b/>
            <sz val="12"/>
            <color indexed="81"/>
            <rFont val="Tahoma"/>
            <family val="2"/>
          </rPr>
          <t>THEN</t>
        </r>
        <r>
          <rPr>
            <sz val="12"/>
            <color indexed="81"/>
            <rFont val="Tahoma"/>
            <family val="2"/>
          </rPr>
          <t xml:space="preserve"> spill = EOM Content (w/o max capacity limitation) - maximum storage capacity,
</t>
        </r>
        <r>
          <rPr>
            <b/>
            <sz val="12"/>
            <color indexed="81"/>
            <rFont val="Tahoma"/>
            <family val="2"/>
          </rPr>
          <t>OTHEWISE</t>
        </r>
        <r>
          <rPr>
            <sz val="12"/>
            <color indexed="81"/>
            <rFont val="Tahoma"/>
            <family val="2"/>
          </rPr>
          <t xml:space="preserve"> = no spill occurs and value is set to 0.
</t>
        </r>
      </text>
    </comment>
    <comment ref="B56" authorId="0">
      <text>
        <r>
          <rPr>
            <b/>
            <sz val="10"/>
            <color indexed="81"/>
            <rFont val="Tahoma"/>
            <family val="2"/>
          </rPr>
          <t>Reach Gains = 3% of total gains accrued in Reaches 1, 2, and 3.  This estimate is based upon relative proportions of mean annual discharge at this and Node 1.00
Remaining 97% is input to Node 1.00.</t>
        </r>
      </text>
    </comment>
  </commentList>
</comments>
</file>

<file path=xl/comments3.xml><?xml version="1.0" encoding="utf-8"?>
<comments xmlns="http://schemas.openxmlformats.org/spreadsheetml/2006/main">
  <authors>
    <author>jschug</author>
  </authors>
  <commentList>
    <comment ref="B6" authorId="0">
      <text>
        <r>
          <rPr>
            <sz val="8"/>
            <color indexed="81"/>
            <rFont val="Tahoma"/>
            <family val="2"/>
          </rPr>
          <t xml:space="preserve">
</t>
        </r>
        <r>
          <rPr>
            <sz val="12"/>
            <color indexed="81"/>
            <rFont val="Tahoma"/>
            <family val="2"/>
          </rPr>
          <t>This node represents the confluence of two reaches. Therefore, it references the downstream outflows from both of them.  In this case, the reaches are Reach 1 and Reach 2.  The total outflow from those two reaches represent the Inflow to this reach beginning with Node 3.00.</t>
        </r>
      </text>
    </comment>
  </commentList>
</comments>
</file>

<file path=xl/comments4.xml><?xml version="1.0" encoding="utf-8"?>
<comments xmlns="http://schemas.openxmlformats.org/spreadsheetml/2006/main">
  <authors>
    <author>jschug</author>
  </authors>
  <commentList>
    <comment ref="B25" authorId="0">
      <text>
        <r>
          <rPr>
            <sz val="12"/>
            <color indexed="81"/>
            <rFont val="Tahoma"/>
            <family val="2"/>
          </rPr>
          <t xml:space="preserve">
Historic Average Release is the target reservoir release (data from USGS Gaging Station 10015900).</t>
        </r>
      </text>
    </comment>
    <comment ref="B26" authorId="0">
      <text>
        <r>
          <rPr>
            <sz val="12"/>
            <color indexed="81"/>
            <rFont val="Tahoma"/>
            <family val="2"/>
          </rPr>
          <t xml:space="preserve">
Evaporation values are conservatively high: assume full reservoir.</t>
        </r>
      </text>
    </comment>
    <comment ref="B33" authorId="0">
      <text>
        <r>
          <rPr>
            <b/>
            <u/>
            <sz val="12"/>
            <color indexed="81"/>
            <rFont val="Tahoma"/>
            <family val="2"/>
          </rPr>
          <t>This row is used as a temporary calculation</t>
        </r>
        <r>
          <rPr>
            <sz val="12"/>
            <color indexed="81"/>
            <rFont val="Tahoma"/>
            <family val="2"/>
          </rPr>
          <t xml:space="preserve">:
The purpose of this row is keep the reservoir from displaying storage less than the inactive storage pool.
</t>
        </r>
        <r>
          <rPr>
            <b/>
            <sz val="12"/>
            <color indexed="81"/>
            <rFont val="Tahoma"/>
            <family val="2"/>
          </rPr>
          <t>IF</t>
        </r>
        <r>
          <rPr>
            <sz val="12"/>
            <color indexed="81"/>
            <rFont val="Tahoma"/>
            <family val="2"/>
          </rPr>
          <t xml:space="preserve"> the new EOM storage (In - Out + Previous EOM) is less than Inactive Storage, 
</t>
        </r>
        <r>
          <rPr>
            <b/>
            <sz val="12"/>
            <color indexed="81"/>
            <rFont val="Tahoma"/>
            <family val="2"/>
          </rPr>
          <t>THEN</t>
        </r>
        <r>
          <rPr>
            <sz val="12"/>
            <color indexed="81"/>
            <rFont val="Tahoma"/>
            <family val="2"/>
          </rPr>
          <t xml:space="preserve"> the new EOM storage is set to Inactive Storage,
</t>
        </r>
        <r>
          <rPr>
            <b/>
            <sz val="12"/>
            <color indexed="81"/>
            <rFont val="Tahoma"/>
            <family val="2"/>
          </rPr>
          <t>OTHERWISE</t>
        </r>
        <r>
          <rPr>
            <sz val="12"/>
            <color indexed="81"/>
            <rFont val="Tahoma"/>
            <family val="2"/>
          </rPr>
          <t>, the new EOM storage = In - Out + Previous EOM storage.
This row does not allow spillage and is allowed to exceed the maximum storage capacity of the reservoir.</t>
        </r>
        <r>
          <rPr>
            <sz val="8"/>
            <color indexed="81"/>
            <rFont val="Tahoma"/>
            <family val="2"/>
          </rPr>
          <t xml:space="preserve">
</t>
        </r>
      </text>
    </comment>
    <comment ref="B34" authorId="0">
      <text>
        <r>
          <rPr>
            <sz val="8"/>
            <color indexed="81"/>
            <rFont val="Tahoma"/>
            <family val="2"/>
          </rPr>
          <t xml:space="preserve">
</t>
        </r>
        <r>
          <rPr>
            <b/>
            <sz val="12"/>
            <color indexed="81"/>
            <rFont val="Tahoma"/>
            <family val="2"/>
          </rPr>
          <t xml:space="preserve">Actual Resease:
</t>
        </r>
        <r>
          <rPr>
            <sz val="8"/>
            <color indexed="81"/>
            <rFont val="Tahoma"/>
            <family val="2"/>
          </rPr>
          <t xml:space="preserve">
</t>
        </r>
        <r>
          <rPr>
            <b/>
            <sz val="12"/>
            <color indexed="81"/>
            <rFont val="Tahoma"/>
            <family val="2"/>
          </rPr>
          <t>IF</t>
        </r>
        <r>
          <rPr>
            <sz val="12"/>
            <color indexed="81"/>
            <rFont val="Tahoma"/>
            <family val="2"/>
          </rPr>
          <t xml:space="preserve"> there is enough water available to meet historic releases,
</t>
        </r>
        <r>
          <rPr>
            <b/>
            <sz val="12"/>
            <color indexed="81"/>
            <rFont val="Tahoma"/>
            <family val="2"/>
          </rPr>
          <t>THEN</t>
        </r>
        <r>
          <rPr>
            <sz val="12"/>
            <color indexed="81"/>
            <rFont val="Tahoma"/>
            <family val="2"/>
          </rPr>
          <t xml:space="preserve"> the reservoir releases the historic amount, 
</t>
        </r>
        <r>
          <rPr>
            <b/>
            <sz val="12"/>
            <color indexed="81"/>
            <rFont val="Tahoma"/>
            <family val="2"/>
          </rPr>
          <t>OTHERWISE</t>
        </r>
        <r>
          <rPr>
            <sz val="12"/>
            <color indexed="81"/>
            <rFont val="Tahoma"/>
            <family val="2"/>
          </rPr>
          <t>, Actual Release = Previous EOM storage + Inflow - Reservoir Evaporation</t>
        </r>
      </text>
    </comment>
    <comment ref="B35" authorId="0">
      <text>
        <r>
          <rPr>
            <b/>
            <sz val="12"/>
            <color indexed="81"/>
            <rFont val="Tahoma"/>
            <family val="2"/>
          </rPr>
          <t>Spillage</t>
        </r>
        <r>
          <rPr>
            <sz val="8"/>
            <color indexed="81"/>
            <rFont val="Tahoma"/>
            <family val="2"/>
          </rPr>
          <t xml:space="preserve">
</t>
        </r>
        <r>
          <rPr>
            <b/>
            <sz val="12"/>
            <color indexed="81"/>
            <rFont val="Tahoma"/>
            <family val="2"/>
          </rPr>
          <t>IF</t>
        </r>
        <r>
          <rPr>
            <sz val="12"/>
            <color indexed="81"/>
            <rFont val="Tahoma"/>
            <family val="2"/>
          </rPr>
          <t xml:space="preserve"> the EOM Content (w/o max capacity limitation) exceeds the maximum reservoir capacity,
</t>
        </r>
        <r>
          <rPr>
            <b/>
            <sz val="12"/>
            <color indexed="81"/>
            <rFont val="Tahoma"/>
            <family val="2"/>
          </rPr>
          <t>THEN</t>
        </r>
        <r>
          <rPr>
            <sz val="12"/>
            <color indexed="81"/>
            <rFont val="Tahoma"/>
            <family val="2"/>
          </rPr>
          <t xml:space="preserve"> spill = EOM Content (w/o max capacity limitation) - maximum storage capacity,
</t>
        </r>
        <r>
          <rPr>
            <b/>
            <sz val="12"/>
            <color indexed="81"/>
            <rFont val="Tahoma"/>
            <family val="2"/>
          </rPr>
          <t>OTHEWISE</t>
        </r>
        <r>
          <rPr>
            <sz val="12"/>
            <color indexed="81"/>
            <rFont val="Tahoma"/>
            <family val="2"/>
          </rPr>
          <t xml:space="preserve"> = no spill occurs and value is set to 0.
</t>
        </r>
      </text>
    </comment>
  </commentList>
</comments>
</file>

<file path=xl/comments5.xml><?xml version="1.0" encoding="utf-8"?>
<comments xmlns="http://schemas.openxmlformats.org/spreadsheetml/2006/main">
  <authors>
    <author>jschug</author>
  </authors>
  <commentList>
    <comment ref="B32" authorId="0">
      <text>
        <r>
          <rPr>
            <sz val="8"/>
            <color indexed="81"/>
            <rFont val="Tahoma"/>
            <family val="2"/>
          </rPr>
          <t xml:space="preserve">
</t>
        </r>
        <r>
          <rPr>
            <sz val="12"/>
            <color indexed="81"/>
            <rFont val="Tahoma"/>
            <family val="2"/>
          </rPr>
          <t xml:space="preserve">This node represents the confluence of two reaches. Therefore, it references the downstream outflows from both of them.  In this case, the reaches are Reach 9 and Reach 10.  </t>
        </r>
      </text>
    </comment>
  </commentList>
</comments>
</file>

<file path=xl/comments6.xml><?xml version="1.0" encoding="utf-8"?>
<comments xmlns="http://schemas.openxmlformats.org/spreadsheetml/2006/main">
  <authors>
    <author>jschug</author>
  </authors>
  <commentList>
    <comment ref="B17" authorId="0">
      <text>
        <r>
          <rPr>
            <sz val="14"/>
            <color indexed="81"/>
            <rFont val="Tahoma"/>
            <family val="2"/>
          </rPr>
          <t>Thomas Fork flows are not modeled explicitly.  Instead, they are included in the gains/losses computations for this reach.  Therefore, there are no additional flows attributed at this confluence node.</t>
        </r>
        <r>
          <rPr>
            <sz val="8"/>
            <color indexed="81"/>
            <rFont val="Tahoma"/>
            <family val="2"/>
          </rPr>
          <t xml:space="preserve">
</t>
        </r>
      </text>
    </comment>
  </commentList>
</comments>
</file>

<file path=xl/comments7.xml><?xml version="1.0" encoding="utf-8"?>
<comments xmlns="http://schemas.openxmlformats.org/spreadsheetml/2006/main">
  <authors>
    <author>jschug</author>
  </authors>
  <commentList>
    <comment ref="AG9" authorId="0">
      <text>
        <r>
          <rPr>
            <b/>
            <i/>
            <u/>
            <sz val="12"/>
            <color indexed="81"/>
            <rFont val="Tahoma"/>
            <family val="2"/>
          </rPr>
          <t xml:space="preserve">EFFICIENCY PATTERN </t>
        </r>
        <r>
          <rPr>
            <sz val="12"/>
            <color indexed="81"/>
            <rFont val="Tahoma"/>
            <family val="2"/>
          </rPr>
          <t xml:space="preserve">
The model applies any of several pre-determined irrigation efficiency patterns to the water diverted at each node.  The efficiency patterns represent that portion of the diversion which is lost via conveyance to the irrigated acreage and other irrigation losses ( ie. flood vs sprinkler irrigation).  For example, an efficiency pattern of  25 means that 25% of the water diverted is lost and does not return to the river and that 75% does.  These patterns are included on the </t>
        </r>
        <r>
          <rPr>
            <b/>
            <sz val="12"/>
            <color indexed="81"/>
            <rFont val="Tahoma"/>
            <family val="2"/>
          </rPr>
          <t xml:space="preserve">Options Tables </t>
        </r>
        <r>
          <rPr>
            <sz val="12"/>
            <color indexed="81"/>
            <rFont val="Tahoma"/>
            <family val="2"/>
          </rPr>
          <t xml:space="preserve">worksheet of the model. 
By entering the number associated with a pattern in this cell, the efficiency pattern is applied. </t>
        </r>
      </text>
    </comment>
    <comment ref="AE10" authorId="0">
      <text>
        <r>
          <rPr>
            <b/>
            <i/>
            <u/>
            <sz val="12"/>
            <color indexed="81"/>
            <rFont val="Tahoma"/>
            <family val="2"/>
          </rPr>
          <t>Total Diversions</t>
        </r>
        <r>
          <rPr>
            <b/>
            <sz val="12"/>
            <color indexed="81"/>
            <rFont val="Tahoma"/>
            <family val="2"/>
          </rPr>
          <t xml:space="preserve">
Total Diversions Data</t>
        </r>
        <r>
          <rPr>
            <sz val="12"/>
            <color indexed="81"/>
            <rFont val="Tahoma"/>
            <family val="2"/>
          </rPr>
          <t xml:space="preserve"> represent mean monthly diversions computed from measured data for the corresponding hydrologic condition ( i.e Dry / Normal / Wet years).  
The data in this table are retrieved from the master diversiond data table located on the </t>
        </r>
        <r>
          <rPr>
            <b/>
            <sz val="12"/>
            <color indexed="81"/>
            <rFont val="Tahoma"/>
            <family val="2"/>
          </rPr>
          <t xml:space="preserve">Diversion Data </t>
        </r>
        <r>
          <rPr>
            <sz val="12"/>
            <color indexed="81"/>
            <rFont val="Tahoma"/>
            <family val="2"/>
          </rPr>
          <t>worksheet.</t>
        </r>
      </text>
    </comment>
    <comment ref="AE11" authorId="0">
      <text>
        <r>
          <rPr>
            <b/>
            <i/>
            <u/>
            <sz val="12"/>
            <color indexed="81"/>
            <rFont val="Tahoma"/>
            <family val="2"/>
          </rPr>
          <t>Total Irrigation Returns</t>
        </r>
        <r>
          <rPr>
            <sz val="12"/>
            <color indexed="81"/>
            <rFont val="Tahoma"/>
            <family val="2"/>
          </rPr>
          <t xml:space="preserve">
</t>
        </r>
        <r>
          <rPr>
            <b/>
            <sz val="12"/>
            <color indexed="81"/>
            <rFont val="Tahoma"/>
            <family val="2"/>
          </rPr>
          <t>Total Irrigation Returns</t>
        </r>
        <r>
          <rPr>
            <sz val="12"/>
            <color indexed="81"/>
            <rFont val="Tahoma"/>
            <family val="2"/>
          </rPr>
          <t xml:space="preserve">  are computed using estimates of consumptive use associated with the corresponding acreage.
This table references the </t>
        </r>
        <r>
          <rPr>
            <b/>
            <sz val="12"/>
            <color indexed="81"/>
            <rFont val="Tahoma"/>
            <family val="2"/>
          </rPr>
          <t>Irrigation Efficiency</t>
        </r>
        <r>
          <rPr>
            <sz val="12"/>
            <color indexed="81"/>
            <rFont val="Tahoma"/>
            <family val="2"/>
          </rPr>
          <t xml:space="preserve"> table (see </t>
        </r>
        <r>
          <rPr>
            <b/>
            <sz val="12"/>
            <color indexed="81"/>
            <rFont val="Tahoma"/>
            <family val="2"/>
          </rPr>
          <t>Options Table</t>
        </r>
        <r>
          <rPr>
            <sz val="12"/>
            <color indexed="81"/>
            <rFont val="Tahoma"/>
            <family val="2"/>
          </rPr>
          <t xml:space="preserve">) and applies the appropriate percentage to the </t>
        </r>
        <r>
          <rPr>
            <b/>
            <sz val="12"/>
            <color indexed="81"/>
            <rFont val="Tahoma"/>
            <family val="2"/>
          </rPr>
          <t>Total Diversion.</t>
        </r>
      </text>
    </comment>
    <comment ref="AE13" authorId="0">
      <text>
        <r>
          <rPr>
            <b/>
            <i/>
            <u/>
            <sz val="12"/>
            <color indexed="81"/>
            <rFont val="Tahoma"/>
            <family val="2"/>
          </rPr>
          <t>TO:</t>
        </r>
        <r>
          <rPr>
            <sz val="12"/>
            <color indexed="81"/>
            <rFont val="Tahoma"/>
            <family val="2"/>
          </rPr>
          <t xml:space="preserve">
Irrigation Returns return to the model at the selected nodes.   By entering the node number here, and the relative percentage of the Total Irrigation Returns that actually returns to that node, the model can account for these flows.
The nodes entered herein were determined from review of existing irrigated acreage information including GIS, irrigation system mapping, and interviews.
In this example, the 60% of the water applied to acreage associated with Node 15.03 returns to Node 15.04 and 40% of it returns to Node 15.05.</t>
        </r>
      </text>
    </comment>
    <comment ref="AF13" authorId="0">
      <text>
        <r>
          <rPr>
            <b/>
            <i/>
            <u/>
            <sz val="12"/>
            <color indexed="81"/>
            <rFont val="Tahoma"/>
            <family val="2"/>
          </rPr>
          <t>PERCENT</t>
        </r>
        <r>
          <rPr>
            <sz val="12"/>
            <color indexed="81"/>
            <rFont val="Tahoma"/>
            <family val="2"/>
          </rPr>
          <t xml:space="preserve">
This column contains the proportion of 
Irrigation Returns return to the model at the selected nodes.   By entering the node number here, and the relative percentage of the Total Irrigation Returns that actually returns to that node, the model can account for these flows.
The nodes entered herein were determined from review of existing irrigated acreage information including GIS, irrigation system mapping, and interviews.</t>
        </r>
      </text>
    </comment>
    <comment ref="AG13" authorId="0">
      <text>
        <r>
          <rPr>
            <b/>
            <i/>
            <u/>
            <sz val="12"/>
            <color indexed="81"/>
            <rFont val="Tahoma"/>
            <family val="2"/>
          </rPr>
          <t>PERCENT</t>
        </r>
        <r>
          <rPr>
            <sz val="12"/>
            <color indexed="81"/>
            <rFont val="Tahoma"/>
            <family val="2"/>
          </rPr>
          <t xml:space="preserve">
</t>
        </r>
        <r>
          <rPr>
            <b/>
            <i/>
            <u/>
            <sz val="12"/>
            <color indexed="81"/>
            <rFont val="Tahoma"/>
            <family val="2"/>
          </rPr>
          <t xml:space="preserve">RETURN PATTERN </t>
        </r>
        <r>
          <rPr>
            <sz val="12"/>
            <color indexed="81"/>
            <rFont val="Tahoma"/>
            <family val="2"/>
          </rPr>
          <t xml:space="preserve">
The Return Pattern accommodates lags in irrigation returns.  In other words, not all of the water diverted from a node returns to the river in the same month it is diverted.  A proportion of it may, but the remainder may be lagged and take up to several months to return via groundwater pathways.
The Return Pattern directs the model to account for that portion of irrigation returns occurring in the same month as the diversion.  It then directs the model to add returns lagged from previous months.</t>
        </r>
      </text>
    </comment>
    <comment ref="AG14" authorId="0">
      <text>
        <r>
          <rPr>
            <b/>
            <i/>
            <u/>
            <sz val="12"/>
            <color indexed="81"/>
            <rFont val="Tahoma"/>
            <family val="2"/>
          </rPr>
          <t xml:space="preserve">RETURN VALUES
</t>
        </r>
        <r>
          <rPr>
            <sz val="12"/>
            <color indexed="81"/>
            <rFont val="Tahoma"/>
            <family val="2"/>
          </rPr>
          <t xml:space="preserve">
This table represents the diverted flow returning to the selected node. The values in this table represent the total of the diversion returning in the same month and that which has been lagged from previous months.</t>
        </r>
      </text>
    </comment>
  </commentList>
</comments>
</file>

<file path=xl/comments8.xml><?xml version="1.0" encoding="utf-8"?>
<comments xmlns="http://schemas.openxmlformats.org/spreadsheetml/2006/main">
  <authors>
    <author>jschug</author>
  </authors>
  <commentList>
    <comment ref="D19" authorId="0">
      <text>
        <r>
          <rPr>
            <sz val="10"/>
            <color indexed="81"/>
            <rFont val="Tahoma"/>
            <family val="2"/>
          </rPr>
          <t>Total Diversions = sum of all Reach 1 diversions less Hilliard East Side diverted flows.   
Hilliard East diversion is not modeled explicitly in this spreadsheet.  The diversion data were included in the diversion data tables in order to compute the Bear River Compact Allocations during water emergencies.
The diversion is located upstream of the USGS gaging station  (Station 10011500) and are therefore reflected in the gage data.</t>
        </r>
      </text>
    </comment>
    <comment ref="D22" authorId="0">
      <text>
        <r>
          <rPr>
            <b/>
            <sz val="12"/>
            <color indexed="81"/>
            <rFont val="Tahoma"/>
            <family val="2"/>
          </rPr>
          <t>Net historic gain / loss factor at Sulphur Creek Reservoir.</t>
        </r>
        <r>
          <rPr>
            <sz val="12"/>
            <color indexed="81"/>
            <rFont val="Tahoma"/>
            <family val="2"/>
          </rPr>
          <t xml:space="preserve">  
Effects of reservoir evaporation are included in gage measurements, therefore, evaporation is not included in estimates of ungaged gains/losses.  Ungaged gains/losses are based upon historic data, not modeled data.</t>
        </r>
      </text>
    </comment>
    <comment ref="D67" authorId="0">
      <text>
        <r>
          <rPr>
            <b/>
            <sz val="12"/>
            <color indexed="81"/>
            <rFont val="Tahoma"/>
            <family val="2"/>
          </rPr>
          <t>Net historic gain / loss factor at Sulphur Creek Reservoir.</t>
        </r>
        <r>
          <rPr>
            <sz val="12"/>
            <color indexed="81"/>
            <rFont val="Tahoma"/>
            <family val="2"/>
          </rPr>
          <t xml:space="preserve">  
Effects of reservoir evaporation are included in gage measurements, therefore, evaporation is not included in estimates of ungaged gains/losses.  Ungaged gains/losses are based upon historic data, not modeled data.</t>
        </r>
      </text>
    </comment>
    <comment ref="D127" authorId="0">
      <text>
        <r>
          <rPr>
            <sz val="10"/>
            <color indexed="81"/>
            <rFont val="Tahoma"/>
            <family val="2"/>
          </rPr>
          <t>Total Diversions = sum of all Reach 1 diversions less Quinn Bourne diverted flows.   
Quinn BOurne diversion is not modeled explicitly in this spreadsheet.  The diversion data were included in the diversion data tables in order to compute the Bear River Compact Allocations during water emergencies.
The diversion is located upstream of the USGS gaging station  (Station 10032000) and are therefore reflected in the gage data.</t>
        </r>
      </text>
    </comment>
  </commentList>
</comments>
</file>

<file path=xl/comments9.xml><?xml version="1.0" encoding="utf-8"?>
<comments xmlns="http://schemas.openxmlformats.org/spreadsheetml/2006/main">
  <authors>
    <author>jschug</author>
  </authors>
  <commentList>
    <comment ref="B7" authorId="0">
      <text>
        <r>
          <rPr>
            <sz val="8"/>
            <color indexed="81"/>
            <rFont val="Tahoma"/>
            <family val="2"/>
          </rPr>
          <t xml:space="preserve">
</t>
        </r>
        <r>
          <rPr>
            <b/>
            <sz val="12"/>
            <color indexed="81"/>
            <rFont val="Tahoma"/>
            <family val="2"/>
          </rPr>
          <t xml:space="preserve">Diversion Data: Monthly Total By Node </t>
        </r>
        <r>
          <rPr>
            <sz val="12"/>
            <color indexed="81"/>
            <rFont val="Tahoma"/>
            <family val="2"/>
          </rPr>
          <t>data are used in a VLOOKUP function at each node.
Every node is entered herein to simplify node formula logic.  Therefore, even if a node is a Gage Node (with no diversions), it is entered in this table and blanks or 0's entered.</t>
        </r>
      </text>
    </comment>
    <comment ref="B21" authorId="0">
      <text>
        <r>
          <rPr>
            <sz val="8"/>
            <color indexed="81"/>
            <rFont val="Tahoma"/>
            <family val="2"/>
          </rPr>
          <t xml:space="preserve">
</t>
        </r>
        <r>
          <rPr>
            <b/>
            <sz val="12"/>
            <color indexed="81"/>
            <rFont val="Tahoma"/>
            <family val="2"/>
          </rPr>
          <t>Hilliard East</t>
        </r>
        <r>
          <rPr>
            <sz val="12"/>
            <color indexed="81"/>
            <rFont val="Tahoma"/>
            <family val="2"/>
          </rPr>
          <t xml:space="preserve"> and </t>
        </r>
        <r>
          <rPr>
            <b/>
            <sz val="12"/>
            <color indexed="81"/>
            <rFont val="Tahoma"/>
            <family val="2"/>
          </rPr>
          <t>Quinn Bourne</t>
        </r>
        <r>
          <rPr>
            <sz val="12"/>
            <color indexed="81"/>
            <rFont val="Tahoma"/>
            <family val="2"/>
          </rPr>
          <t xml:space="preserve"> are not modeled explicitly, however, diversion data are included in this table to accommodate evaluation of Bear River Compact</t>
        </r>
      </text>
    </comment>
    <comment ref="B24" authorId="0">
      <text>
        <r>
          <rPr>
            <b/>
            <sz val="12"/>
            <color indexed="81"/>
            <rFont val="Tahoma"/>
            <family val="2"/>
          </rPr>
          <t xml:space="preserve">
Hilliard East</t>
        </r>
        <r>
          <rPr>
            <sz val="12"/>
            <color indexed="81"/>
            <rFont val="Tahoma"/>
            <family val="2"/>
          </rPr>
          <t xml:space="preserve"> and </t>
        </r>
        <r>
          <rPr>
            <b/>
            <sz val="12"/>
            <color indexed="81"/>
            <rFont val="Tahoma"/>
            <family val="2"/>
          </rPr>
          <t>Quinn Bourne</t>
        </r>
        <r>
          <rPr>
            <sz val="12"/>
            <color indexed="81"/>
            <rFont val="Tahoma"/>
            <family val="2"/>
          </rPr>
          <t xml:space="preserve"> are not modeled explicitly, however, diversion data are included in this table to accommodate evaluation of Bear River Compact</t>
        </r>
      </text>
    </comment>
    <comment ref="B57" authorId="0">
      <text>
        <r>
          <rPr>
            <sz val="12"/>
            <color indexed="81"/>
            <rFont val="Tahoma"/>
            <family val="2"/>
          </rPr>
          <t xml:space="preserve">
Average Chapman diversions are reduced by 50% to reflect that portion of diversions which are used in Wyoming.  The remainder of Chapman diversions are stored in Neponset Reservoir for use in Utah.</t>
        </r>
      </text>
    </comment>
    <comment ref="B83" authorId="0">
      <text>
        <r>
          <rPr>
            <b/>
            <sz val="12"/>
            <color indexed="81"/>
            <rFont val="Tahoma"/>
            <family val="2"/>
          </rPr>
          <t>Diversion Data: Monthly Total By Reach</t>
        </r>
        <r>
          <rPr>
            <sz val="12"/>
            <color indexed="81"/>
            <rFont val="Tahoma"/>
            <family val="2"/>
          </rPr>
          <t xml:space="preserve"> data are used in the determination of ungaged gains and losses for each reach.
This table simply pulls the total diversion for each reach from the </t>
        </r>
        <r>
          <rPr>
            <b/>
            <sz val="12"/>
            <color indexed="81"/>
            <rFont val="Tahoma"/>
            <family val="2"/>
          </rPr>
          <t xml:space="preserve">Diversion Data: Montly by Node </t>
        </r>
        <r>
          <rPr>
            <sz val="12"/>
            <color indexed="81"/>
            <rFont val="Tahoma"/>
            <family val="2"/>
          </rPr>
          <t>table.</t>
        </r>
      </text>
    </comment>
  </commentList>
</comments>
</file>

<file path=xl/comments10.xml><?xml version="1.0" encoding="utf-8"?>
<comments xmlns="http://schemas.openxmlformats.org/spreadsheetml/2006/main">
  <authors>
    <author>jschug</author>
  </authors>
  <commentList>
    <comment ref="C9" authorId="0">
      <text>
        <r>
          <rPr>
            <sz val="11"/>
            <color indexed="81"/>
            <rFont val="Tahoma"/>
            <family val="2"/>
          </rPr>
          <t xml:space="preserve">
Upper Utah Division is not modeled explicitly in this model.  Diversion data are included here for computation of Compact allocations.</t>
        </r>
      </text>
    </comment>
  </commentList>
</comments>
</file>

<file path=xl/sharedStrings.xml><?xml version="1.0" encoding="utf-8"?>
<sst xmlns="http://schemas.openxmlformats.org/spreadsheetml/2006/main" count="3849" uniqueCount="581">
  <si>
    <t>Jan</t>
  </si>
  <si>
    <t>Feb</t>
  </si>
  <si>
    <t>Mar</t>
  </si>
  <si>
    <t>Apr</t>
  </si>
  <si>
    <t>May</t>
  </si>
  <si>
    <t>Jun</t>
  </si>
  <si>
    <t>Jul</t>
  </si>
  <si>
    <t>Aug</t>
  </si>
  <si>
    <t>Sep</t>
  </si>
  <si>
    <t>Oct</t>
  </si>
  <si>
    <t>Nov</t>
  </si>
  <si>
    <t>Dec</t>
  </si>
  <si>
    <t xml:space="preserve">Type No. </t>
  </si>
  <si>
    <t xml:space="preserve">Pattern No. </t>
  </si>
  <si>
    <t>Reach 1:  Wyoming/Utah Stateline to Confluence with Sulphur Creek</t>
  </si>
  <si>
    <t>NET (Inflow - Outflow)</t>
  </si>
  <si>
    <t>Inflow To This Node</t>
  </si>
  <si>
    <t>Outflow From This Node</t>
  </si>
  <si>
    <t>Total</t>
  </si>
  <si>
    <t>Reach 1</t>
  </si>
  <si>
    <t>Reach 2</t>
  </si>
  <si>
    <t>Reach 3</t>
  </si>
  <si>
    <t>Reach 4</t>
  </si>
  <si>
    <t>Reach 5</t>
  </si>
  <si>
    <t>Reach 6</t>
  </si>
  <si>
    <t>Reach 7</t>
  </si>
  <si>
    <t>Reach 8</t>
  </si>
  <si>
    <t>Reach 9</t>
  </si>
  <si>
    <t>Reach 10</t>
  </si>
  <si>
    <t>Reach 11</t>
  </si>
  <si>
    <t>Reach 12</t>
  </si>
  <si>
    <t>Enter your list of reaches below</t>
  </si>
  <si>
    <t>Enter your nodes under the appropriate reach number</t>
  </si>
  <si>
    <t>Dynamic Link</t>
  </si>
  <si>
    <t>Enter your reach descriptions</t>
  </si>
  <si>
    <t>This reach is defined as:</t>
  </si>
  <si>
    <t>Name</t>
  </si>
  <si>
    <t>Node Number</t>
  </si>
  <si>
    <t>Crown &amp; Pine Grove</t>
  </si>
  <si>
    <t>McGraw &amp; Big Bend</t>
  </si>
  <si>
    <t>Lewis</t>
  </si>
  <si>
    <t>Meyers No. 2</t>
  </si>
  <si>
    <t>Meyers No. 1</t>
  </si>
  <si>
    <t>Meyers Irrigation</t>
  </si>
  <si>
    <t>Evanston Pipeline</t>
  </si>
  <si>
    <t>Booth</t>
  </si>
  <si>
    <t>Anel</t>
  </si>
  <si>
    <t>Evanston Water Supply</t>
  </si>
  <si>
    <t>Evanston Water Ditch</t>
  </si>
  <si>
    <t xml:space="preserve">Note: </t>
  </si>
  <si>
    <t>"0" means proportion that returns in same month as diverted</t>
  </si>
  <si>
    <t>"1" means returns in next month</t>
  </si>
  <si>
    <t>"2" means returns in two months</t>
  </si>
  <si>
    <t>etc.</t>
  </si>
  <si>
    <t>Efficiency Pattern =</t>
  </si>
  <si>
    <t>Return Pattern =</t>
  </si>
  <si>
    <t>Total Irrigation Returns =</t>
  </si>
  <si>
    <t>Total Diversions =</t>
  </si>
  <si>
    <t>Node 1.01</t>
  </si>
  <si>
    <t>Node 1.02</t>
  </si>
  <si>
    <t>Node 1.03</t>
  </si>
  <si>
    <t>Node 1.04</t>
  </si>
  <si>
    <t>Node 1.05</t>
  </si>
  <si>
    <t>Node 1.06</t>
  </si>
  <si>
    <t>Node 1.07</t>
  </si>
  <si>
    <t>Node 1.08</t>
  </si>
  <si>
    <t>Node 1.09</t>
  </si>
  <si>
    <t>Node 1.10</t>
  </si>
  <si>
    <t>Node 1.11</t>
  </si>
  <si>
    <t>Node 1.12</t>
  </si>
  <si>
    <t>Node 1.13</t>
  </si>
  <si>
    <t>Node 3.01</t>
  </si>
  <si>
    <r>
      <t xml:space="preserve">Summary Table : This table represents the TOTAL IRRIGATION RETURNS going </t>
    </r>
    <r>
      <rPr>
        <b/>
        <i/>
        <sz val="12"/>
        <rFont val="Arial"/>
        <family val="2"/>
      </rPr>
      <t>TO</t>
    </r>
    <r>
      <rPr>
        <i/>
        <sz val="12"/>
        <rFont val="Arial"/>
        <family val="2"/>
      </rPr>
      <t xml:space="preserve"> each node based upon the calculations in the table above</t>
    </r>
  </si>
  <si>
    <t>TO:</t>
  </si>
  <si>
    <t>Percent</t>
  </si>
  <si>
    <t>Sulphur Creek Reservoir</t>
  </si>
  <si>
    <t>Node 1.00</t>
  </si>
  <si>
    <t>Node 2.00</t>
  </si>
  <si>
    <t>Node 2.01</t>
  </si>
  <si>
    <t>Node 3.00</t>
  </si>
  <si>
    <t>Reach</t>
  </si>
  <si>
    <t>NA</t>
  </si>
  <si>
    <t>Ungaged Gains/Losses</t>
  </si>
  <si>
    <t xml:space="preserve">Outflow from Reservoir </t>
  </si>
  <si>
    <t>Calculation of Reservoir End-of-Month Contents</t>
  </si>
  <si>
    <t>Change in Storage</t>
  </si>
  <si>
    <t>Starting End-of-Month Contents</t>
  </si>
  <si>
    <t>Max Storage Capacity</t>
  </si>
  <si>
    <t>Woodruff Narrows</t>
  </si>
  <si>
    <t>Reservoir Evaporative Losses</t>
  </si>
  <si>
    <t>Master List of Node Numbers and their Names</t>
  </si>
  <si>
    <t>Select a reach to view:</t>
  </si>
  <si>
    <t>A1</t>
  </si>
  <si>
    <t>B</t>
  </si>
  <si>
    <t>"Efficiency Pattern" is selected in appropriate cell and returns adjusted accordingly.</t>
  </si>
  <si>
    <t>A2</t>
  </si>
  <si>
    <t>"Total Irrigation Returns" = Net return to the river system after consumptive use losses.</t>
  </si>
  <si>
    <t>A3</t>
  </si>
  <si>
    <t>Consumptive use losses are computed in separate spreadsheet and values entered herein.</t>
  </si>
  <si>
    <t>The Total Irrigation Returns value is divided among those nodes listed at each diversion.</t>
  </si>
  <si>
    <t>B1</t>
  </si>
  <si>
    <t>The nodes where returns occur were determined for each diversion by evaluating the relative location of the lands irrigated.  Using input from local irrigators, site reconnaissance, and engineering judgement, the appropriate nodes were selected to best reflect system conditions.</t>
  </si>
  <si>
    <t>B2</t>
  </si>
  <si>
    <t>Return Patterns were estimated using published information and local information.</t>
  </si>
  <si>
    <t>B3</t>
  </si>
  <si>
    <t>Return flows were lagged up to 3 months following the month in which they were diverted.</t>
  </si>
  <si>
    <t>JAN</t>
  </si>
  <si>
    <t>FEB</t>
  </si>
  <si>
    <t>MAR</t>
  </si>
  <si>
    <t>APR</t>
  </si>
  <si>
    <t>MAY</t>
  </si>
  <si>
    <t>JUN</t>
  </si>
  <si>
    <t>JUL</t>
  </si>
  <si>
    <t>AUG</t>
  </si>
  <si>
    <t>SEP</t>
  </si>
  <si>
    <t>OCT</t>
  </si>
  <si>
    <t>NOV</t>
  </si>
  <si>
    <t>DEC</t>
  </si>
  <si>
    <t>Irrigation Return Lags</t>
  </si>
  <si>
    <t>Node 4.00</t>
  </si>
  <si>
    <t>Node 6.00</t>
  </si>
  <si>
    <t>Node 7.00</t>
  </si>
  <si>
    <t>Node 8.00</t>
  </si>
  <si>
    <t>Node 9.00</t>
  </si>
  <si>
    <t>Node 11.00</t>
  </si>
  <si>
    <t>Node 12.00</t>
  </si>
  <si>
    <t>Node</t>
  </si>
  <si>
    <t>Node 11.01</t>
  </si>
  <si>
    <t>Alonzo F. Sights</t>
  </si>
  <si>
    <t>Bear Canal</t>
  </si>
  <si>
    <t>Node 7.02</t>
  </si>
  <si>
    <t>Bear River Canal</t>
  </si>
  <si>
    <t>Node 10.02</t>
  </si>
  <si>
    <t>Button Flat</t>
  </si>
  <si>
    <t>Node 5.01</t>
  </si>
  <si>
    <t>Node 11.03</t>
  </si>
  <si>
    <t>Node 10.04</t>
  </si>
  <si>
    <t>Node 10.05</t>
  </si>
  <si>
    <t>Node 10.03</t>
  </si>
  <si>
    <t>Node 7.01</t>
  </si>
  <si>
    <t>Node 10.07</t>
  </si>
  <si>
    <t>Node 4.01</t>
  </si>
  <si>
    <t>Lannon &amp; Lone Mountain</t>
  </si>
  <si>
    <t>Node 5.02</t>
  </si>
  <si>
    <t>Morris Bros (Lower)</t>
  </si>
  <si>
    <t>Node 11.02</t>
  </si>
  <si>
    <t>Oscar E. Snyder</t>
  </si>
  <si>
    <t>Node 10.01</t>
  </si>
  <si>
    <t>Quinn Bourne</t>
  </si>
  <si>
    <t>Node 3.02</t>
  </si>
  <si>
    <t>Rocky Mtn &amp; Blyth</t>
  </si>
  <si>
    <t>Node 10.09</t>
  </si>
  <si>
    <t>S Branch Irrigating</t>
  </si>
  <si>
    <t>Node 4.02</t>
  </si>
  <si>
    <t>S P Ramsey</t>
  </si>
  <si>
    <t>Node 5.03</t>
  </si>
  <si>
    <t>Tunnel</t>
  </si>
  <si>
    <t>Node 10.06</t>
  </si>
  <si>
    <t>VH Canal</t>
  </si>
  <si>
    <t>Node 10.08</t>
  </si>
  <si>
    <t>Whites Water</t>
  </si>
  <si>
    <t>Node 2.02</t>
  </si>
  <si>
    <t>Node 6.01</t>
  </si>
  <si>
    <t>Woodruff Narrows Reservoir</t>
  </si>
  <si>
    <t>Node 8.01</t>
  </si>
  <si>
    <t>Pixley Dam</t>
  </si>
  <si>
    <t>Node 9.01</t>
  </si>
  <si>
    <t>Node 5.00</t>
  </si>
  <si>
    <t>Node 10.00</t>
  </si>
  <si>
    <t>Chapman Canal</t>
  </si>
  <si>
    <t>Cook Brothers</t>
  </si>
  <si>
    <t>Cooper</t>
  </si>
  <si>
    <t>Covey</t>
  </si>
  <si>
    <t>Emelle</t>
  </si>
  <si>
    <t>Francis Lee</t>
  </si>
  <si>
    <t>Goodell</t>
  </si>
  <si>
    <t>Hilliard West Side</t>
  </si>
  <si>
    <t>Confluence Yellow Creek / Bear River</t>
  </si>
  <si>
    <t>Confluence Sulphur Creek / Bear River</t>
  </si>
  <si>
    <t>Confluence Smiths Fork / Bear</t>
  </si>
  <si>
    <t>Ungaged Gains</t>
  </si>
  <si>
    <t>Ungaged Losses</t>
  </si>
  <si>
    <t>Gage Number</t>
  </si>
  <si>
    <t>Average Monthly Streamflow (ac-ft) : Dry Year Conditions</t>
  </si>
  <si>
    <t>Import/Export Data</t>
  </si>
  <si>
    <t>Reservoir Node</t>
  </si>
  <si>
    <t xml:space="preserve">Reach 4:  </t>
  </si>
  <si>
    <t>Node ___</t>
  </si>
  <si>
    <t xml:space="preserve"> </t>
  </si>
  <si>
    <t>Node 2.03</t>
  </si>
  <si>
    <t>It contains the following Nodes:</t>
  </si>
  <si>
    <t>Select an Input Table:</t>
  </si>
  <si>
    <t>Ungaged Gain and Loss Calculations</t>
  </si>
  <si>
    <t>Reach Number</t>
  </si>
  <si>
    <t>Gage Difference</t>
  </si>
  <si>
    <t>Diversions</t>
  </si>
  <si>
    <t>Total Diversions</t>
  </si>
  <si>
    <t>Reach Total Diversions</t>
  </si>
  <si>
    <t>Irrigation Returns: Total By Node</t>
  </si>
  <si>
    <t>Irrigation Returns: Total By Reach</t>
  </si>
  <si>
    <t>Irrigation Returns: Node Evaluation</t>
  </si>
  <si>
    <t>Irrigation Return Tables</t>
  </si>
  <si>
    <t>Returns</t>
  </si>
  <si>
    <t>Total Returns</t>
  </si>
  <si>
    <t>Reach Total Returns</t>
  </si>
  <si>
    <t>Net Gain/Loss</t>
  </si>
  <si>
    <t>HELP:  NODE Tables</t>
  </si>
  <si>
    <t/>
  </si>
  <si>
    <t>HELP:  Irrigation Return Flows</t>
  </si>
  <si>
    <t>Node 15.03</t>
  </si>
  <si>
    <t>Example Diversion</t>
  </si>
  <si>
    <t>Node 15.04</t>
  </si>
  <si>
    <t>Node 15.05</t>
  </si>
  <si>
    <t>Irrigation Return Pattern  (Amount of the diversion that returns to the river)</t>
  </si>
  <si>
    <t>Reach 15</t>
  </si>
  <si>
    <t xml:space="preserve">USGS Gaging Station 1000000 Example Node </t>
  </si>
  <si>
    <t>Node 15.09 Irrigation Returns</t>
  </si>
  <si>
    <t>Node 15.09 Import/Export</t>
  </si>
  <si>
    <t>Total Node 15.09 Inflow</t>
  </si>
  <si>
    <t>Node 15.09 Diversions</t>
  </si>
  <si>
    <t>Total Node 15.09 Outflow</t>
  </si>
  <si>
    <t>Node 15.09</t>
  </si>
  <si>
    <t>Node 15.09 Gage Inflow</t>
  </si>
  <si>
    <t>Reach 1 Gain/Loss</t>
  </si>
  <si>
    <r>
      <t>Reach 2</t>
    </r>
    <r>
      <rPr>
        <b/>
        <sz val="14"/>
        <color indexed="12"/>
        <rFont val="Arial"/>
        <family val="2"/>
      </rPr>
      <t>:  Sulphur Creek: Inflow to Confluence with Bear River</t>
    </r>
  </si>
  <si>
    <t>Reach 4: USGS Gage 10016900 (Bear River at Evanston) to Confluence of Bear River and Yellow Creek</t>
  </si>
  <si>
    <t>Reach 5: Confluence of Bear River and Yellow Creek to USGS Gage 10020100 (Bear River above Woodruff Narrows Reservoir)</t>
  </si>
  <si>
    <t>Reach 2:  Sulphur Creek: Inflow to Confluence with Bear River. This reach includes Sulphur Creek Reservoir.</t>
  </si>
  <si>
    <t>Reach 6: USGS Gage 10020100 (Bear River above Woodruff Narrows Reservoir) to USGS Gage 10020300 (Bear River below Woodruff Narrows Reservoir).  This reach incorporates Woodruff Narrows Reservoir.</t>
  </si>
  <si>
    <r>
      <t xml:space="preserve">The </t>
    </r>
    <r>
      <rPr>
        <b/>
        <sz val="12"/>
        <rFont val="Arial"/>
        <family val="2"/>
      </rPr>
      <t>Irrigation Return Flow</t>
    </r>
    <r>
      <rPr>
        <sz val="12"/>
        <rFont val="Arial"/>
        <family val="2"/>
      </rPr>
      <t xml:space="preserve"> table presented below contains embedded HELP comments with each of its features.  To view a cell's HELP feature, simply position your mouse pointer over any cell displaying a red "comment flag" (also shaded ) and the HELP text will appear automatically.  You may need to scroll within the table to view the entire HELP text.</t>
    </r>
  </si>
  <si>
    <t>Node 7.03</t>
  </si>
  <si>
    <t>Aggregate Utah Diversions</t>
  </si>
  <si>
    <r>
      <t>Reach 10:</t>
    </r>
    <r>
      <rPr>
        <b/>
        <sz val="14"/>
        <color indexed="12"/>
        <rFont val="Arial"/>
        <family val="2"/>
      </rPr>
      <t xml:space="preserve"> Smiths Fork to Confluence with Bear River</t>
    </r>
  </si>
  <si>
    <t>Reach 7: USGS Gage 10020300 ( Bear River below Woodruff Narrows Reservoir) to USGS Gage 10026500 (Bear River near Randolph, UT)</t>
  </si>
  <si>
    <t>Reach 8: USGS Gage 10026500 (Bear River near Randolph, UT) to USGS Gage 10028500 (Bear River below Pixley Dam)</t>
  </si>
  <si>
    <t>Reach 9: USGS Gage 10028500 (Bear River below Pixley Dam) to Confluence of Bear River and Smiths Fork</t>
  </si>
  <si>
    <t>Reach 10: Smiths Fork to Confluence with Bear River</t>
  </si>
  <si>
    <t>Reach 11: Confluence of Bear River and Smiths Fork to USGS Gage 10039500 (Bear River at Border )</t>
  </si>
  <si>
    <t>Node 12.01</t>
  </si>
  <si>
    <t>Node 12.02</t>
  </si>
  <si>
    <t>Node 12.03</t>
  </si>
  <si>
    <t>Reach 3:  Confluence of Bear River / Sulphur Creek to USGS Gage 10016900 (Bear River at Evanston, WY)</t>
  </si>
  <si>
    <r>
      <t xml:space="preserve">The </t>
    </r>
    <r>
      <rPr>
        <b/>
        <sz val="12"/>
        <rFont val="Arial"/>
        <family val="2"/>
      </rPr>
      <t xml:space="preserve">EXAMPLE NODE TABLE </t>
    </r>
    <r>
      <rPr>
        <sz val="12"/>
        <rFont val="Arial"/>
        <family val="2"/>
      </rPr>
      <t>presented below contains embedded HELP comments with each of its features.  To view a cell's HELP feature, simply position your mouse pointer over any cell displaying a shaded cell with red "comment flag", and the HELP text will appear automatically.  You may need to scroll within the table to view the entire HELP text.</t>
    </r>
  </si>
  <si>
    <t xml:space="preserve">Ungaged Reach Gains </t>
  </si>
  <si>
    <t>Ungaged Reach Losses</t>
  </si>
  <si>
    <r>
      <t>NOTE:</t>
    </r>
    <r>
      <rPr>
        <sz val="11"/>
        <rFont val="Arial"/>
        <family val="2"/>
      </rPr>
      <t xml:space="preserve">  Reaches 1 and 3 are sequential reaches of the Bear River Mainstem which comprise a total reach bound by USGS gagesThe end of reach 1 (and beginning of reach 3 ) is a synthetic node representing the confluence with Sulphur Creek.  Therefore, the ungaged gain/loss for the combined reach will be added accordingly.Gains are added to the upstream end of reach 1.  Losses are taken from downstream end of reach 3.</t>
    </r>
  </si>
  <si>
    <t>Upstream Gage at:</t>
  </si>
  <si>
    <t>Downstream Gage at:</t>
  </si>
  <si>
    <r>
      <t>Bear River Planning Model:</t>
    </r>
    <r>
      <rPr>
        <b/>
        <i/>
        <sz val="20"/>
        <color indexed="12"/>
        <rFont val="Arial"/>
        <family val="2"/>
      </rPr>
      <t xml:space="preserve">      </t>
    </r>
    <r>
      <rPr>
        <b/>
        <i/>
        <u/>
        <sz val="20"/>
        <color indexed="12"/>
        <rFont val="Arial"/>
        <family val="2"/>
      </rPr>
      <t>Dry Year Condition</t>
    </r>
  </si>
  <si>
    <r>
      <t xml:space="preserve">Mean Monthly Evaporation (inches). </t>
    </r>
    <r>
      <rPr>
        <sz val="11"/>
        <rFont val="Arial"/>
        <family val="2"/>
      </rPr>
      <t xml:space="preserve"> Values reflect adjustment of pan evaporation data by a factor of 0.6</t>
    </r>
  </si>
  <si>
    <t>Avg (ac)=</t>
  </si>
  <si>
    <t>Sulphur Creek</t>
  </si>
  <si>
    <t>Mean Monthly Data (Green River, WY)</t>
  </si>
  <si>
    <t>Overall Average (Precipitation - inches)</t>
  </si>
  <si>
    <t xml:space="preserve">Overall Average (Net Evaporation - inches) </t>
  </si>
  <si>
    <t>-</t>
  </si>
  <si>
    <t>Reach 2 Nodes</t>
  </si>
  <si>
    <t>Reach 1 Nodes</t>
  </si>
  <si>
    <t>AggDiv SC-2</t>
  </si>
  <si>
    <t>AggDiv SC-1/Broadbent</t>
  </si>
  <si>
    <t>Reach 3 Nodes</t>
  </si>
  <si>
    <t>Reach 4 Nodes</t>
  </si>
  <si>
    <t>Node 4.03</t>
  </si>
  <si>
    <t>AggDiv BR-2</t>
  </si>
  <si>
    <t>Reach 5 Nodes</t>
  </si>
  <si>
    <t>Node 5.04</t>
  </si>
  <si>
    <t>AggDiv BR-3</t>
  </si>
  <si>
    <t>Reach 6 Nodes</t>
  </si>
  <si>
    <t>Reach 7 Nodes</t>
  </si>
  <si>
    <t>Reach 8 Nodes</t>
  </si>
  <si>
    <t>Node 8.02</t>
  </si>
  <si>
    <t>AggDiv BR-4</t>
  </si>
  <si>
    <t>Reach 9 Nodes</t>
  </si>
  <si>
    <t>Reach 10 Nodes</t>
  </si>
  <si>
    <t>Node 11.04</t>
  </si>
  <si>
    <t>AggDiv BR-5</t>
  </si>
  <si>
    <t>Reach 11 Nodes</t>
  </si>
  <si>
    <t>Reach 12 Nodes</t>
  </si>
  <si>
    <t>USGS 10016900: Bear R. at Evanston, WY</t>
  </si>
  <si>
    <t>USGS 10020100:  Bear R. ab res. nr Woodruff, UT</t>
  </si>
  <si>
    <t>USGS 10020300:  Bear R. bel res. nr Woodruff, UT</t>
  </si>
  <si>
    <t>USGS 10026500:  Bear R. nr Randolph, UT</t>
  </si>
  <si>
    <t>USGS 10039500:  Bear R. at Border, WY</t>
  </si>
  <si>
    <t>Reach 2 NET Flow (In - Out) Summary Table</t>
  </si>
  <si>
    <t>Reach 3 NET Flow (In - Out) Summary Table</t>
  </si>
  <si>
    <t>Node 3.00 NET Flow (In - Out)</t>
  </si>
  <si>
    <t>Node 3.01 NET Flow (In - Out)</t>
  </si>
  <si>
    <t>Node 3.02 NET Flow (In - Out)</t>
  </si>
  <si>
    <t>Reach 4 NET Flow (In - Out) Summary Table</t>
  </si>
  <si>
    <t>Node 4.00 NET Flow (In - Out)</t>
  </si>
  <si>
    <t>Node 4.01 NET Flow (In - Out)</t>
  </si>
  <si>
    <t>Node 4.02 NET Flow (In - Out)</t>
  </si>
  <si>
    <t>Reach 5 NET Flow (In - Out) Summary Table</t>
  </si>
  <si>
    <t>Node 5.00 NET Flow (In - Out)</t>
  </si>
  <si>
    <t>Node 5.01 NET Flow (In - Out)</t>
  </si>
  <si>
    <t>Node 5.02 NET Flow (In - Out)</t>
  </si>
  <si>
    <t>Node 5.03 NET Flow (In - Out)</t>
  </si>
  <si>
    <t>**</t>
  </si>
  <si>
    <t>Reach 6 NET Flow (In - Out) Summary Table</t>
  </si>
  <si>
    <t>Node 6.00 NET Flow (In - Out)</t>
  </si>
  <si>
    <t>Node 6.01 NET Flow (In - Out)</t>
  </si>
  <si>
    <t>Reach 7 NET Flow (In - Out) Summary Table</t>
  </si>
  <si>
    <t>Node 7.00 NET Flow (In - Out)</t>
  </si>
  <si>
    <t>Node 7.01 NET Flow (In - Out)</t>
  </si>
  <si>
    <t>Node 7.02 NET Flow (In - Out)</t>
  </si>
  <si>
    <t>Node 7.03 NET Flow (In - Out)</t>
  </si>
  <si>
    <t>Reach 8 NET Flow (In - Out) Summary Table</t>
  </si>
  <si>
    <t>Node 8.00 NET Flow (In - Out)</t>
  </si>
  <si>
    <t>Node 8.01 NET Flow (In - Out)</t>
  </si>
  <si>
    <t>Node 9.00 NET Flow (In - Out)</t>
  </si>
  <si>
    <t>Node 9.01 NET Flow (In - Out)</t>
  </si>
  <si>
    <t>Reach 9 NET Flow (In - Out) Summary Table</t>
  </si>
  <si>
    <t>Node 10.10</t>
  </si>
  <si>
    <t>AggDiv SF-1</t>
  </si>
  <si>
    <t>NODE</t>
  </si>
  <si>
    <t>Node 1.15</t>
  </si>
  <si>
    <t>END OF REACH 1</t>
  </si>
  <si>
    <t>END OF REACH 2</t>
  </si>
  <si>
    <t>END OF REACH 3</t>
  </si>
  <si>
    <t>Node 1.18</t>
  </si>
  <si>
    <t>Confluence Mill Cr.</t>
  </si>
  <si>
    <t>John Simms</t>
  </si>
  <si>
    <t>Confluence Thomas Fork</t>
  </si>
  <si>
    <t>Aggregate Idaho Diversions</t>
  </si>
  <si>
    <t>Node 12.04</t>
  </si>
  <si>
    <t>Stewart Dam</t>
  </si>
  <si>
    <t>BQ Dam</t>
  </si>
  <si>
    <t>Node 9.02</t>
  </si>
  <si>
    <t>na</t>
  </si>
  <si>
    <t>TOTAL</t>
  </si>
  <si>
    <t>AggDiv BR-1</t>
  </si>
  <si>
    <t>Node 4.01 Diversions</t>
  </si>
  <si>
    <t>Node 4.02 Diversions</t>
  </si>
  <si>
    <t>Node 5.01 Diversions</t>
  </si>
  <si>
    <t>Node 5.02 Diversions</t>
  </si>
  <si>
    <t>Node 5.03 Diversions</t>
  </si>
  <si>
    <t>Reach 4 &amp; 5</t>
  </si>
  <si>
    <t>reach 4 &amp; 5</t>
  </si>
  <si>
    <t>Reach 1, 2 &amp; 3</t>
  </si>
  <si>
    <t>Historic Diversion Data: Monthly Total By Reach</t>
  </si>
  <si>
    <t>Node 1.00 NET Flow (In - Out)</t>
  </si>
  <si>
    <t>Node 1.01 NET Flow (In - Out)</t>
  </si>
  <si>
    <t>Node 1.02 NET Flow (In - Out)</t>
  </si>
  <si>
    <t>Node 1.03 NET Flow (In - Out)</t>
  </si>
  <si>
    <t>Node 1.04 NET Flow (In - Out)</t>
  </si>
  <si>
    <t>Node 1.05 NET Flow (In - Out)</t>
  </si>
  <si>
    <t>Node 1.06 NET Flow (In - Out)</t>
  </si>
  <si>
    <t>Node 1.07 NET Flow (In - Out)</t>
  </si>
  <si>
    <t>Node 1.08 NET Flow (In - Out)</t>
  </si>
  <si>
    <t>Node 1.09 NET Flow (In - Out)</t>
  </si>
  <si>
    <t>Node 1.10 NET Flow (In - Out)</t>
  </si>
  <si>
    <t>Node 1.11 NET Flow (In - Out)</t>
  </si>
  <si>
    <t>Node 1.12 NET Flow (In - Out)</t>
  </si>
  <si>
    <t>Node 1.13 NET Flow (In - Out)</t>
  </si>
  <si>
    <t>Node 1.15 NET Flow (In - Out)</t>
  </si>
  <si>
    <t>Node 2.02 NET Flow (In - Out)</t>
  </si>
  <si>
    <t>Node 2.03 NET Flow (In - Out)</t>
  </si>
  <si>
    <t>Node 2.00 NET Flow (In - Out)</t>
  </si>
  <si>
    <t>Node 2.01 NET Flow (In - Out)</t>
  </si>
  <si>
    <t>END OF REACH 4</t>
  </si>
  <si>
    <t>END OF REACH 5</t>
  </si>
  <si>
    <t>END OF REACH 6</t>
  </si>
  <si>
    <t>END OF REACH 7</t>
  </si>
  <si>
    <t>reach 8</t>
  </si>
  <si>
    <t>END OF REACH 8</t>
  </si>
  <si>
    <t>Reach 9 &amp; 10</t>
  </si>
  <si>
    <t>reach 11</t>
  </si>
  <si>
    <t>Reach 10 NET Flow (In - Out) Summary Table</t>
  </si>
  <si>
    <t>Node 10.01 NET Flow (In - Out)</t>
  </si>
  <si>
    <t>Node 10.02 NET Flow (In - Out)</t>
  </si>
  <si>
    <t>Node 10.03 NET Flow (In - Out)</t>
  </si>
  <si>
    <t>Node 10.04 NET Flow (In - Out)</t>
  </si>
  <si>
    <t>Node 10.05 NET Flow (In - Out)</t>
  </si>
  <si>
    <t>Node 10.06 NET Flow (In - Out)</t>
  </si>
  <si>
    <t>Node 10.07 NET Flow (In - Out)</t>
  </si>
  <si>
    <t>Node 10.09 NET Flow (In - Out)</t>
  </si>
  <si>
    <t>Node 10.08 NET Flow (In - Out)</t>
  </si>
  <si>
    <t>Node 10.10 NET Flow (In - Out)</t>
  </si>
  <si>
    <t>Reach 11 NET Flow (In - Out) Summary Table</t>
  </si>
  <si>
    <t>Node 11.01 NET Flow (In - Out)</t>
  </si>
  <si>
    <t>Node 11.02 NET Flow (In - Out)</t>
  </si>
  <si>
    <t>Node 11.03 NET Flow (In - Out)</t>
  </si>
  <si>
    <t>Node 11.04 NET Flow (In - Out)</t>
  </si>
  <si>
    <t>Summary of Outflow Calculations: By Node</t>
  </si>
  <si>
    <t>Summary of Outflow Calculations: By Reach</t>
  </si>
  <si>
    <t>END OF REACH 9</t>
  </si>
  <si>
    <t>END OF REACH 10</t>
  </si>
  <si>
    <t>END OF REACH 11</t>
  </si>
  <si>
    <t>Node 1.00 Diversions</t>
  </si>
  <si>
    <t>Node 1.01 Diversions</t>
  </si>
  <si>
    <t>Node 1.02 Diversions</t>
  </si>
  <si>
    <t>Node 1.03 Diversions</t>
  </si>
  <si>
    <t>Node 1.04 Diversions</t>
  </si>
  <si>
    <t>Node 1.05 Diversions</t>
  </si>
  <si>
    <t>Node 1.06 Diversions</t>
  </si>
  <si>
    <t>Node 1.07 Diversions</t>
  </si>
  <si>
    <t>Node 1.08 Diversions</t>
  </si>
  <si>
    <t>Node 1.09 Diversions</t>
  </si>
  <si>
    <t>Node 1.10 Diversions</t>
  </si>
  <si>
    <t>Node 1.11 Diversions</t>
  </si>
  <si>
    <t>Node 1.12 Diversions</t>
  </si>
  <si>
    <t>Node 1.13 Diversions</t>
  </si>
  <si>
    <t>Node 1.15 Diversions</t>
  </si>
  <si>
    <t>Reach 2 Diversions Summary Table</t>
  </si>
  <si>
    <t>Node 2.00 Diversions</t>
  </si>
  <si>
    <t>Node 2.01 Diversions</t>
  </si>
  <si>
    <t>Node 2.02 Diversions</t>
  </si>
  <si>
    <t>Node 2.03 Diversions</t>
  </si>
  <si>
    <t>Reach 3 Diversions Summary Table</t>
  </si>
  <si>
    <t>Node 3.00 Diversions</t>
  </si>
  <si>
    <t>Node 3.01 Diversions</t>
  </si>
  <si>
    <t>Node 3.02 Diversions</t>
  </si>
  <si>
    <t>Reach 4 Diversions Summary Table</t>
  </si>
  <si>
    <t>Node 4.00 Diversions</t>
  </si>
  <si>
    <t>Reach 5 Diversions Summary Table</t>
  </si>
  <si>
    <t>Node 5.00 Diversions</t>
  </si>
  <si>
    <t>Reach 6 Diversions Summary Table</t>
  </si>
  <si>
    <t>Node 6.00 Diversions</t>
  </si>
  <si>
    <t>Node 6.01 Diversions</t>
  </si>
  <si>
    <t>Reach 7 Diversions Summary Table</t>
  </si>
  <si>
    <t>Node 7.00 Diversions</t>
  </si>
  <si>
    <t>Node 7.01 Diversions</t>
  </si>
  <si>
    <t>Node 7.02 Diversions</t>
  </si>
  <si>
    <t>Node 7.03 Diversions</t>
  </si>
  <si>
    <t>Reach 8 Diversions Summary Table</t>
  </si>
  <si>
    <t>Node 8.00 Diversions</t>
  </si>
  <si>
    <t>Node 8.01 Diversions</t>
  </si>
  <si>
    <t>Reach 9 Diversions Summary Table</t>
  </si>
  <si>
    <t>Node 9.00 Diversions</t>
  </si>
  <si>
    <t>Node 9.01 Diversions</t>
  </si>
  <si>
    <t>Reach 10 Diversions Summary Table</t>
  </si>
  <si>
    <t>Node 10.01 Diversions</t>
  </si>
  <si>
    <t>Node 10.02 Diversions</t>
  </si>
  <si>
    <t>Node 10.03 Diversions</t>
  </si>
  <si>
    <t>Node 10.04 Diversions</t>
  </si>
  <si>
    <t>Node 10.05 Diversions</t>
  </si>
  <si>
    <t>Node 10.06 Diversions</t>
  </si>
  <si>
    <t>Node 10.07 Diversions</t>
  </si>
  <si>
    <t>Node 10.08 Diversions</t>
  </si>
  <si>
    <t>Node 10.09 Diversions</t>
  </si>
  <si>
    <t>Node 10.10 Diversions</t>
  </si>
  <si>
    <t>Reach 11 Diversions Summary Table</t>
  </si>
  <si>
    <t>Node 11.01 Diversions</t>
  </si>
  <si>
    <t>Node 11.02 Diversions</t>
  </si>
  <si>
    <t>Node 11.03 Diversions</t>
  </si>
  <si>
    <t>Node 11.04 Diversions</t>
  </si>
  <si>
    <t>Reach 1 Diversions Summary Table</t>
  </si>
  <si>
    <t>Summary of Diversion Calculations: By Reach</t>
  </si>
  <si>
    <t>Go to any reach by clicking on the Reach Number  or the appropriate arrow when the "Hand" icon appears.</t>
  </si>
  <si>
    <t>Node 8.02 Diversions</t>
  </si>
  <si>
    <t>Node 9.02 Diversions</t>
  </si>
  <si>
    <t>Historic</t>
  </si>
  <si>
    <t>Estimated</t>
  </si>
  <si>
    <t>Node 4.03 Diversions</t>
  </si>
  <si>
    <t>Node 4.03 NET Flow (In - Out)</t>
  </si>
  <si>
    <t>Difference</t>
  </si>
  <si>
    <t>% Diff</t>
  </si>
  <si>
    <t>Reach 12 NET Flow (In - Out) Summary Table</t>
  </si>
  <si>
    <t>Node 12.01 NET Flow (In - Out)</t>
  </si>
  <si>
    <t>Node 12.00 NET Flow (In - Out)</t>
  </si>
  <si>
    <t>Node 12.02 NET Flow (In - Out)</t>
  </si>
  <si>
    <t>Node 12.03 NET Flow (In - Out)</t>
  </si>
  <si>
    <t>Node 12.04 NET Flow (In - Out)</t>
  </si>
  <si>
    <t>Reach 12 Diversions Summary Table</t>
  </si>
  <si>
    <t>Node 12.01 Diversions</t>
  </si>
  <si>
    <t>Node 12.02 Diversions</t>
  </si>
  <si>
    <t>Node 12.03 Diversions</t>
  </si>
  <si>
    <t>Node 12.04 Diversions</t>
  </si>
  <si>
    <t>Historic Diversion Data (Dry Year)</t>
  </si>
  <si>
    <t>Central Division</t>
  </si>
  <si>
    <t>(1) Wyoming Diversions</t>
  </si>
  <si>
    <t>(2) Idaho Diversions</t>
  </si>
  <si>
    <t>OR</t>
  </si>
  <si>
    <t>Total Central Division Divertible Flow (ac-ft)</t>
  </si>
  <si>
    <t>(cfs)</t>
  </si>
  <si>
    <t>Rainbow Inlet</t>
  </si>
  <si>
    <t>Allocation in the State of Wyoming</t>
  </si>
  <si>
    <t>Allocation in the State of Idaho</t>
  </si>
  <si>
    <t>Bear River Commission Water Allocation</t>
  </si>
  <si>
    <t>Lower Utah Section Diversions</t>
  </si>
  <si>
    <t>Lower Wyoming Section Diversions</t>
  </si>
  <si>
    <t>Bear River Below Pixley Dam</t>
  </si>
  <si>
    <t>Upper Utah Section Allocation</t>
  </si>
  <si>
    <t>Upper Wyoming Allocation</t>
  </si>
  <si>
    <t>Lower Utah Section Allocation</t>
  </si>
  <si>
    <t>Lower Wyoming Section Allocation</t>
  </si>
  <si>
    <t>Summary of Diversion Calculations: By Node</t>
  </si>
  <si>
    <t>Diversion Summary Worksheet</t>
  </si>
  <si>
    <t>Outflow Summary Worksheet</t>
  </si>
  <si>
    <r>
      <t>Total</t>
    </r>
    <r>
      <rPr>
        <b/>
        <sz val="10"/>
        <rFont val="Arial"/>
        <family val="2"/>
      </rPr>
      <t xml:space="preserve"> Upper Division Divertible Flow (ac-ft)</t>
    </r>
  </si>
  <si>
    <t>Upper Wyoming Section Diversion</t>
  </si>
  <si>
    <t>Upper Division</t>
  </si>
  <si>
    <r>
      <t>Is Total Upper Division Divertible Flow less  than  1250 cfs?If so, Water Emergency (</t>
    </r>
    <r>
      <rPr>
        <b/>
        <sz val="10"/>
        <color indexed="10"/>
        <rFont val="Arial"/>
        <family val="2"/>
      </rPr>
      <t>W.E</t>
    </r>
    <r>
      <rPr>
        <sz val="10"/>
        <color indexed="10"/>
        <rFont val="Arial"/>
        <family val="2"/>
      </rPr>
      <t>.</t>
    </r>
    <r>
      <rPr>
        <sz val="10"/>
        <rFont val="Arial"/>
        <family val="2"/>
      </rPr>
      <t>) exists.</t>
    </r>
  </si>
  <si>
    <r>
      <t>Is Flow at Border &lt; 350 cfs?If so, Water Emergency (</t>
    </r>
    <r>
      <rPr>
        <b/>
        <sz val="10"/>
        <color indexed="10"/>
        <rFont val="Arial"/>
        <family val="2"/>
      </rPr>
      <t>W.E.</t>
    </r>
    <r>
      <rPr>
        <sz val="10"/>
        <rFont val="Arial"/>
        <family val="2"/>
      </rPr>
      <t>) exists.</t>
    </r>
  </si>
  <si>
    <r>
      <t>Is Total Divertible Flow (2) &lt; 870 cfs? If so, Water Emergency (</t>
    </r>
    <r>
      <rPr>
        <b/>
        <sz val="10"/>
        <color indexed="10"/>
        <rFont val="Arial"/>
        <family val="2"/>
      </rPr>
      <t>W.E.</t>
    </r>
    <r>
      <rPr>
        <sz val="10"/>
        <rFont val="Arial"/>
        <family val="2"/>
      </rPr>
      <t>) exists.</t>
    </r>
  </si>
  <si>
    <t>reach 9 &amp; 10</t>
  </si>
  <si>
    <t>reach 12</t>
  </si>
  <si>
    <t>Outflows</t>
  </si>
  <si>
    <t>Compact Allocations</t>
  </si>
  <si>
    <t>Computed Diversions in each Reach are tabulated here.</t>
  </si>
  <si>
    <t>Computed Outflows in each Reach are tabulated here.</t>
  </si>
  <si>
    <t>Computed Outflow from each Reach is tabulated here.</t>
  </si>
  <si>
    <t>Computed Diversion from each Node is tabulated here.</t>
  </si>
  <si>
    <t>Upper Division Compact Allocation Worksheet</t>
  </si>
  <si>
    <t>Central Division Compact Allocation Worksheet</t>
  </si>
  <si>
    <t>Select the Summary Output You Would Like to View</t>
  </si>
  <si>
    <t>Reach 12 : USGS Gage 10039500 to Stewart Dam, including Rainbow Inlet</t>
  </si>
  <si>
    <t>This number is the currently selected reach.</t>
  </si>
  <si>
    <t>Modification of the model must include completion of this table.  If new reaches must be entered, INSERT columns and renumber the header.  This will cause formulae which reference this table to change accordingly.  Also, if the table must be expanded vertically, i.e., more nodes must be added than the table currently accomodates, the same practice should be followed.  That is, always INSERT rows or columns within the existing table. This allows the programmer to avoid modification of formulae which use the table.</t>
  </si>
  <si>
    <t>Reach / Node Description Table</t>
  </si>
  <si>
    <t>The programmer can also fill the empty rows below a node list with "-" to avoid errors in the lookup table displayed to the user.</t>
  </si>
  <si>
    <t>The programmer must also modify the macro associated with the pulldown menu to include all reaches.  Begin by naming a cell in the upper left of any additional Reach worksheets.  Then modify the Visual Basic code to include a "GoTo"reference for that worksheet.</t>
  </si>
  <si>
    <t xml:space="preserve">NOTE TO PROGRAMMERS:  </t>
  </si>
  <si>
    <r>
      <t xml:space="preserve">Mean Monthly Evaporation (acre-feet). </t>
    </r>
    <r>
      <rPr>
        <sz val="11"/>
        <rFont val="Arial"/>
        <family val="2"/>
      </rPr>
      <t xml:space="preserve"> </t>
    </r>
  </si>
  <si>
    <t>Reach Name</t>
  </si>
  <si>
    <t>REACH NAME =</t>
  </si>
  <si>
    <t>Insert new nodes</t>
  </si>
  <si>
    <t>Node 5.04 Diversions</t>
  </si>
  <si>
    <t>USGS 10011500:  Bear River near UT-WY State Line</t>
  </si>
  <si>
    <t>USGS 10015700:  Sulphur Cr. ab Res.Bl.La Chapelle Cr.Nr.Evanston,WY</t>
  </si>
  <si>
    <t>USGS 10028500:  Bear R. bel Pixley Dam, near Cokeville, WY</t>
  </si>
  <si>
    <r>
      <t>Reach 3:</t>
    </r>
    <r>
      <rPr>
        <b/>
        <sz val="14"/>
        <color indexed="12"/>
        <rFont val="Arial"/>
        <family val="2"/>
      </rPr>
      <t xml:space="preserve">  Confluence of Bear River / Sulphur Creek to USGS Gage 10016900 (Bear River at Evanston, WY)</t>
    </r>
  </si>
  <si>
    <r>
      <t>Reach 4:</t>
    </r>
    <r>
      <rPr>
        <b/>
        <sz val="14"/>
        <color indexed="12"/>
        <rFont val="Arial"/>
        <family val="2"/>
      </rPr>
      <t xml:space="preserve"> USGS Gage 10016900 (Bear River at Evanston, WY) to Confluence of Bear River and Yellow Creek</t>
    </r>
  </si>
  <si>
    <r>
      <t>Reach 5:</t>
    </r>
    <r>
      <rPr>
        <b/>
        <sz val="14"/>
        <color indexed="12"/>
        <rFont val="Arial"/>
        <family val="2"/>
      </rPr>
      <t xml:space="preserve"> Confluence of Bear River and Yellow Creek to USGS Gage 10020100 (Bear River above Reservoir, near Woodruff, UT)</t>
    </r>
  </si>
  <si>
    <r>
      <t>Reach 6:</t>
    </r>
    <r>
      <rPr>
        <b/>
        <sz val="14"/>
        <color indexed="12"/>
        <rFont val="Arial"/>
        <family val="2"/>
      </rPr>
      <t xml:space="preserve"> USGS Gage 10020100 (Bear River above Reservoir, near Woodruff, UT) to USGS Gage 10020300 (Bear River below Reservoir, near Woodruff, UT)</t>
    </r>
  </si>
  <si>
    <r>
      <t>Reach 7:</t>
    </r>
    <r>
      <rPr>
        <b/>
        <sz val="14"/>
        <color indexed="12"/>
        <rFont val="Arial"/>
        <family val="2"/>
      </rPr>
      <t xml:space="preserve"> USGS Gage 10020300 ( Bear River below Reservoir, near Woodruff, UT) to USGS Gage 10026500 (Bear River near Randolph, UT)</t>
    </r>
  </si>
  <si>
    <r>
      <t>Reach 8:</t>
    </r>
    <r>
      <rPr>
        <b/>
        <sz val="14"/>
        <color indexed="12"/>
        <rFont val="Arial"/>
        <family val="2"/>
      </rPr>
      <t xml:space="preserve"> USGS Gage 10026500 (Bear River near Randolph, UT) to USGS Gage 10028500 (Bear River below Pixley Dam, Cokeville, UT)</t>
    </r>
  </si>
  <si>
    <r>
      <t>Reach 9:</t>
    </r>
    <r>
      <rPr>
        <b/>
        <sz val="14"/>
        <color indexed="12"/>
        <rFont val="Arial"/>
        <family val="2"/>
      </rPr>
      <t xml:space="preserve"> USGS Gage 10028500 (Bear River below Pixley Dam, near Cokeville, WY) to Confluence of Bear River and Smiths Fork</t>
    </r>
  </si>
  <si>
    <r>
      <t>Reach 11:</t>
    </r>
    <r>
      <rPr>
        <b/>
        <sz val="14"/>
        <color indexed="12"/>
        <rFont val="Arial"/>
        <family val="2"/>
      </rPr>
      <t xml:space="preserve"> Confluence of Bear River and Smiths Fork to USGS Gage 10039500 (Bear River at Border, WY )</t>
    </r>
  </si>
  <si>
    <t>EOM Content (w/o max capacity limitation)</t>
  </si>
  <si>
    <t>Inactive Storage Pool</t>
  </si>
  <si>
    <t>Broadbent Import</t>
  </si>
  <si>
    <t>Gain/Loss at Sulphur Cr. Res.</t>
  </si>
  <si>
    <t xml:space="preserve">Gain/Loss at Woodruff Narrows Res. </t>
  </si>
  <si>
    <t>Measured EOM: Average Dry Year</t>
  </si>
  <si>
    <t>Overall Average (Gross Pan Evaporation - inches)</t>
  </si>
  <si>
    <t>Basin Map</t>
  </si>
  <si>
    <t>Central Navigation Worksheet</t>
  </si>
  <si>
    <t>Results Navigator</t>
  </si>
  <si>
    <t>Gaging Station Data</t>
  </si>
  <si>
    <t>DRY</t>
  </si>
  <si>
    <t>(DRY YEAR)</t>
  </si>
  <si>
    <t>Reach 1:  Wyoming/Utah State Line to Confluence with Sulphur Creek</t>
  </si>
  <si>
    <t>Average Historic Diversion Data: Monthly Total By Node</t>
  </si>
  <si>
    <t>Hilliard East</t>
  </si>
  <si>
    <t>Note  (1)</t>
  </si>
  <si>
    <t>Hilliard East and Quinn Bourne are not modeled explicitly, however, diversion data are included in this table to accommodate evaluation of Bear River Compact</t>
  </si>
  <si>
    <t xml:space="preserve">Node 1.14 </t>
  </si>
  <si>
    <t xml:space="preserve">Node 10.00 </t>
  </si>
  <si>
    <t>NOTE: (1)</t>
  </si>
  <si>
    <t>Upper Utah Division is not modeled explicitly in this model.  Diversion data are</t>
  </si>
  <si>
    <t>included here for computation of Compact allocations.</t>
  </si>
  <si>
    <t>Dry Year</t>
  </si>
  <si>
    <t>Woodruff Narrows Reservoir Change in Storage Water</t>
  </si>
  <si>
    <t>USGS 10032000:  Smiths Fork nr Border,WY</t>
  </si>
  <si>
    <t>USGS 10038000:  Bear R. bel Smiths Fork, nr Cokeville, WY</t>
  </si>
  <si>
    <t>Node 7.04</t>
  </si>
  <si>
    <t>Partial Returns from Aggregate Utah Diversions</t>
  </si>
  <si>
    <t>Compare Computed with Historic Diversions</t>
  </si>
  <si>
    <t>Comparison of Computed vs Historic Diversions</t>
  </si>
  <si>
    <t>Upper Utah Section Diversion  (1)</t>
  </si>
  <si>
    <t>(3) Rainbow Inlet Canal plus Bear River Main Stem Flow below Stewart Dam</t>
  </si>
  <si>
    <t>Flow of Bear River at Border Gaging Station (ac-ft)</t>
  </si>
  <si>
    <r>
      <t>Reach 12:</t>
    </r>
    <r>
      <rPr>
        <b/>
        <sz val="14"/>
        <color indexed="12"/>
        <rFont val="Arial"/>
        <family val="2"/>
      </rPr>
      <t xml:space="preserve"> Bear River from USGS Gage 10039500 (Bear River at Border, WY) to Rainbow Inlet</t>
    </r>
  </si>
  <si>
    <t>END OF REACH 12</t>
  </si>
  <si>
    <t>Hatch</t>
  </si>
  <si>
    <t>Hovarka</t>
  </si>
  <si>
    <t>Blue data can be ignored.  The Stewart Dam input was set for the irrigation season (May - September).</t>
  </si>
  <si>
    <t>Totals</t>
  </si>
  <si>
    <t>gains to the system</t>
  </si>
  <si>
    <t>This node is considered a "gage" node because it is the last node in the model.  The diversion data created for this model is input to the USGS Gages Tab.</t>
  </si>
  <si>
    <t>This data was copied from the Diversion calculation spreadsheet (separate file)</t>
  </si>
  <si>
    <t>(Havorka and Hatch)</t>
  </si>
  <si>
    <t>May - Oct</t>
  </si>
  <si>
    <t>Inflow</t>
  </si>
  <si>
    <t>gainloss</t>
  </si>
  <si>
    <t>Stream flow</t>
  </si>
  <si>
    <t>totals</t>
  </si>
  <si>
    <t>May-sept</t>
  </si>
  <si>
    <t>may-sept</t>
  </si>
  <si>
    <t>May-Sept</t>
  </si>
</sst>
</file>

<file path=xl/styles.xml><?xml version="1.0" encoding="utf-8"?>
<styleSheet xmlns="http://schemas.openxmlformats.org/spreadsheetml/2006/main">
  <numFmts count="7">
    <numFmt numFmtId="5" formatCode="&quot;$&quot;#,##0_);\(&quot;$&quot;#,##0\)"/>
    <numFmt numFmtId="43" formatCode="_(* #,##0.00_);_(* \(#,##0.00\);_(* &quot;-&quot;??_);_(@_)"/>
    <numFmt numFmtId="164" formatCode="0.0"/>
    <numFmt numFmtId="165" formatCode="0.0%"/>
    <numFmt numFmtId="166" formatCode="#,##0.0"/>
    <numFmt numFmtId="167" formatCode="#,##0.0_);[Red]\(#,##0.0\)"/>
    <numFmt numFmtId="168" formatCode="_(* #,##0.0_);_(* \(#,##0.0\);_(* &quot;-&quot;??_);_(@_)"/>
  </numFmts>
  <fonts count="82">
    <font>
      <sz val="10"/>
      <name val="Arial"/>
    </font>
    <font>
      <sz val="11"/>
      <color theme="1"/>
      <name val="Calibri"/>
      <family val="2"/>
      <scheme val="minor"/>
    </font>
    <font>
      <sz val="11"/>
      <color theme="1"/>
      <name val="Calibri"/>
      <family val="2"/>
      <scheme val="minor"/>
    </font>
    <font>
      <sz val="11"/>
      <color theme="1"/>
      <name val="Calibri"/>
      <family val="2"/>
      <scheme val="minor"/>
    </font>
    <font>
      <b/>
      <sz val="18"/>
      <name val="Arial"/>
      <family val="2"/>
    </font>
    <font>
      <b/>
      <sz val="12"/>
      <name val="Arial"/>
      <family val="2"/>
    </font>
    <font>
      <sz val="10"/>
      <name val="Arial"/>
      <family val="2"/>
    </font>
    <font>
      <b/>
      <sz val="10"/>
      <name val="Arial"/>
      <family val="2"/>
    </font>
    <font>
      <b/>
      <i/>
      <sz val="10"/>
      <name val="Arial"/>
      <family val="2"/>
    </font>
    <font>
      <sz val="11"/>
      <name val="Arial"/>
      <family val="2"/>
    </font>
    <font>
      <b/>
      <sz val="11"/>
      <name val="Arial"/>
      <family val="2"/>
    </font>
    <font>
      <sz val="11"/>
      <name val="Times New Roman"/>
      <family val="1"/>
    </font>
    <font>
      <sz val="10"/>
      <name val="Arial"/>
      <family val="2"/>
    </font>
    <font>
      <b/>
      <sz val="12"/>
      <name val="Arial"/>
      <family val="2"/>
    </font>
    <font>
      <sz val="10"/>
      <name val="Arial"/>
      <family val="2"/>
    </font>
    <font>
      <b/>
      <i/>
      <sz val="8"/>
      <name val="Arial"/>
      <family val="2"/>
    </font>
    <font>
      <b/>
      <i/>
      <sz val="12"/>
      <name val="Arial"/>
      <family val="2"/>
    </font>
    <font>
      <sz val="12"/>
      <name val="Arial"/>
      <family val="2"/>
    </font>
    <font>
      <i/>
      <sz val="12"/>
      <name val="Arial"/>
      <family val="2"/>
    </font>
    <font>
      <b/>
      <u/>
      <sz val="12"/>
      <name val="Arial"/>
      <family val="2"/>
    </font>
    <font>
      <b/>
      <u/>
      <sz val="10"/>
      <name val="Arial"/>
      <family val="2"/>
    </font>
    <font>
      <sz val="11"/>
      <name val="Arial"/>
      <family val="2"/>
    </font>
    <font>
      <sz val="12"/>
      <color indexed="10"/>
      <name val="Arial"/>
      <family val="2"/>
    </font>
    <font>
      <b/>
      <sz val="24"/>
      <color indexed="12"/>
      <name val="Arial"/>
      <family val="2"/>
    </font>
    <font>
      <b/>
      <u/>
      <sz val="10"/>
      <color indexed="12"/>
      <name val="Arial"/>
      <family val="2"/>
    </font>
    <font>
      <b/>
      <sz val="20"/>
      <color indexed="12"/>
      <name val="Arial"/>
      <family val="2"/>
    </font>
    <font>
      <b/>
      <sz val="14"/>
      <color indexed="12"/>
      <name val="Arial"/>
      <family val="2"/>
    </font>
    <font>
      <b/>
      <sz val="10"/>
      <name val="Times New Roman"/>
      <family val="1"/>
    </font>
    <font>
      <sz val="10"/>
      <name val="Times New Roman"/>
      <family val="1"/>
    </font>
    <font>
      <sz val="20"/>
      <color indexed="12"/>
      <name val="Arial"/>
      <family val="2"/>
    </font>
    <font>
      <b/>
      <sz val="16"/>
      <name val="Arial"/>
      <family val="2"/>
    </font>
    <font>
      <sz val="12"/>
      <color indexed="81"/>
      <name val="Tahoma"/>
      <family val="2"/>
    </font>
    <font>
      <b/>
      <u/>
      <sz val="11"/>
      <color indexed="12"/>
      <name val="Arial"/>
      <family val="2"/>
    </font>
    <font>
      <sz val="11"/>
      <color indexed="8"/>
      <name val="Arial"/>
      <family val="2"/>
    </font>
    <font>
      <sz val="8"/>
      <color indexed="81"/>
      <name val="Tahoma"/>
      <family val="2"/>
    </font>
    <font>
      <b/>
      <sz val="12"/>
      <color indexed="81"/>
      <name val="Tahoma"/>
      <family val="2"/>
    </font>
    <font>
      <b/>
      <i/>
      <u/>
      <sz val="12"/>
      <color indexed="81"/>
      <name val="Tahoma"/>
      <family val="2"/>
    </font>
    <font>
      <b/>
      <u/>
      <sz val="14"/>
      <color indexed="12"/>
      <name val="Arial"/>
      <family val="2"/>
    </font>
    <font>
      <u/>
      <sz val="10"/>
      <name val="Arial"/>
      <family val="2"/>
    </font>
    <font>
      <b/>
      <i/>
      <u/>
      <sz val="20"/>
      <color indexed="12"/>
      <name val="Arial"/>
      <family val="2"/>
    </font>
    <font>
      <b/>
      <i/>
      <sz val="20"/>
      <color indexed="12"/>
      <name val="Arial"/>
      <family val="2"/>
    </font>
    <font>
      <b/>
      <sz val="28"/>
      <color indexed="12"/>
      <name val="Arial"/>
      <family val="2"/>
    </font>
    <font>
      <b/>
      <sz val="14"/>
      <name val="Times New Roman"/>
      <family val="1"/>
    </font>
    <font>
      <b/>
      <u/>
      <sz val="14"/>
      <name val="Arial"/>
      <family val="2"/>
    </font>
    <font>
      <sz val="14"/>
      <name val="Arial"/>
      <family val="2"/>
    </font>
    <font>
      <sz val="11"/>
      <color indexed="10"/>
      <name val="Arial"/>
      <family val="2"/>
    </font>
    <font>
      <b/>
      <sz val="10"/>
      <color indexed="81"/>
      <name val="Tahoma"/>
      <family val="2"/>
    </font>
    <font>
      <sz val="10"/>
      <color indexed="10"/>
      <name val="Arial"/>
      <family val="2"/>
    </font>
    <font>
      <b/>
      <sz val="10"/>
      <color indexed="10"/>
      <name val="Arial"/>
      <family val="2"/>
    </font>
    <font>
      <b/>
      <sz val="10"/>
      <color indexed="12"/>
      <name val="Arial"/>
      <family val="2"/>
    </font>
    <font>
      <b/>
      <sz val="14"/>
      <name val="Arial"/>
      <family val="2"/>
    </font>
    <font>
      <b/>
      <sz val="16"/>
      <color indexed="12"/>
      <name val="Arial"/>
      <family val="2"/>
    </font>
    <font>
      <sz val="14"/>
      <color indexed="81"/>
      <name val="Tahoma"/>
      <family val="2"/>
    </font>
    <font>
      <b/>
      <u/>
      <sz val="12"/>
      <color indexed="81"/>
      <name val="Tahoma"/>
      <family val="2"/>
    </font>
    <font>
      <sz val="11"/>
      <color indexed="81"/>
      <name val="Tahoma"/>
      <family val="2"/>
    </font>
    <font>
      <sz val="10"/>
      <color indexed="81"/>
      <name val="Tahoma"/>
      <family val="2"/>
    </font>
    <font>
      <sz val="10"/>
      <color rgb="FF190EFA"/>
      <name val="Arial"/>
      <family val="2"/>
    </font>
    <font>
      <sz val="10"/>
      <color rgb="FFFF0000"/>
      <name val="Arial"/>
      <family val="2"/>
    </font>
    <font>
      <b/>
      <sz val="18"/>
      <color theme="3"/>
      <name val="Cambria"/>
      <family val="2"/>
      <scheme val="maj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8"/>
      <name val="Arial"/>
      <family val="2"/>
    </font>
    <font>
      <sz val="11"/>
      <color indexed="8"/>
      <name val="Calibri"/>
      <family val="2"/>
    </font>
    <font>
      <sz val="18"/>
      <name val="Arial"/>
      <family val="2"/>
    </font>
    <font>
      <sz val="12"/>
      <name val="Times New Roman"/>
      <family val="1"/>
    </font>
    <font>
      <sz val="18"/>
      <name val="Times New Roman"/>
      <family val="1"/>
    </font>
    <font>
      <sz val="8"/>
      <name val="Times New Roman"/>
      <family val="1"/>
    </font>
    <font>
      <i/>
      <sz val="12"/>
      <name val="Times New Roman"/>
      <family val="1"/>
    </font>
    <font>
      <b/>
      <sz val="15"/>
      <color theme="3"/>
      <name val="Calibri"/>
      <family val="2"/>
      <scheme val="minor"/>
    </font>
    <font>
      <b/>
      <sz val="13"/>
      <color theme="3"/>
      <name val="Calibri"/>
      <family val="2"/>
      <scheme val="minor"/>
    </font>
    <font>
      <b/>
      <sz val="11"/>
      <color theme="1"/>
      <name val="Calibri"/>
      <family val="2"/>
      <scheme val="minor"/>
    </font>
    <font>
      <sz val="10"/>
      <color rgb="FF0070C0"/>
      <name val="Arial"/>
      <family val="2"/>
    </font>
  </fonts>
  <fills count="44">
    <fill>
      <patternFill patternType="none"/>
    </fill>
    <fill>
      <patternFill patternType="gray125"/>
    </fill>
    <fill>
      <patternFill patternType="solid">
        <fgColor indexed="26"/>
        <bgColor indexed="64"/>
      </patternFill>
    </fill>
    <fill>
      <patternFill patternType="solid">
        <fgColor indexed="43"/>
        <bgColor indexed="24"/>
      </patternFill>
    </fill>
    <fill>
      <patternFill patternType="solid">
        <fgColor indexed="43"/>
        <bgColor indexed="64"/>
      </patternFill>
    </fill>
    <fill>
      <patternFill patternType="solid">
        <fgColor indexed="13"/>
        <bgColor indexed="24"/>
      </patternFill>
    </fill>
    <fill>
      <patternFill patternType="solid">
        <fgColor indexed="42"/>
        <bgColor indexed="24"/>
      </patternFill>
    </fill>
    <fill>
      <patternFill patternType="solid">
        <fgColor indexed="42"/>
        <bgColor indexed="64"/>
      </patternFill>
    </fill>
    <fill>
      <patternFill patternType="solid">
        <fgColor indexed="47"/>
        <bgColor indexed="64"/>
      </patternFill>
    </fill>
    <fill>
      <patternFill patternType="solid">
        <fgColor indexed="47"/>
        <bgColor indexed="24"/>
      </patternFill>
    </fill>
    <fill>
      <patternFill patternType="solid">
        <fgColor indexed="1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59999389629810485"/>
        <bgColor indexed="64"/>
      </patternFill>
    </fill>
    <fill>
      <patternFill patternType="solid">
        <fgColor indexed="9"/>
        <bgColor indexed="9"/>
      </patternFill>
    </fill>
  </fills>
  <borders count="79">
    <border>
      <left/>
      <right/>
      <top/>
      <bottom/>
      <diagonal/>
    </border>
    <border>
      <left/>
      <right/>
      <top style="double">
        <color indexed="8"/>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medium">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indexed="0"/>
      </top>
      <bottom style="double">
        <color indexed="0"/>
      </bottom>
      <diagonal/>
    </border>
    <border>
      <left/>
      <right/>
      <top style="double">
        <color indexed="0"/>
      </top>
      <bottom/>
      <diagonal/>
    </border>
    <border>
      <left/>
      <right/>
      <top/>
      <bottom style="thick">
        <color theme="4"/>
      </bottom>
      <diagonal/>
    </border>
    <border>
      <left/>
      <right/>
      <top/>
      <bottom style="thick">
        <color theme="4" tint="0.499984740745262"/>
      </bottom>
      <diagonal/>
    </border>
    <border>
      <left/>
      <right/>
      <top style="thin">
        <color theme="4"/>
      </top>
      <bottom style="double">
        <color theme="4"/>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indexed="64"/>
      </bottom>
      <diagonal/>
    </border>
    <border>
      <left/>
      <right/>
      <top style="thin">
        <color auto="1"/>
      </top>
      <bottom style="thin">
        <color indexed="64"/>
      </bottom>
      <diagonal/>
    </border>
    <border>
      <left style="thin">
        <color auto="1"/>
      </left>
      <right style="thin">
        <color indexed="64"/>
      </right>
      <top style="thin">
        <color indexed="64"/>
      </top>
      <bottom/>
      <diagonal/>
    </border>
  </borders>
  <cellStyleXfs count="1736">
    <xf numFmtId="0" fontId="0" fillId="0" borderId="0">
      <alignment vertical="top"/>
    </xf>
    <xf numFmtId="4" fontId="6" fillId="0" borderId="0" applyFont="0" applyFill="0" applyBorder="0" applyAlignment="0" applyProtection="0"/>
    <xf numFmtId="3" fontId="6" fillId="0" borderId="0" applyFont="0" applyFill="0" applyBorder="0" applyAlignment="0" applyProtection="0"/>
    <xf numFmtId="5" fontId="6" fillId="0" borderId="0" applyFont="0" applyFill="0" applyBorder="0" applyAlignment="0" applyProtection="0"/>
    <xf numFmtId="0" fontId="6" fillId="0" borderId="0" applyFont="0" applyFill="0" applyBorder="0" applyAlignment="0" applyProtection="0"/>
    <xf numFmtId="2" fontId="6"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9" fillId="0" borderId="0"/>
    <xf numFmtId="10" fontId="6" fillId="0" borderId="0" applyFont="0" applyFill="0" applyBorder="0" applyAlignment="0" applyProtection="0"/>
    <xf numFmtId="9" fontId="9" fillId="0" borderId="0" applyFont="0" applyFill="0" applyBorder="0" applyAlignment="0" applyProtection="0"/>
    <xf numFmtId="0" fontId="6" fillId="0" borderId="1" applyNumberFormat="0" applyFont="0" applyFill="0" applyAlignment="0" applyProtection="0"/>
    <xf numFmtId="0" fontId="58" fillId="0" borderId="0" applyNumberFormat="0" applyFill="0" applyBorder="0" applyAlignment="0" applyProtection="0"/>
    <xf numFmtId="0" fontId="59" fillId="0" borderId="56" applyNumberFormat="0" applyFill="0" applyAlignment="0" applyProtection="0"/>
    <xf numFmtId="0" fontId="59" fillId="0" borderId="0" applyNumberFormat="0" applyFill="0" applyBorder="0" applyAlignment="0" applyProtection="0"/>
    <xf numFmtId="0" fontId="60" fillId="11" borderId="0" applyNumberFormat="0" applyBorder="0" applyAlignment="0" applyProtection="0"/>
    <xf numFmtId="0" fontId="61" fillId="12" borderId="0" applyNumberFormat="0" applyBorder="0" applyAlignment="0" applyProtection="0"/>
    <xf numFmtId="0" fontId="62" fillId="13" borderId="0" applyNumberFormat="0" applyBorder="0" applyAlignment="0" applyProtection="0"/>
    <xf numFmtId="0" fontId="63" fillId="14" borderId="57" applyNumberFormat="0" applyAlignment="0" applyProtection="0"/>
    <xf numFmtId="0" fontId="64" fillId="15" borderId="58" applyNumberFormat="0" applyAlignment="0" applyProtection="0"/>
    <xf numFmtId="0" fontId="65" fillId="15" borderId="57" applyNumberFormat="0" applyAlignment="0" applyProtection="0"/>
    <xf numFmtId="0" fontId="66" fillId="0" borderId="59" applyNumberFormat="0" applyFill="0" applyAlignment="0" applyProtection="0"/>
    <xf numFmtId="0" fontId="67" fillId="16" borderId="60" applyNumberFormat="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70" fillId="18" borderId="0" applyNumberFormat="0" applyBorder="0" applyAlignment="0" applyProtection="0"/>
    <xf numFmtId="0" fontId="70" fillId="21" borderId="0" applyNumberFormat="0" applyBorder="0" applyAlignment="0" applyProtection="0"/>
    <xf numFmtId="0" fontId="70" fillId="22" borderId="0" applyNumberFormat="0" applyBorder="0" applyAlignment="0" applyProtection="0"/>
    <xf numFmtId="0" fontId="70" fillId="25" borderId="0" applyNumberFormat="0" applyBorder="0" applyAlignment="0" applyProtection="0"/>
    <xf numFmtId="0" fontId="70" fillId="26" borderId="0" applyNumberFormat="0" applyBorder="0" applyAlignment="0" applyProtection="0"/>
    <xf numFmtId="0" fontId="70" fillId="29" borderId="0" applyNumberFormat="0" applyBorder="0" applyAlignment="0" applyProtection="0"/>
    <xf numFmtId="0" fontId="70" fillId="30" borderId="0" applyNumberFormat="0" applyBorder="0" applyAlignment="0" applyProtection="0"/>
    <xf numFmtId="0" fontId="70" fillId="33" borderId="0" applyNumberFormat="0" applyBorder="0" applyAlignment="0" applyProtection="0"/>
    <xf numFmtId="0" fontId="70" fillId="34" borderId="0" applyNumberFormat="0" applyBorder="0" applyAlignment="0" applyProtection="0"/>
    <xf numFmtId="0" fontId="70" fillId="37" borderId="0" applyNumberFormat="0" applyBorder="0" applyAlignment="0" applyProtection="0"/>
    <xf numFmtId="0" fontId="70" fillId="38" borderId="0" applyNumberFormat="0" applyBorder="0" applyAlignment="0" applyProtection="0"/>
    <xf numFmtId="0" fontId="70" fillId="41"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6" fillId="0" borderId="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39"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0"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4"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28"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2"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0" fontId="3" fillId="40" borderId="0" applyNumberFormat="0" applyBorder="0" applyAlignment="0" applyProtection="0"/>
    <xf numFmtId="43" fontId="6" fillId="0" borderId="0" applyFont="0" applyFill="0" applyBorder="0" applyAlignment="0" applyProtection="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17" fillId="43" borderId="0"/>
    <xf numFmtId="3" fontId="6" fillId="43" borderId="0"/>
    <xf numFmtId="3" fontId="17" fillId="43" borderId="0"/>
    <xf numFmtId="3" fontId="17" fillId="43" borderId="0"/>
    <xf numFmtId="3" fontId="17" fillId="43" borderId="0"/>
    <xf numFmtId="3"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17" fillId="43" borderId="0"/>
    <xf numFmtId="5" fontId="6" fillId="43" borderId="0"/>
    <xf numFmtId="5" fontId="17" fillId="43" borderId="0"/>
    <xf numFmtId="5" fontId="17" fillId="43" borderId="0"/>
    <xf numFmtId="5" fontId="17" fillId="43" borderId="0"/>
    <xf numFmtId="5"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6" fillId="43" borderId="0"/>
    <xf numFmtId="0" fontId="17" fillId="43" borderId="0"/>
    <xf numFmtId="0" fontId="17" fillId="43" borderId="0"/>
    <xf numFmtId="0" fontId="17" fillId="43" borderId="0"/>
    <xf numFmtId="0" fontId="17"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0" borderId="0" applyNumberFormat="0" applyFill="0" applyBorder="0" applyAlignment="0" applyProtection="0"/>
    <xf numFmtId="0" fontId="73" fillId="43" borderId="0"/>
    <xf numFmtId="0" fontId="73" fillId="0" borderId="0" applyNumberFormat="0" applyFill="0" applyBorder="0" applyAlignment="0" applyProtection="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71"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18"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17" fillId="43" borderId="0"/>
    <xf numFmtId="2" fontId="6" fillId="43" borderId="0"/>
    <xf numFmtId="2" fontId="17" fillId="43" borderId="0"/>
    <xf numFmtId="2" fontId="17" fillId="43" borderId="0"/>
    <xf numFmtId="2" fontId="17" fillId="43" borderId="0"/>
    <xf numFmtId="2" fontId="17" fillId="43" borderId="0"/>
    <xf numFmtId="0" fontId="78" fillId="0" borderId="64" applyNumberFormat="0" applyFill="0" applyAlignment="0" applyProtection="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4"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4"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79" fillId="0" borderId="65" applyNumberFormat="0" applyFill="0" applyAlignment="0" applyProtection="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5"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5"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5" fillId="43" borderId="0"/>
    <xf numFmtId="0" fontId="6" fillId="43" borderId="0"/>
    <xf numFmtId="0" fontId="5" fillId="43" borderId="0"/>
    <xf numFmtId="0" fontId="5" fillId="43" borderId="0"/>
    <xf numFmtId="0" fontId="5" fillId="43" borderId="0"/>
    <xf numFmtId="0" fontId="5" fillId="43" borderId="0"/>
    <xf numFmtId="0" fontId="5" fillId="43" borderId="0"/>
    <xf numFmtId="0" fontId="5" fillId="43" borderId="0"/>
    <xf numFmtId="0" fontId="17" fillId="0" borderId="0"/>
    <xf numFmtId="0" fontId="17" fillId="0" borderId="0"/>
    <xf numFmtId="0" fontId="3"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2"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3" fillId="0" borderId="0"/>
    <xf numFmtId="0" fontId="3" fillId="0" borderId="0"/>
    <xf numFmtId="0" fontId="1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7" fillId="0" borderId="0">
      <alignment vertical="top"/>
    </xf>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17" fillId="0" borderId="0"/>
    <xf numFmtId="0" fontId="17" fillId="0" borderId="0">
      <alignment vertical="top"/>
    </xf>
    <xf numFmtId="0" fontId="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 fillId="0" borderId="0"/>
    <xf numFmtId="0" fontId="17" fillId="0" borderId="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 fillId="0" borderId="0"/>
    <xf numFmtId="0" fontId="17" fillId="0" borderId="0">
      <alignment vertical="top"/>
    </xf>
    <xf numFmtId="0" fontId="17" fillId="0" borderId="0"/>
    <xf numFmtId="0" fontId="17" fillId="0" borderId="0">
      <alignment vertical="top"/>
    </xf>
    <xf numFmtId="0" fontId="17" fillId="0" borderId="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72" fillId="17" borderId="61" applyNumberFormat="0" applyFont="0" applyAlignment="0" applyProtection="0"/>
    <xf numFmtId="0" fontId="80" fillId="0" borderId="66" applyNumberFormat="0" applyFill="0" applyAlignment="0" applyProtection="0"/>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6" fillId="43" borderId="63"/>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17" fillId="43" borderId="62"/>
    <xf numFmtId="0" fontId="6" fillId="0" borderId="0">
      <alignment vertical="top"/>
    </xf>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43" fontId="1" fillId="0" borderId="0" applyFont="0" applyFill="0" applyBorder="0" applyAlignment="0" applyProtection="0"/>
  </cellStyleXfs>
  <cellXfs count="691">
    <xf numFmtId="0" fontId="0" fillId="0" borderId="0" xfId="0">
      <alignment vertical="top"/>
    </xf>
    <xf numFmtId="0" fontId="9" fillId="0" borderId="0" xfId="8"/>
    <xf numFmtId="0" fontId="7" fillId="0" borderId="0" xfId="0" applyFont="1" applyFill="1" applyProtection="1">
      <alignment vertical="top"/>
      <protection locked="0"/>
    </xf>
    <xf numFmtId="0" fontId="12" fillId="0" borderId="0" xfId="0" applyFont="1" applyFill="1" applyProtection="1">
      <alignment vertical="top"/>
      <protection locked="0"/>
    </xf>
    <xf numFmtId="0" fontId="12" fillId="0" borderId="0" xfId="8" applyFont="1" applyProtection="1">
      <protection locked="0"/>
    </xf>
    <xf numFmtId="0" fontId="7" fillId="0" borderId="0" xfId="0" applyFont="1" applyFill="1" applyProtection="1">
      <alignment vertical="top"/>
    </xf>
    <xf numFmtId="0" fontId="12" fillId="0" borderId="0" xfId="0" applyFont="1" applyFill="1" applyProtection="1">
      <alignment vertical="top"/>
    </xf>
    <xf numFmtId="0" fontId="12" fillId="0" borderId="0" xfId="8" applyFont="1" applyProtection="1"/>
    <xf numFmtId="0" fontId="10" fillId="0" borderId="0" xfId="8" applyFont="1" applyBorder="1" applyProtection="1"/>
    <xf numFmtId="0" fontId="10" fillId="0" borderId="2" xfId="8" applyFont="1" applyBorder="1" applyProtection="1"/>
    <xf numFmtId="0" fontId="10" fillId="0" borderId="3" xfId="8" applyFont="1" applyBorder="1" applyProtection="1"/>
    <xf numFmtId="0" fontId="10" fillId="0" borderId="3" xfId="8" applyFont="1" applyBorder="1" applyAlignment="1" applyProtection="1">
      <alignment horizontal="center"/>
    </xf>
    <xf numFmtId="0" fontId="10" fillId="0" borderId="4" xfId="8" applyFont="1" applyBorder="1" applyAlignment="1" applyProtection="1">
      <alignment horizontal="center"/>
    </xf>
    <xf numFmtId="0" fontId="9" fillId="0" borderId="0" xfId="8" applyFont="1" applyBorder="1" applyProtection="1"/>
    <xf numFmtId="0" fontId="9" fillId="0" borderId="5" xfId="8" applyFont="1" applyBorder="1" applyProtection="1"/>
    <xf numFmtId="3" fontId="9" fillId="0" borderId="6" xfId="0" applyNumberFormat="1" applyFont="1" applyBorder="1" applyProtection="1">
      <alignment vertical="top"/>
    </xf>
    <xf numFmtId="3" fontId="9" fillId="0" borderId="7" xfId="0" applyNumberFormat="1" applyFont="1" applyBorder="1" applyProtection="1">
      <alignment vertical="top"/>
    </xf>
    <xf numFmtId="0" fontId="10" fillId="0" borderId="0" xfId="8" applyFont="1" applyFill="1" applyBorder="1" applyProtection="1"/>
    <xf numFmtId="0" fontId="10" fillId="0" borderId="5" xfId="8" applyFont="1" applyFill="1" applyBorder="1" applyProtection="1"/>
    <xf numFmtId="0" fontId="10" fillId="0" borderId="2" xfId="8" applyFont="1" applyFill="1" applyBorder="1" applyProtection="1"/>
    <xf numFmtId="0" fontId="10" fillId="0" borderId="3" xfId="8" applyFont="1" applyFill="1" applyBorder="1" applyProtection="1"/>
    <xf numFmtId="38" fontId="10" fillId="0" borderId="3" xfId="8" applyNumberFormat="1" applyFont="1" applyFill="1" applyBorder="1" applyProtection="1"/>
    <xf numFmtId="38" fontId="10" fillId="0" borderId="4" xfId="8" applyNumberFormat="1" applyFont="1" applyFill="1" applyBorder="1" applyProtection="1"/>
    <xf numFmtId="0" fontId="9" fillId="0" borderId="8" xfId="8" applyFont="1" applyBorder="1" applyProtection="1"/>
    <xf numFmtId="0" fontId="10" fillId="0" borderId="9" xfId="8" applyFont="1" applyBorder="1" applyProtection="1"/>
    <xf numFmtId="38" fontId="10" fillId="2" borderId="10" xfId="8" applyNumberFormat="1" applyFont="1" applyFill="1" applyBorder="1" applyProtection="1"/>
    <xf numFmtId="38" fontId="10" fillId="2" borderId="11" xfId="8" applyNumberFormat="1" applyFont="1" applyFill="1" applyBorder="1" applyProtection="1"/>
    <xf numFmtId="38" fontId="10" fillId="2" borderId="12" xfId="8" applyNumberFormat="1" applyFont="1" applyFill="1" applyBorder="1" applyProtection="1"/>
    <xf numFmtId="38" fontId="10" fillId="2" borderId="13" xfId="8" applyNumberFormat="1" applyFont="1" applyFill="1" applyBorder="1" applyProtection="1"/>
    <xf numFmtId="0" fontId="14" fillId="3" borderId="14" xfId="0" applyFont="1" applyFill="1" applyBorder="1">
      <alignment vertical="top"/>
    </xf>
    <xf numFmtId="0" fontId="0" fillId="3" borderId="15" xfId="0" applyFill="1" applyBorder="1">
      <alignment vertical="top"/>
    </xf>
    <xf numFmtId="0" fontId="0" fillId="3" borderId="16" xfId="0" applyFill="1" applyBorder="1">
      <alignment vertical="top"/>
    </xf>
    <xf numFmtId="0" fontId="14" fillId="3" borderId="17" xfId="0" applyFont="1" applyFill="1" applyBorder="1">
      <alignment vertical="top"/>
    </xf>
    <xf numFmtId="0" fontId="14" fillId="3" borderId="0" xfId="0" applyFont="1" applyFill="1" applyBorder="1">
      <alignment vertical="top"/>
    </xf>
    <xf numFmtId="0" fontId="0" fillId="3" borderId="0" xfId="0" applyFill="1" applyBorder="1">
      <alignment vertical="top"/>
    </xf>
    <xf numFmtId="0" fontId="0" fillId="3" borderId="18" xfId="0" applyFill="1" applyBorder="1">
      <alignment vertical="top"/>
    </xf>
    <xf numFmtId="0" fontId="8" fillId="3" borderId="0" xfId="0" applyFont="1" applyFill="1" applyBorder="1">
      <alignment vertical="top"/>
    </xf>
    <xf numFmtId="0" fontId="14" fillId="3" borderId="0" xfId="0" applyFont="1" applyFill="1" applyBorder="1" applyAlignment="1">
      <alignment horizontal="center" vertical="top"/>
    </xf>
    <xf numFmtId="0" fontId="14" fillId="3" borderId="19" xfId="0" applyFont="1" applyFill="1" applyBorder="1">
      <alignment vertical="top"/>
    </xf>
    <xf numFmtId="0" fontId="14" fillId="3" borderId="10" xfId="0" applyFont="1" applyFill="1" applyBorder="1">
      <alignment vertical="top"/>
    </xf>
    <xf numFmtId="0" fontId="14" fillId="3" borderId="20" xfId="0" applyFont="1" applyFill="1" applyBorder="1">
      <alignment vertical="top"/>
    </xf>
    <xf numFmtId="0" fontId="14" fillId="3" borderId="21" xfId="0" applyFont="1" applyFill="1" applyBorder="1">
      <alignment vertical="top"/>
    </xf>
    <xf numFmtId="0" fontId="14" fillId="4" borderId="17" xfId="0" applyFont="1" applyFill="1" applyBorder="1">
      <alignment vertical="top"/>
    </xf>
    <xf numFmtId="0" fontId="14" fillId="3" borderId="22" xfId="0" applyFont="1" applyFill="1" applyBorder="1">
      <alignment vertical="top"/>
    </xf>
    <xf numFmtId="0" fontId="0" fillId="3" borderId="23" xfId="0" applyFill="1" applyBorder="1">
      <alignment vertical="top"/>
    </xf>
    <xf numFmtId="0" fontId="0" fillId="3" borderId="24" xfId="0" applyFill="1" applyBorder="1">
      <alignment vertical="top"/>
    </xf>
    <xf numFmtId="0" fontId="0" fillId="3" borderId="25" xfId="0" applyFill="1" applyBorder="1">
      <alignment vertical="top"/>
    </xf>
    <xf numFmtId="0" fontId="14" fillId="3" borderId="0" xfId="0" applyFont="1" applyFill="1">
      <alignment vertical="top"/>
    </xf>
    <xf numFmtId="0" fontId="14" fillId="4" borderId="0" xfId="0" applyFont="1" applyFill="1">
      <alignment vertical="top"/>
    </xf>
    <xf numFmtId="0" fontId="7" fillId="4" borderId="0" xfId="0" applyFont="1" applyFill="1">
      <alignment vertical="top"/>
    </xf>
    <xf numFmtId="0" fontId="8" fillId="4" borderId="0" xfId="0" quotePrefix="1" applyFont="1" applyFill="1">
      <alignment vertical="top"/>
    </xf>
    <xf numFmtId="0" fontId="0" fillId="3" borderId="0" xfId="0" applyFill="1">
      <alignment vertical="top"/>
    </xf>
    <xf numFmtId="164" fontId="0" fillId="0" borderId="0" xfId="0" applyNumberFormat="1">
      <alignment vertical="top"/>
    </xf>
    <xf numFmtId="0" fontId="10" fillId="0" borderId="26" xfId="8" applyFont="1" applyBorder="1" applyAlignment="1" applyProtection="1">
      <alignment horizontal="center"/>
    </xf>
    <xf numFmtId="38" fontId="9" fillId="0" borderId="6" xfId="8" quotePrefix="1" applyNumberFormat="1" applyFont="1" applyBorder="1" applyAlignment="1" applyProtection="1"/>
    <xf numFmtId="0" fontId="9" fillId="0" borderId="0" xfId="8" applyFont="1"/>
    <xf numFmtId="165" fontId="9" fillId="0" borderId="0" xfId="9" applyNumberFormat="1" applyFont="1" applyBorder="1"/>
    <xf numFmtId="165" fontId="9" fillId="0" borderId="27" xfId="9" applyNumberFormat="1" applyFont="1" applyBorder="1"/>
    <xf numFmtId="165" fontId="9" fillId="0" borderId="19" xfId="10" applyNumberFormat="1" applyBorder="1"/>
    <xf numFmtId="0" fontId="9" fillId="0" borderId="28" xfId="8" applyFont="1" applyBorder="1" applyAlignment="1">
      <alignment horizontal="center"/>
    </xf>
    <xf numFmtId="0" fontId="9" fillId="0" borderId="21" xfId="8" applyFont="1" applyBorder="1" applyAlignment="1">
      <alignment horizontal="center"/>
    </xf>
    <xf numFmtId="0" fontId="9" fillId="0" borderId="22" xfId="8" applyFont="1" applyBorder="1" applyAlignment="1">
      <alignment horizontal="center"/>
    </xf>
    <xf numFmtId="0" fontId="17" fillId="0" borderId="0" xfId="0" applyFont="1" applyBorder="1" applyAlignment="1">
      <alignment horizontal="centerContinuous" vertical="top"/>
    </xf>
    <xf numFmtId="0" fontId="17" fillId="0" borderId="0" xfId="0" applyFont="1" applyBorder="1">
      <alignment vertical="top"/>
    </xf>
    <xf numFmtId="40" fontId="17" fillId="0" borderId="0" xfId="8" applyNumberFormat="1" applyFont="1" applyBorder="1" applyProtection="1"/>
    <xf numFmtId="40" fontId="17" fillId="0" borderId="29" xfId="8" applyNumberFormat="1" applyFont="1" applyBorder="1" applyProtection="1"/>
    <xf numFmtId="0" fontId="17" fillId="0" borderId="0" xfId="0" applyFont="1" applyBorder="1" applyAlignment="1">
      <alignment horizontal="left" vertical="top"/>
    </xf>
    <xf numFmtId="0" fontId="13" fillId="0" borderId="0" xfId="0" applyFont="1" applyBorder="1" applyAlignment="1">
      <alignment horizontal="center" vertical="top"/>
    </xf>
    <xf numFmtId="1" fontId="13" fillId="5" borderId="26" xfId="0" applyNumberFormat="1" applyFont="1" applyFill="1" applyBorder="1" applyAlignment="1">
      <alignment horizontal="center" vertical="top"/>
    </xf>
    <xf numFmtId="0" fontId="17" fillId="0" borderId="0" xfId="0" applyFont="1" applyBorder="1" applyAlignment="1">
      <alignment horizontal="center" vertical="top"/>
    </xf>
    <xf numFmtId="165" fontId="17" fillId="0" borderId="0" xfId="9" applyNumberFormat="1" applyFont="1" applyBorder="1" applyAlignment="1">
      <alignment horizontal="center" vertical="top"/>
    </xf>
    <xf numFmtId="10" fontId="17" fillId="0" borderId="30" xfId="9" applyFont="1" applyBorder="1" applyAlignment="1">
      <alignment horizontal="center" vertical="top"/>
    </xf>
    <xf numFmtId="164" fontId="17" fillId="0" borderId="0" xfId="0" applyNumberFormat="1" applyFont="1" applyBorder="1" applyAlignment="1">
      <alignment horizontal="left" vertical="top"/>
    </xf>
    <xf numFmtId="164" fontId="17" fillId="0" borderId="0" xfId="0" applyNumberFormat="1" applyFont="1" applyBorder="1">
      <alignment vertical="top"/>
    </xf>
    <xf numFmtId="164" fontId="17" fillId="0" borderId="29" xfId="0" applyNumberFormat="1" applyFont="1" applyBorder="1">
      <alignment vertical="top"/>
    </xf>
    <xf numFmtId="164" fontId="17" fillId="0" borderId="30" xfId="0" applyNumberFormat="1" applyFont="1" applyBorder="1">
      <alignment vertical="top"/>
    </xf>
    <xf numFmtId="164" fontId="17" fillId="0" borderId="31" xfId="0" applyNumberFormat="1" applyFont="1" applyBorder="1">
      <alignment vertical="top"/>
    </xf>
    <xf numFmtId="0" fontId="10" fillId="0" borderId="19" xfId="8" applyFont="1" applyBorder="1" applyAlignment="1">
      <alignment horizontal="center"/>
    </xf>
    <xf numFmtId="9" fontId="9" fillId="0" borderId="27" xfId="8" applyNumberFormat="1" applyBorder="1"/>
    <xf numFmtId="0" fontId="10" fillId="0" borderId="32" xfId="8" applyFont="1" applyBorder="1" applyAlignment="1">
      <alignment horizontal="center"/>
    </xf>
    <xf numFmtId="0" fontId="10" fillId="0" borderId="33" xfId="8" applyFont="1" applyBorder="1" applyAlignment="1">
      <alignment horizontal="center"/>
    </xf>
    <xf numFmtId="0" fontId="10" fillId="0" borderId="34" xfId="8" applyFont="1" applyBorder="1"/>
    <xf numFmtId="0" fontId="10" fillId="0" borderId="28" xfId="8" applyFont="1" applyBorder="1"/>
    <xf numFmtId="0" fontId="7" fillId="0" borderId="35" xfId="0" applyFont="1" applyBorder="1" applyAlignment="1">
      <alignment horizontal="center" vertical="top"/>
    </xf>
    <xf numFmtId="0" fontId="13" fillId="0" borderId="0" xfId="0" applyFont="1" applyBorder="1" applyAlignment="1">
      <alignment horizontal="center" vertical="top" wrapText="1"/>
    </xf>
    <xf numFmtId="164" fontId="13" fillId="5" borderId="2" xfId="0" applyNumberFormat="1" applyFont="1" applyFill="1" applyBorder="1" applyAlignment="1">
      <alignment horizontal="center" vertical="top"/>
    </xf>
    <xf numFmtId="0" fontId="13" fillId="5" borderId="3" xfId="0" applyFont="1" applyFill="1" applyBorder="1" applyAlignment="1">
      <alignment horizontal="center" vertical="top" wrapText="1"/>
    </xf>
    <xf numFmtId="0" fontId="17" fillId="0" borderId="0" xfId="0" applyFont="1">
      <alignment vertical="top"/>
    </xf>
    <xf numFmtId="0" fontId="17" fillId="0" borderId="0" xfId="0" applyFont="1" applyAlignment="1">
      <alignment horizontal="center" vertical="top"/>
    </xf>
    <xf numFmtId="164" fontId="17" fillId="0" borderId="0" xfId="0" applyNumberFormat="1" applyFont="1" applyAlignment="1">
      <alignment horizontal="center" vertical="top"/>
    </xf>
    <xf numFmtId="0" fontId="13" fillId="0" borderId="26" xfId="8" applyFont="1" applyBorder="1" applyAlignment="1" applyProtection="1">
      <alignment horizontal="center" vertical="center"/>
    </xf>
    <xf numFmtId="0" fontId="13" fillId="0" borderId="3" xfId="0" applyFont="1" applyBorder="1" applyAlignment="1">
      <alignment horizontal="center" vertical="top" wrapText="1"/>
    </xf>
    <xf numFmtId="0" fontId="13" fillId="0" borderId="3" xfId="8" applyFont="1" applyBorder="1" applyAlignment="1" applyProtection="1">
      <alignment horizontal="center" vertical="center"/>
    </xf>
    <xf numFmtId="0" fontId="13" fillId="0" borderId="4" xfId="8" applyFont="1" applyBorder="1" applyAlignment="1" applyProtection="1">
      <alignment horizontal="center" vertical="center"/>
    </xf>
    <xf numFmtId="0" fontId="17" fillId="0" borderId="5" xfId="0" applyFont="1" applyBorder="1" applyAlignment="1">
      <alignment horizontal="center" vertical="top"/>
    </xf>
    <xf numFmtId="164" fontId="17" fillId="0" borderId="5" xfId="0" applyNumberFormat="1" applyFont="1" applyBorder="1" applyAlignment="1">
      <alignment horizontal="center" vertical="top"/>
    </xf>
    <xf numFmtId="2" fontId="17" fillId="0" borderId="0" xfId="0" applyNumberFormat="1" applyFont="1">
      <alignment vertical="top"/>
    </xf>
    <xf numFmtId="164" fontId="17" fillId="0" borderId="9" xfId="0" applyNumberFormat="1" applyFont="1" applyBorder="1" applyAlignment="1">
      <alignment horizontal="center" vertical="top"/>
    </xf>
    <xf numFmtId="10" fontId="17" fillId="0" borderId="0" xfId="9" applyFont="1" applyBorder="1" applyAlignment="1">
      <alignment horizontal="center" vertical="top"/>
    </xf>
    <xf numFmtId="164" fontId="18" fillId="0" borderId="0" xfId="0" applyNumberFormat="1" applyFont="1" applyAlignment="1">
      <alignment horizontal="left" vertical="top"/>
    </xf>
    <xf numFmtId="164" fontId="13" fillId="0" borderId="26" xfId="0" applyNumberFormat="1" applyFont="1" applyBorder="1" applyAlignment="1">
      <alignment horizontal="center" vertical="top"/>
    </xf>
    <xf numFmtId="0" fontId="13" fillId="0" borderId="26" xfId="0" applyFont="1" applyBorder="1" applyAlignment="1">
      <alignment horizontal="center" vertical="top"/>
    </xf>
    <xf numFmtId="0" fontId="13" fillId="0" borderId="26" xfId="8" applyFont="1" applyBorder="1" applyAlignment="1" applyProtection="1">
      <alignment horizontal="center"/>
    </xf>
    <xf numFmtId="164" fontId="13" fillId="0" borderId="0" xfId="0" applyNumberFormat="1" applyFont="1" applyBorder="1" applyAlignment="1">
      <alignment horizontal="center" vertical="top"/>
    </xf>
    <xf numFmtId="0" fontId="13" fillId="0" borderId="0" xfId="8" applyFont="1" applyBorder="1" applyAlignment="1" applyProtection="1">
      <alignment horizontal="center"/>
    </xf>
    <xf numFmtId="0" fontId="19" fillId="0" borderId="0" xfId="0" applyFont="1" applyBorder="1" applyAlignment="1">
      <alignment horizontal="center" vertical="top"/>
    </xf>
    <xf numFmtId="0" fontId="17" fillId="0" borderId="36" xfId="0" applyFont="1" applyBorder="1">
      <alignment vertical="top"/>
    </xf>
    <xf numFmtId="38" fontId="17" fillId="0" borderId="6" xfId="8" quotePrefix="1" applyNumberFormat="1" applyFont="1" applyBorder="1" applyAlignment="1" applyProtection="1"/>
    <xf numFmtId="2" fontId="10" fillId="0" borderId="0" xfId="8" applyNumberFormat="1" applyFont="1" applyBorder="1" applyAlignment="1" applyProtection="1">
      <alignment horizontal="left"/>
    </xf>
    <xf numFmtId="0" fontId="10" fillId="0" borderId="0" xfId="8" applyFont="1" applyBorder="1" applyAlignment="1" applyProtection="1">
      <alignment horizontal="left"/>
    </xf>
    <xf numFmtId="38" fontId="9" fillId="0" borderId="7" xfId="8" quotePrefix="1" applyNumberFormat="1" applyFont="1" applyBorder="1" applyAlignment="1" applyProtection="1"/>
    <xf numFmtId="0" fontId="13" fillId="5" borderId="26" xfId="0" applyNumberFormat="1" applyFont="1" applyFill="1" applyBorder="1" applyAlignment="1">
      <alignment horizontal="center" vertical="top"/>
    </xf>
    <xf numFmtId="0" fontId="10" fillId="0" borderId="5" xfId="8" applyFont="1" applyBorder="1" applyProtection="1"/>
    <xf numFmtId="0" fontId="9" fillId="0" borderId="9" xfId="8" applyFont="1" applyBorder="1" applyProtection="1"/>
    <xf numFmtId="0" fontId="21" fillId="0" borderId="0" xfId="8" applyFont="1" applyBorder="1" applyAlignment="1" applyProtection="1">
      <alignment horizontal="right"/>
    </xf>
    <xf numFmtId="38" fontId="9" fillId="0" borderId="6" xfId="8" applyNumberFormat="1" applyFont="1" applyBorder="1" applyAlignment="1" applyProtection="1"/>
    <xf numFmtId="0" fontId="9" fillId="0" borderId="29" xfId="8" applyFont="1" applyBorder="1" applyProtection="1"/>
    <xf numFmtId="0" fontId="10" fillId="0" borderId="5" xfId="8" applyFont="1" applyBorder="1" applyAlignment="1" applyProtection="1">
      <alignment horizontal="right"/>
    </xf>
    <xf numFmtId="0" fontId="6" fillId="0" borderId="0" xfId="8" applyFont="1" applyBorder="1" applyProtection="1"/>
    <xf numFmtId="0" fontId="6" fillId="0" borderId="0" xfId="8" applyFont="1" applyBorder="1" applyProtection="1">
      <protection locked="0"/>
    </xf>
    <xf numFmtId="38" fontId="9" fillId="0" borderId="0" xfId="8" applyNumberFormat="1" applyFont="1" applyBorder="1" applyAlignment="1" applyProtection="1">
      <alignment horizontal="center"/>
    </xf>
    <xf numFmtId="0" fontId="7" fillId="0" borderId="0" xfId="8" applyFont="1" applyBorder="1" applyProtection="1"/>
    <xf numFmtId="0" fontId="7" fillId="0" borderId="0" xfId="0" applyFont="1">
      <alignment vertical="top"/>
    </xf>
    <xf numFmtId="0" fontId="10" fillId="0" borderId="32" xfId="8" applyFont="1" applyBorder="1"/>
    <xf numFmtId="0" fontId="9" fillId="0" borderId="0" xfId="8" applyFont="1" applyBorder="1" applyAlignment="1">
      <alignment horizontal="center"/>
    </xf>
    <xf numFmtId="0" fontId="9" fillId="0" borderId="2" xfId="8" applyFont="1" applyBorder="1" applyProtection="1"/>
    <xf numFmtId="38" fontId="9" fillId="0" borderId="3" xfId="8" applyNumberFormat="1" applyFont="1" applyBorder="1" applyAlignment="1" applyProtection="1"/>
    <xf numFmtId="38" fontId="9" fillId="0" borderId="3" xfId="8" applyNumberFormat="1" applyFont="1" applyBorder="1" applyProtection="1"/>
    <xf numFmtId="38" fontId="9" fillId="0" borderId="4" xfId="8" applyNumberFormat="1" applyFont="1" applyBorder="1" applyProtection="1"/>
    <xf numFmtId="0" fontId="21" fillId="0" borderId="0" xfId="0" applyFont="1">
      <alignment vertical="top"/>
    </xf>
    <xf numFmtId="0" fontId="10" fillId="0" borderId="9" xfId="8" applyFont="1" applyBorder="1" applyAlignment="1" applyProtection="1">
      <alignment horizontal="left"/>
    </xf>
    <xf numFmtId="0" fontId="21" fillId="0" borderId="8" xfId="0" applyFont="1" applyBorder="1">
      <alignment vertical="top"/>
    </xf>
    <xf numFmtId="38" fontId="21" fillId="0" borderId="6" xfId="8" applyNumberFormat="1" applyFont="1" applyFill="1" applyBorder="1" applyProtection="1"/>
    <xf numFmtId="0" fontId="21" fillId="0" borderId="5" xfId="8" applyFont="1" applyBorder="1" applyAlignment="1" applyProtection="1">
      <alignment horizontal="left"/>
    </xf>
    <xf numFmtId="0" fontId="21" fillId="0" borderId="5" xfId="8" applyFont="1" applyBorder="1" applyProtection="1"/>
    <xf numFmtId="0" fontId="0" fillId="0" borderId="0" xfId="0" applyBorder="1">
      <alignment vertical="top"/>
    </xf>
    <xf numFmtId="0" fontId="21" fillId="0" borderId="0" xfId="0" applyFont="1" applyBorder="1">
      <alignment vertical="top"/>
    </xf>
    <xf numFmtId="3" fontId="9" fillId="6" borderId="6" xfId="0" applyNumberFormat="1" applyFont="1" applyFill="1" applyBorder="1" applyProtection="1">
      <alignment vertical="top"/>
    </xf>
    <xf numFmtId="38" fontId="21" fillId="7" borderId="6" xfId="8" applyNumberFormat="1" applyFont="1" applyFill="1" applyBorder="1" applyAlignment="1" applyProtection="1"/>
    <xf numFmtId="3" fontId="9" fillId="0" borderId="6" xfId="0" applyNumberFormat="1" applyFont="1" applyFill="1" applyBorder="1" applyProtection="1">
      <alignment vertical="top"/>
    </xf>
    <xf numFmtId="164" fontId="17" fillId="0" borderId="0" xfId="0" applyNumberFormat="1" applyFont="1">
      <alignment vertical="top"/>
    </xf>
    <xf numFmtId="0" fontId="17" fillId="0" borderId="0" xfId="0" applyFont="1" applyAlignment="1">
      <alignment horizontal="left" vertical="top" wrapText="1"/>
    </xf>
    <xf numFmtId="0" fontId="13" fillId="0" borderId="0" xfId="0" applyFont="1">
      <alignment vertical="top"/>
    </xf>
    <xf numFmtId="0" fontId="13" fillId="0" borderId="0" xfId="0" applyFont="1" applyAlignment="1">
      <alignment horizontal="center" vertical="top"/>
    </xf>
    <xf numFmtId="0" fontId="22" fillId="0" borderId="8" xfId="0" applyFont="1" applyBorder="1" applyAlignment="1">
      <alignment horizontal="center" vertical="top"/>
    </xf>
    <xf numFmtId="0" fontId="23" fillId="0" borderId="0" xfId="0" applyFont="1" applyFill="1">
      <alignment vertical="top"/>
    </xf>
    <xf numFmtId="166" fontId="0" fillId="0" borderId="0" xfId="0" applyNumberFormat="1">
      <alignment vertical="top"/>
    </xf>
    <xf numFmtId="0" fontId="14" fillId="4" borderId="3" xfId="0" applyFont="1" applyFill="1" applyBorder="1">
      <alignment vertical="top"/>
    </xf>
    <xf numFmtId="0" fontId="14" fillId="4" borderId="4" xfId="0" applyFont="1" applyFill="1" applyBorder="1">
      <alignment vertical="top"/>
    </xf>
    <xf numFmtId="0" fontId="14" fillId="3" borderId="5" xfId="0" applyFont="1" applyFill="1" applyBorder="1">
      <alignment vertical="top"/>
    </xf>
    <xf numFmtId="0" fontId="14" fillId="3" borderId="29" xfId="0" applyFont="1" applyFill="1" applyBorder="1">
      <alignment vertical="top"/>
    </xf>
    <xf numFmtId="0" fontId="14" fillId="3" borderId="9" xfId="0" applyFont="1" applyFill="1" applyBorder="1">
      <alignment vertical="top"/>
    </xf>
    <xf numFmtId="0" fontId="14" fillId="3" borderId="8" xfId="0" applyFont="1" applyFill="1" applyBorder="1">
      <alignment vertical="top"/>
    </xf>
    <xf numFmtId="0" fontId="14" fillId="3" borderId="37" xfId="0" applyFont="1" applyFill="1" applyBorder="1">
      <alignment vertical="top"/>
    </xf>
    <xf numFmtId="0" fontId="20" fillId="3" borderId="5" xfId="0" applyFont="1" applyFill="1" applyBorder="1">
      <alignment vertical="top"/>
    </xf>
    <xf numFmtId="0" fontId="0" fillId="3" borderId="29" xfId="0" applyFill="1" applyBorder="1">
      <alignment vertical="top"/>
    </xf>
    <xf numFmtId="0" fontId="14" fillId="3" borderId="3" xfId="0" applyFont="1" applyFill="1" applyBorder="1">
      <alignment vertical="top"/>
    </xf>
    <xf numFmtId="0" fontId="14" fillId="3" borderId="4" xfId="0" applyFont="1" applyFill="1" applyBorder="1">
      <alignment vertical="top"/>
    </xf>
    <xf numFmtId="0" fontId="8" fillId="3" borderId="5" xfId="0" applyFont="1" applyFill="1" applyBorder="1">
      <alignment vertical="top"/>
    </xf>
    <xf numFmtId="0" fontId="0" fillId="3" borderId="5" xfId="0" applyFill="1" applyBorder="1">
      <alignment vertical="top"/>
    </xf>
    <xf numFmtId="0" fontId="24" fillId="4" borderId="2" xfId="0" applyFont="1" applyFill="1" applyBorder="1">
      <alignment vertical="top"/>
    </xf>
    <xf numFmtId="0" fontId="24" fillId="3" borderId="2" xfId="0" applyFont="1" applyFill="1" applyBorder="1">
      <alignment vertical="top"/>
    </xf>
    <xf numFmtId="38" fontId="17" fillId="0" borderId="7" xfId="8" quotePrefix="1" applyNumberFormat="1" applyFont="1" applyBorder="1" applyAlignment="1" applyProtection="1"/>
    <xf numFmtId="164" fontId="25" fillId="0" borderId="0" xfId="0" applyNumberFormat="1" applyFont="1" applyAlignment="1">
      <alignment horizontal="left" vertical="top"/>
    </xf>
    <xf numFmtId="0" fontId="13" fillId="0" borderId="0" xfId="0" applyFont="1" applyFill="1" applyAlignment="1" applyProtection="1">
      <alignment horizontal="center" vertical="top" wrapText="1"/>
      <protection locked="0"/>
    </xf>
    <xf numFmtId="0" fontId="15" fillId="3" borderId="0" xfId="0" applyFont="1" applyFill="1" applyBorder="1" applyAlignment="1">
      <alignment horizontal="center" vertical="top" wrapText="1"/>
    </xf>
    <xf numFmtId="0" fontId="15" fillId="3" borderId="27" xfId="0" applyFont="1" applyFill="1" applyBorder="1" applyAlignment="1">
      <alignment horizontal="center" vertical="top" wrapText="1"/>
    </xf>
    <xf numFmtId="165" fontId="21" fillId="0" borderId="35" xfId="0" applyNumberFormat="1" applyFont="1" applyBorder="1">
      <alignment vertical="top"/>
    </xf>
    <xf numFmtId="0" fontId="27" fillId="0" borderId="8" xfId="0" applyFont="1" applyBorder="1">
      <alignment vertical="top"/>
    </xf>
    <xf numFmtId="0" fontId="28" fillId="0" borderId="0" xfId="0" applyFont="1">
      <alignment vertical="top"/>
    </xf>
    <xf numFmtId="0" fontId="29" fillId="0" borderId="0" xfId="0" applyFont="1">
      <alignment vertical="top"/>
    </xf>
    <xf numFmtId="38" fontId="9" fillId="0" borderId="10" xfId="8" quotePrefix="1" applyNumberFormat="1" applyFont="1" applyBorder="1" applyAlignment="1" applyProtection="1"/>
    <xf numFmtId="0" fontId="17" fillId="0" borderId="0" xfId="0" applyFont="1" applyFill="1">
      <alignment vertical="top"/>
    </xf>
    <xf numFmtId="0" fontId="32" fillId="3" borderId="5" xfId="0" applyFont="1" applyFill="1" applyBorder="1">
      <alignment vertical="top"/>
    </xf>
    <xf numFmtId="0" fontId="21" fillId="3" borderId="0" xfId="0" applyFont="1" applyFill="1" applyBorder="1">
      <alignment vertical="top"/>
    </xf>
    <xf numFmtId="0" fontId="26" fillId="0" borderId="0" xfId="0" applyFont="1">
      <alignment vertical="top"/>
    </xf>
    <xf numFmtId="0" fontId="0" fillId="0" borderId="5" xfId="0" applyBorder="1">
      <alignment vertical="top"/>
    </xf>
    <xf numFmtId="166" fontId="0" fillId="0" borderId="0" xfId="0" applyNumberFormat="1" applyBorder="1">
      <alignment vertical="top"/>
    </xf>
    <xf numFmtId="166" fontId="0" fillId="0" borderId="29" xfId="0" applyNumberFormat="1" applyBorder="1">
      <alignment vertical="top"/>
    </xf>
    <xf numFmtId="0" fontId="0" fillId="0" borderId="9" xfId="0" applyBorder="1">
      <alignment vertical="top"/>
    </xf>
    <xf numFmtId="0" fontId="0" fillId="0" borderId="8" xfId="0" applyBorder="1">
      <alignment vertical="top"/>
    </xf>
    <xf numFmtId="166" fontId="0" fillId="0" borderId="8" xfId="0" applyNumberFormat="1" applyBorder="1">
      <alignment vertical="top"/>
    </xf>
    <xf numFmtId="166" fontId="0" fillId="0" borderId="37" xfId="0" applyNumberFormat="1" applyBorder="1">
      <alignment vertical="top"/>
    </xf>
    <xf numFmtId="0" fontId="7" fillId="0" borderId="38" xfId="0" applyFont="1" applyBorder="1" applyAlignment="1">
      <alignment horizontal="center" vertical="top"/>
    </xf>
    <xf numFmtId="0" fontId="7" fillId="0" borderId="39" xfId="0" applyFont="1" applyBorder="1" applyAlignment="1">
      <alignment horizontal="center" vertical="top"/>
    </xf>
    <xf numFmtId="0" fontId="7" fillId="0" borderId="39" xfId="0" applyFont="1" applyBorder="1">
      <alignment vertical="top"/>
    </xf>
    <xf numFmtId="0" fontId="7" fillId="0" borderId="40" xfId="0" applyFont="1" applyBorder="1" applyAlignment="1">
      <alignment horizontal="center" vertical="top"/>
    </xf>
    <xf numFmtId="2" fontId="21" fillId="0" borderId="0" xfId="0" applyNumberFormat="1" applyFont="1">
      <alignment vertical="top"/>
    </xf>
    <xf numFmtId="164" fontId="9" fillId="0" borderId="0" xfId="0" applyNumberFormat="1" applyFont="1">
      <alignment vertical="top"/>
    </xf>
    <xf numFmtId="164" fontId="11" fillId="0" borderId="0" xfId="0" applyNumberFormat="1" applyFont="1">
      <alignment vertical="top"/>
    </xf>
    <xf numFmtId="38" fontId="9" fillId="0" borderId="6" xfId="8" applyNumberFormat="1" applyFont="1" applyFill="1" applyBorder="1" applyProtection="1"/>
    <xf numFmtId="0" fontId="30" fillId="0" borderId="0" xfId="0" applyFont="1" applyFill="1" applyProtection="1">
      <alignment vertical="top"/>
    </xf>
    <xf numFmtId="38" fontId="10" fillId="4" borderId="41" xfId="8" applyNumberFormat="1" applyFont="1" applyFill="1" applyBorder="1" applyProtection="1"/>
    <xf numFmtId="38" fontId="10" fillId="2" borderId="41" xfId="8" applyNumberFormat="1" applyFont="1" applyFill="1" applyBorder="1" applyProtection="1"/>
    <xf numFmtId="2" fontId="10" fillId="0" borderId="2" xfId="8" applyNumberFormat="1" applyFont="1" applyBorder="1" applyAlignment="1" applyProtection="1">
      <alignment horizontal="left"/>
    </xf>
    <xf numFmtId="0" fontId="10" fillId="0" borderId="3" xfId="8" applyFont="1" applyBorder="1" applyAlignment="1" applyProtection="1">
      <alignment horizontal="left"/>
    </xf>
    <xf numFmtId="0" fontId="12" fillId="0" borderId="3" xfId="0" applyFont="1" applyFill="1" applyBorder="1" applyProtection="1">
      <alignment vertical="top"/>
    </xf>
    <xf numFmtId="38" fontId="9" fillId="0" borderId="7" xfId="8" applyNumberFormat="1" applyFont="1" applyFill="1" applyBorder="1" applyProtection="1"/>
    <xf numFmtId="38" fontId="9" fillId="0" borderId="11" xfId="8" quotePrefix="1" applyNumberFormat="1" applyFont="1" applyBorder="1" applyAlignment="1" applyProtection="1"/>
    <xf numFmtId="38" fontId="10" fillId="4" borderId="42" xfId="8" applyNumberFormat="1" applyFont="1" applyFill="1" applyBorder="1" applyProtection="1"/>
    <xf numFmtId="38" fontId="10" fillId="2" borderId="42" xfId="8" applyNumberFormat="1" applyFont="1" applyFill="1" applyBorder="1" applyProtection="1"/>
    <xf numFmtId="3" fontId="9" fillId="0" borderId="7" xfId="0" applyNumberFormat="1" applyFont="1" applyFill="1" applyBorder="1" applyProtection="1">
      <alignment vertical="top"/>
    </xf>
    <xf numFmtId="0" fontId="25" fillId="0" borderId="0" xfId="8" applyFont="1"/>
    <xf numFmtId="0" fontId="22" fillId="0" borderId="0" xfId="0" applyFont="1">
      <alignment vertical="top"/>
    </xf>
    <xf numFmtId="165" fontId="9" fillId="0" borderId="0" xfId="10" applyNumberFormat="1" applyBorder="1"/>
    <xf numFmtId="0" fontId="22" fillId="0" borderId="0" xfId="0" applyFont="1" applyBorder="1" applyAlignment="1">
      <alignment horizontal="center" vertical="top"/>
    </xf>
    <xf numFmtId="164" fontId="17" fillId="0" borderId="0" xfId="0" applyNumberFormat="1" applyFont="1" applyBorder="1" applyAlignment="1">
      <alignment horizontal="center" vertical="top"/>
    </xf>
    <xf numFmtId="0" fontId="21" fillId="4" borderId="0" xfId="8" applyFont="1" applyFill="1" applyBorder="1" applyAlignment="1" applyProtection="1">
      <alignment horizontal="left"/>
    </xf>
    <xf numFmtId="0" fontId="21" fillId="4" borderId="8" xfId="8" applyFont="1" applyFill="1" applyBorder="1" applyAlignment="1" applyProtection="1">
      <alignment horizontal="left"/>
    </xf>
    <xf numFmtId="0" fontId="21" fillId="3" borderId="29" xfId="0" applyFont="1" applyFill="1" applyBorder="1">
      <alignment vertical="top"/>
    </xf>
    <xf numFmtId="0" fontId="10" fillId="8" borderId="5" xfId="8" applyFont="1" applyFill="1" applyBorder="1" applyProtection="1"/>
    <xf numFmtId="0" fontId="10" fillId="8" borderId="9" xfId="8" applyFont="1" applyFill="1" applyBorder="1" applyProtection="1"/>
    <xf numFmtId="2" fontId="10" fillId="8" borderId="5" xfId="8" applyNumberFormat="1" applyFont="1" applyFill="1" applyBorder="1" applyAlignment="1" applyProtection="1">
      <alignment horizontal="left"/>
    </xf>
    <xf numFmtId="0" fontId="21" fillId="3" borderId="5" xfId="0" applyFont="1" applyFill="1" applyBorder="1">
      <alignment vertical="top"/>
    </xf>
    <xf numFmtId="0" fontId="21" fillId="3" borderId="9" xfId="0" applyFont="1" applyFill="1" applyBorder="1">
      <alignment vertical="top"/>
    </xf>
    <xf numFmtId="0" fontId="21" fillId="3" borderId="8" xfId="0" applyFont="1" applyFill="1" applyBorder="1">
      <alignment vertical="top"/>
    </xf>
    <xf numFmtId="0" fontId="21" fillId="3" borderId="37" xfId="0" applyFont="1" applyFill="1" applyBorder="1">
      <alignment vertical="top"/>
    </xf>
    <xf numFmtId="2" fontId="21" fillId="4" borderId="0" xfId="0" applyNumberFormat="1" applyFont="1" applyFill="1">
      <alignment vertical="top"/>
    </xf>
    <xf numFmtId="0" fontId="14" fillId="4" borderId="21" xfId="0" applyFont="1" applyFill="1" applyBorder="1">
      <alignment vertical="top"/>
    </xf>
    <xf numFmtId="0" fontId="21" fillId="0" borderId="0" xfId="8" applyFont="1" applyBorder="1" applyAlignment="1" applyProtection="1">
      <alignment horizontal="left"/>
    </xf>
    <xf numFmtId="1" fontId="21" fillId="0" borderId="0" xfId="0" applyNumberFormat="1" applyFont="1">
      <alignment vertical="top"/>
    </xf>
    <xf numFmtId="165" fontId="21" fillId="0" borderId="43" xfId="0" applyNumberFormat="1" applyFont="1" applyBorder="1">
      <alignment vertical="top"/>
    </xf>
    <xf numFmtId="165" fontId="21" fillId="0" borderId="44" xfId="0" applyNumberFormat="1" applyFont="1" applyBorder="1">
      <alignment vertical="top"/>
    </xf>
    <xf numFmtId="0" fontId="21" fillId="0" borderId="19" xfId="0" applyFont="1" applyBorder="1">
      <alignment vertical="top"/>
    </xf>
    <xf numFmtId="0" fontId="9" fillId="8" borderId="5" xfId="8" applyFont="1" applyFill="1" applyBorder="1" applyProtection="1"/>
    <xf numFmtId="0" fontId="10" fillId="0" borderId="0" xfId="0" applyFont="1" applyBorder="1">
      <alignment vertical="top"/>
    </xf>
    <xf numFmtId="1" fontId="21" fillId="0" borderId="0" xfId="0" applyNumberFormat="1" applyFont="1" applyBorder="1">
      <alignment vertical="top"/>
    </xf>
    <xf numFmtId="167" fontId="21" fillId="0" borderId="0" xfId="0" applyNumberFormat="1" applyFont="1" applyBorder="1">
      <alignment vertical="top"/>
    </xf>
    <xf numFmtId="0" fontId="21" fillId="0" borderId="27" xfId="0" applyFont="1" applyBorder="1">
      <alignment vertical="top"/>
    </xf>
    <xf numFmtId="0" fontId="38" fillId="0" borderId="0" xfId="0" applyFont="1" applyFill="1" applyProtection="1">
      <alignment vertical="top"/>
      <protection locked="0"/>
    </xf>
    <xf numFmtId="0" fontId="21" fillId="4" borderId="0" xfId="0" applyFont="1" applyFill="1" applyBorder="1">
      <alignment vertical="top"/>
    </xf>
    <xf numFmtId="0" fontId="17" fillId="9" borderId="0" xfId="0" applyFont="1" applyFill="1" applyBorder="1" applyAlignment="1">
      <alignment horizontal="left" vertical="top"/>
    </xf>
    <xf numFmtId="164" fontId="17" fillId="9" borderId="0" xfId="0" applyNumberFormat="1" applyFont="1" applyFill="1" applyBorder="1" applyAlignment="1">
      <alignment horizontal="left" vertical="top"/>
    </xf>
    <xf numFmtId="0" fontId="19" fillId="9" borderId="0" xfId="0" applyFont="1" applyFill="1" applyBorder="1" applyAlignment="1">
      <alignment horizontal="center" vertical="top"/>
    </xf>
    <xf numFmtId="164" fontId="17" fillId="9" borderId="0" xfId="0" applyNumberFormat="1" applyFont="1" applyFill="1" applyBorder="1">
      <alignment vertical="top"/>
    </xf>
    <xf numFmtId="2" fontId="10" fillId="8" borderId="0" xfId="8" applyNumberFormat="1" applyFont="1" applyFill="1" applyBorder="1" applyAlignment="1" applyProtection="1">
      <alignment horizontal="left"/>
    </xf>
    <xf numFmtId="0" fontId="39" fillId="4" borderId="0" xfId="0" applyFont="1" applyFill="1" applyAlignment="1">
      <alignment horizontal="center" vertical="top"/>
    </xf>
    <xf numFmtId="0" fontId="0" fillId="0" borderId="0" xfId="0" applyAlignment="1">
      <alignment horizontal="center" vertical="top"/>
    </xf>
    <xf numFmtId="0" fontId="10" fillId="0" borderId="0" xfId="0" applyFont="1">
      <alignment vertical="top"/>
    </xf>
    <xf numFmtId="38" fontId="9" fillId="0" borderId="6" xfId="8" quotePrefix="1" applyNumberFormat="1" applyFont="1" applyFill="1" applyBorder="1" applyAlignment="1" applyProtection="1"/>
    <xf numFmtId="38" fontId="9" fillId="0" borderId="7" xfId="8" quotePrefix="1" applyNumberFormat="1" applyFont="1" applyFill="1" applyBorder="1" applyAlignment="1" applyProtection="1"/>
    <xf numFmtId="3" fontId="0" fillId="0" borderId="0" xfId="0" applyNumberFormat="1">
      <alignment vertical="top"/>
    </xf>
    <xf numFmtId="3" fontId="21" fillId="9" borderId="0" xfId="1" applyNumberFormat="1" applyFont="1" applyFill="1" applyAlignment="1">
      <alignment vertical="top"/>
    </xf>
    <xf numFmtId="0" fontId="10" fillId="3" borderId="0" xfId="0" applyFont="1" applyFill="1">
      <alignment vertical="top"/>
    </xf>
    <xf numFmtId="0" fontId="21" fillId="3" borderId="0" xfId="0" applyFont="1" applyFill="1">
      <alignment vertical="top"/>
    </xf>
    <xf numFmtId="0" fontId="41" fillId="3" borderId="0" xfId="0" applyFont="1" applyFill="1">
      <alignment vertical="top"/>
    </xf>
    <xf numFmtId="0" fontId="21" fillId="3" borderId="0" xfId="0" quotePrefix="1" applyFont="1" applyFill="1">
      <alignment vertical="top"/>
    </xf>
    <xf numFmtId="0" fontId="21" fillId="3" borderId="0" xfId="0" applyFont="1" applyFill="1" applyAlignment="1">
      <alignment horizontal="right" vertical="top"/>
    </xf>
    <xf numFmtId="0" fontId="10" fillId="3" borderId="0" xfId="0" applyFont="1" applyFill="1" applyAlignment="1">
      <alignment horizontal="center" vertical="top"/>
    </xf>
    <xf numFmtId="0" fontId="42" fillId="3" borderId="0" xfId="0" applyFont="1" applyFill="1">
      <alignment vertical="top"/>
    </xf>
    <xf numFmtId="0" fontId="21" fillId="3" borderId="0" xfId="0" applyFont="1" applyFill="1" applyAlignment="1">
      <alignment horizontal="left" vertical="top" wrapText="1"/>
    </xf>
    <xf numFmtId="0" fontId="10" fillId="3" borderId="0" xfId="0" quotePrefix="1" applyFont="1" applyFill="1">
      <alignment vertical="top"/>
    </xf>
    <xf numFmtId="0" fontId="43" fillId="3" borderId="0" xfId="0" applyFont="1" applyFill="1" applyAlignment="1">
      <alignment horizontal="left" vertical="top"/>
    </xf>
    <xf numFmtId="38" fontId="10" fillId="2" borderId="0" xfId="8" applyNumberFormat="1" applyFont="1" applyFill="1" applyBorder="1" applyProtection="1"/>
    <xf numFmtId="0" fontId="19" fillId="0" borderId="5" xfId="0" applyFont="1" applyBorder="1" applyAlignment="1">
      <alignment horizontal="center" vertical="top"/>
    </xf>
    <xf numFmtId="0" fontId="13" fillId="0" borderId="5" xfId="0" applyFont="1" applyFill="1" applyBorder="1" applyAlignment="1">
      <alignment horizontal="center" vertical="top"/>
    </xf>
    <xf numFmtId="0" fontId="17" fillId="5" borderId="0" xfId="0" applyFont="1" applyFill="1" applyBorder="1" applyAlignment="1">
      <alignment horizontal="center" vertical="top"/>
    </xf>
    <xf numFmtId="0" fontId="13" fillId="0" borderId="0" xfId="0" applyFont="1" applyFill="1">
      <alignment vertical="top"/>
    </xf>
    <xf numFmtId="0" fontId="19" fillId="0" borderId="5" xfId="0" applyFont="1" applyFill="1" applyBorder="1" applyAlignment="1">
      <alignment horizontal="center" vertical="top"/>
    </xf>
    <xf numFmtId="3" fontId="17" fillId="0" borderId="0" xfId="1" applyNumberFormat="1" applyFont="1" applyAlignment="1">
      <alignment horizontal="center" vertical="top"/>
    </xf>
    <xf numFmtId="3" fontId="13" fillId="0" borderId="26" xfId="1" applyNumberFormat="1" applyFont="1" applyBorder="1" applyAlignment="1">
      <alignment horizontal="center" vertical="top"/>
    </xf>
    <xf numFmtId="3" fontId="13" fillId="0" borderId="0" xfId="1" applyNumberFormat="1" applyFont="1" applyBorder="1" applyAlignment="1">
      <alignment horizontal="center" vertical="top"/>
    </xf>
    <xf numFmtId="3" fontId="21" fillId="0" borderId="0" xfId="1" applyNumberFormat="1" applyFont="1" applyAlignment="1">
      <alignment vertical="top"/>
    </xf>
    <xf numFmtId="3" fontId="17" fillId="0" borderId="0" xfId="1" applyNumberFormat="1" applyFont="1" applyFill="1" applyAlignment="1">
      <alignment vertical="top"/>
    </xf>
    <xf numFmtId="3" fontId="0" fillId="0" borderId="0" xfId="1" applyNumberFormat="1" applyFont="1" applyAlignment="1">
      <alignment vertical="top"/>
    </xf>
    <xf numFmtId="3" fontId="13" fillId="0" borderId="26" xfId="1" applyNumberFormat="1" applyFont="1" applyBorder="1" applyAlignment="1">
      <alignment horizontal="left" vertical="top"/>
    </xf>
    <xf numFmtId="3" fontId="0" fillId="0" borderId="45" xfId="1" applyNumberFormat="1" applyFont="1" applyBorder="1" applyAlignment="1">
      <alignment vertical="top"/>
    </xf>
    <xf numFmtId="3" fontId="0" fillId="0" borderId="46" xfId="1" applyNumberFormat="1" applyFont="1" applyBorder="1" applyAlignment="1">
      <alignment vertical="top"/>
    </xf>
    <xf numFmtId="0" fontId="14" fillId="0" borderId="0" xfId="0" applyFont="1" applyFill="1">
      <alignment vertical="top"/>
    </xf>
    <xf numFmtId="2" fontId="7" fillId="0" borderId="8" xfId="0" applyNumberFormat="1" applyFont="1" applyBorder="1" applyAlignment="1">
      <alignment horizontal="center" vertical="top"/>
    </xf>
    <xf numFmtId="0" fontId="7" fillId="0" borderId="8" xfId="0" applyFont="1" applyBorder="1" applyAlignment="1">
      <alignment horizontal="center" vertical="top"/>
    </xf>
    <xf numFmtId="0" fontId="7" fillId="0" borderId="0" xfId="0" applyFont="1" applyBorder="1">
      <alignment vertical="top"/>
    </xf>
    <xf numFmtId="3" fontId="12" fillId="0" borderId="0" xfId="1" applyNumberFormat="1" applyFont="1" applyProtection="1">
      <protection locked="0"/>
    </xf>
    <xf numFmtId="0" fontId="12" fillId="0" borderId="0" xfId="8" applyFont="1" applyBorder="1" applyProtection="1">
      <protection locked="0"/>
    </xf>
    <xf numFmtId="3" fontId="12" fillId="0" borderId="0" xfId="1" applyNumberFormat="1" applyFont="1" applyBorder="1" applyProtection="1">
      <protection locked="0"/>
    </xf>
    <xf numFmtId="3" fontId="12" fillId="0" borderId="29" xfId="1" applyNumberFormat="1" applyFont="1" applyBorder="1" applyProtection="1">
      <protection locked="0"/>
    </xf>
    <xf numFmtId="0" fontId="12" fillId="0" borderId="8" xfId="8" applyFont="1" applyBorder="1" applyProtection="1">
      <protection locked="0"/>
    </xf>
    <xf numFmtId="3" fontId="12" fillId="0" borderId="8" xfId="1" applyNumberFormat="1" applyFont="1" applyBorder="1" applyProtection="1">
      <protection locked="0"/>
    </xf>
    <xf numFmtId="3" fontId="12" fillId="0" borderId="37" xfId="1" applyNumberFormat="1" applyFont="1" applyBorder="1" applyProtection="1">
      <protection locked="0"/>
    </xf>
    <xf numFmtId="0" fontId="44" fillId="0" borderId="0" xfId="0" applyFont="1">
      <alignment vertical="top"/>
    </xf>
    <xf numFmtId="0" fontId="0" fillId="0" borderId="37" xfId="0" applyBorder="1">
      <alignment vertical="top"/>
    </xf>
    <xf numFmtId="0" fontId="10" fillId="0" borderId="2" xfId="8" applyFont="1" applyBorder="1" applyAlignment="1" applyProtection="1">
      <alignment horizontal="center"/>
    </xf>
    <xf numFmtId="38" fontId="45" fillId="0" borderId="6" xfId="8" quotePrefix="1" applyNumberFormat="1" applyFont="1" applyBorder="1" applyAlignment="1" applyProtection="1">
      <alignment horizontal="center"/>
    </xf>
    <xf numFmtId="38" fontId="45" fillId="0" borderId="7" xfId="8" quotePrefix="1" applyNumberFormat="1" applyFont="1" applyBorder="1" applyAlignment="1" applyProtection="1">
      <alignment horizontal="center"/>
    </xf>
    <xf numFmtId="0" fontId="13" fillId="0" borderId="3" xfId="0" applyFont="1" applyFill="1" applyBorder="1">
      <alignment vertical="top"/>
    </xf>
    <xf numFmtId="0" fontId="30" fillId="10" borderId="0" xfId="8" applyFont="1" applyFill="1" applyProtection="1">
      <protection locked="0"/>
    </xf>
    <xf numFmtId="0" fontId="12" fillId="10" borderId="0" xfId="8" applyFont="1" applyFill="1" applyProtection="1">
      <protection locked="0"/>
    </xf>
    <xf numFmtId="164" fontId="13" fillId="5" borderId="0" xfId="0" applyNumberFormat="1" applyFont="1" applyFill="1" applyBorder="1" applyAlignment="1">
      <alignment horizontal="center" vertical="top"/>
    </xf>
    <xf numFmtId="0" fontId="14" fillId="3" borderId="20" xfId="0" quotePrefix="1" applyFont="1" applyFill="1" applyBorder="1">
      <alignment vertical="top"/>
    </xf>
    <xf numFmtId="3" fontId="17" fillId="0" borderId="0" xfId="0" applyNumberFormat="1" applyFont="1">
      <alignment vertical="top"/>
    </xf>
    <xf numFmtId="167" fontId="0" fillId="0" borderId="0" xfId="0" applyNumberFormat="1">
      <alignment vertical="top"/>
    </xf>
    <xf numFmtId="38" fontId="21" fillId="0" borderId="0" xfId="0" applyNumberFormat="1" applyFont="1">
      <alignment vertical="top"/>
    </xf>
    <xf numFmtId="3" fontId="0" fillId="0" borderId="0" xfId="0" applyNumberFormat="1" applyBorder="1">
      <alignment vertical="top"/>
    </xf>
    <xf numFmtId="3" fontId="0" fillId="0" borderId="29" xfId="0" applyNumberFormat="1" applyBorder="1">
      <alignment vertical="top"/>
    </xf>
    <xf numFmtId="0" fontId="0" fillId="0" borderId="27" xfId="0" applyBorder="1">
      <alignment vertical="top"/>
    </xf>
    <xf numFmtId="0" fontId="37" fillId="0" borderId="0" xfId="0" applyFont="1" applyFill="1" applyAlignment="1" applyProtection="1">
      <alignment horizontal="left" vertical="top" wrapText="1"/>
      <protection locked="0"/>
    </xf>
    <xf numFmtId="38" fontId="0" fillId="0" borderId="0" xfId="0" applyNumberFormat="1">
      <alignment vertical="top"/>
    </xf>
    <xf numFmtId="166" fontId="0" fillId="0" borderId="3" xfId="0" applyNumberFormat="1" applyBorder="1">
      <alignment vertical="top"/>
    </xf>
    <xf numFmtId="2" fontId="21" fillId="0" borderId="5" xfId="0" applyNumberFormat="1" applyFont="1" applyBorder="1">
      <alignment vertical="top"/>
    </xf>
    <xf numFmtId="2" fontId="21" fillId="0" borderId="9" xfId="0" applyNumberFormat="1" applyFont="1" applyBorder="1">
      <alignment vertical="top"/>
    </xf>
    <xf numFmtId="0" fontId="10" fillId="0" borderId="2" xfId="0" applyFont="1" applyBorder="1">
      <alignment vertical="top"/>
    </xf>
    <xf numFmtId="0" fontId="21" fillId="0" borderId="5" xfId="0" applyFont="1" applyBorder="1">
      <alignment vertical="top"/>
    </xf>
    <xf numFmtId="0" fontId="21" fillId="0" borderId="47" xfId="0" applyFont="1" applyBorder="1">
      <alignment vertical="top"/>
    </xf>
    <xf numFmtId="0" fontId="21" fillId="0" borderId="48" xfId="0" applyFont="1" applyBorder="1">
      <alignment vertical="top"/>
    </xf>
    <xf numFmtId="38" fontId="21" fillId="0" borderId="0" xfId="0" applyNumberFormat="1" applyFont="1" applyBorder="1">
      <alignment vertical="top"/>
    </xf>
    <xf numFmtId="38" fontId="21" fillId="0" borderId="29" xfId="0" applyNumberFormat="1" applyFont="1" applyBorder="1">
      <alignment vertical="top"/>
    </xf>
    <xf numFmtId="0" fontId="21" fillId="0" borderId="9" xfId="0" applyFont="1" applyBorder="1">
      <alignment vertical="top"/>
    </xf>
    <xf numFmtId="0" fontId="21" fillId="0" borderId="2" xfId="0" applyFont="1" applyBorder="1">
      <alignment vertical="top"/>
    </xf>
    <xf numFmtId="0" fontId="21" fillId="0" borderId="3" xfId="0" applyFont="1" applyBorder="1">
      <alignment vertical="top"/>
    </xf>
    <xf numFmtId="0" fontId="21" fillId="0" borderId="45" xfId="0" applyFont="1" applyBorder="1">
      <alignment vertical="top"/>
    </xf>
    <xf numFmtId="0" fontId="9" fillId="0" borderId="8" xfId="8" applyFont="1" applyBorder="1" applyAlignment="1">
      <alignment horizontal="center"/>
    </xf>
    <xf numFmtId="38" fontId="17" fillId="0" borderId="6" xfId="8" applyNumberFormat="1" applyFont="1" applyBorder="1" applyProtection="1"/>
    <xf numFmtId="0" fontId="0" fillId="0" borderId="0" xfId="0" applyAlignment="1">
      <alignment horizontal="right" vertical="top"/>
    </xf>
    <xf numFmtId="0" fontId="21" fillId="0" borderId="5" xfId="0" applyFont="1" applyBorder="1" applyAlignment="1">
      <alignment horizontal="right" vertical="top"/>
    </xf>
    <xf numFmtId="0" fontId="21" fillId="0" borderId="0" xfId="0" applyFont="1" applyBorder="1" applyAlignment="1">
      <alignment horizontal="right" vertical="top"/>
    </xf>
    <xf numFmtId="0" fontId="21" fillId="0" borderId="0" xfId="0" applyFont="1" applyAlignment="1">
      <alignment horizontal="right" vertical="top"/>
    </xf>
    <xf numFmtId="3" fontId="21" fillId="0" borderId="19" xfId="1" applyNumberFormat="1" applyFont="1" applyBorder="1" applyAlignment="1">
      <alignment vertical="top"/>
    </xf>
    <xf numFmtId="3" fontId="17" fillId="0" borderId="19" xfId="1" applyNumberFormat="1" applyFont="1" applyFill="1" applyBorder="1" applyAlignment="1">
      <alignment vertical="top"/>
    </xf>
    <xf numFmtId="3" fontId="17" fillId="0" borderId="19" xfId="1" applyNumberFormat="1" applyFont="1" applyBorder="1" applyAlignment="1">
      <alignment horizontal="center" vertical="top"/>
    </xf>
    <xf numFmtId="0" fontId="17" fillId="0" borderId="19" xfId="0" applyFont="1" applyBorder="1">
      <alignment vertical="top"/>
    </xf>
    <xf numFmtId="2" fontId="17" fillId="0" borderId="19" xfId="0" applyNumberFormat="1" applyFont="1" applyBorder="1">
      <alignment vertical="top"/>
    </xf>
    <xf numFmtId="0" fontId="26" fillId="0" borderId="0" xfId="0" applyFont="1" applyFill="1" applyProtection="1">
      <alignment vertical="top"/>
      <protection locked="0"/>
    </xf>
    <xf numFmtId="0" fontId="7" fillId="0" borderId="3" xfId="8" applyFont="1" applyBorder="1" applyProtection="1">
      <protection locked="0"/>
    </xf>
    <xf numFmtId="2" fontId="0" fillId="0" borderId="5" xfId="0" applyNumberFormat="1" applyBorder="1" applyAlignment="1">
      <alignment horizontal="center" vertical="top"/>
    </xf>
    <xf numFmtId="0" fontId="0" fillId="0" borderId="9" xfId="0" applyBorder="1" applyAlignment="1">
      <alignment horizontal="center" vertical="top"/>
    </xf>
    <xf numFmtId="2" fontId="21" fillId="0" borderId="8" xfId="0" applyNumberFormat="1" applyFont="1" applyBorder="1">
      <alignment vertical="top"/>
    </xf>
    <xf numFmtId="0" fontId="10" fillId="0" borderId="8" xfId="8" applyFont="1" applyBorder="1" applyProtection="1"/>
    <xf numFmtId="2" fontId="0" fillId="0" borderId="0" xfId="0" applyNumberFormat="1" applyBorder="1" applyAlignment="1">
      <alignment horizontal="center" vertical="top"/>
    </xf>
    <xf numFmtId="0" fontId="0" fillId="0" borderId="8" xfId="0" applyBorder="1" applyAlignment="1">
      <alignment horizontal="center" vertical="top"/>
    </xf>
    <xf numFmtId="0" fontId="10" fillId="0" borderId="8" xfId="8" applyFont="1" applyBorder="1" applyAlignment="1" applyProtection="1">
      <alignment horizontal="left"/>
    </xf>
    <xf numFmtId="2" fontId="10" fillId="0" borderId="8" xfId="8" applyNumberFormat="1" applyFont="1" applyBorder="1" applyAlignment="1" applyProtection="1">
      <alignment horizontal="left"/>
    </xf>
    <xf numFmtId="0" fontId="12" fillId="0" borderId="8" xfId="0" applyFont="1" applyFill="1" applyBorder="1" applyProtection="1">
      <alignment vertical="top"/>
    </xf>
    <xf numFmtId="1" fontId="21" fillId="0" borderId="0" xfId="0" applyNumberFormat="1" applyFont="1" applyBorder="1" applyAlignment="1">
      <alignment horizontal="center" vertical="top"/>
    </xf>
    <xf numFmtId="1" fontId="21" fillId="0" borderId="8" xfId="0" applyNumberFormat="1" applyFont="1" applyBorder="1" applyAlignment="1">
      <alignment horizontal="right" vertical="top"/>
    </xf>
    <xf numFmtId="10" fontId="0" fillId="0" borderId="0" xfId="9" applyFont="1" applyAlignment="1">
      <alignment vertical="top"/>
    </xf>
    <xf numFmtId="0" fontId="10" fillId="0" borderId="39" xfId="8" applyFont="1" applyBorder="1" applyAlignment="1" applyProtection="1">
      <alignment horizontal="right"/>
    </xf>
    <xf numFmtId="0" fontId="10" fillId="0" borderId="40" xfId="8" applyFont="1" applyBorder="1" applyAlignment="1" applyProtection="1">
      <alignment horizontal="right"/>
    </xf>
    <xf numFmtId="0" fontId="10" fillId="0" borderId="49" xfId="8" applyFont="1" applyBorder="1" applyAlignment="1" applyProtection="1">
      <alignment horizontal="center"/>
    </xf>
    <xf numFmtId="0" fontId="12" fillId="0" borderId="3" xfId="8" applyFont="1" applyBorder="1" applyProtection="1">
      <protection locked="0"/>
    </xf>
    <xf numFmtId="3" fontId="12" fillId="0" borderId="3" xfId="1" applyNumberFormat="1" applyFont="1" applyBorder="1" applyProtection="1">
      <protection locked="0"/>
    </xf>
    <xf numFmtId="3" fontId="12" fillId="0" borderId="4" xfId="1" applyNumberFormat="1" applyFont="1" applyBorder="1" applyProtection="1">
      <protection locked="0"/>
    </xf>
    <xf numFmtId="0" fontId="12" fillId="0" borderId="0" xfId="8" applyFont="1" applyAlignment="1" applyProtection="1">
      <alignment horizontal="center"/>
      <protection locked="0"/>
    </xf>
    <xf numFmtId="3" fontId="12" fillId="0" borderId="49" xfId="8" applyNumberFormat="1" applyFont="1" applyBorder="1" applyAlignment="1" applyProtection="1">
      <alignment horizontal="center"/>
      <protection locked="0"/>
    </xf>
    <xf numFmtId="3" fontId="12" fillId="0" borderId="50" xfId="8" applyNumberFormat="1" applyFont="1" applyBorder="1" applyAlignment="1" applyProtection="1">
      <alignment horizontal="center"/>
      <protection locked="0"/>
    </xf>
    <xf numFmtId="0" fontId="12" fillId="0" borderId="51" xfId="8" applyFont="1" applyBorder="1" applyAlignment="1" applyProtection="1">
      <alignment horizontal="center"/>
      <protection locked="0"/>
    </xf>
    <xf numFmtId="3" fontId="12" fillId="0" borderId="51" xfId="8" applyNumberFormat="1" applyFont="1" applyBorder="1" applyAlignment="1" applyProtection="1">
      <alignment horizontal="center"/>
      <protection locked="0"/>
    </xf>
    <xf numFmtId="0" fontId="0" fillId="0" borderId="51" xfId="0" applyBorder="1" applyAlignment="1">
      <alignment horizontal="center" vertical="top"/>
    </xf>
    <xf numFmtId="2" fontId="21" fillId="0" borderId="2" xfId="0" applyNumberFormat="1" applyFont="1" applyBorder="1">
      <alignment vertical="top"/>
    </xf>
    <xf numFmtId="0" fontId="17" fillId="0" borderId="3" xfId="0" applyFont="1" applyFill="1" applyBorder="1">
      <alignment vertical="top"/>
    </xf>
    <xf numFmtId="0" fontId="0" fillId="0" borderId="3" xfId="0" applyBorder="1">
      <alignment vertical="top"/>
    </xf>
    <xf numFmtId="3" fontId="17" fillId="0" borderId="3" xfId="1" applyNumberFormat="1" applyFont="1" applyBorder="1" applyAlignment="1">
      <alignment vertical="top"/>
    </xf>
    <xf numFmtId="1" fontId="17" fillId="0" borderId="3" xfId="0" applyNumberFormat="1" applyFont="1" applyBorder="1">
      <alignment vertical="top"/>
    </xf>
    <xf numFmtId="164" fontId="17" fillId="0" borderId="4" xfId="0" applyNumberFormat="1" applyFont="1" applyBorder="1">
      <alignment vertical="top"/>
    </xf>
    <xf numFmtId="0" fontId="17" fillId="0" borderId="0" xfId="0" applyFont="1" applyFill="1" applyBorder="1">
      <alignment vertical="top"/>
    </xf>
    <xf numFmtId="3" fontId="17" fillId="0" borderId="0" xfId="1" applyNumberFormat="1" applyFont="1" applyBorder="1" applyAlignment="1">
      <alignment vertical="top"/>
    </xf>
    <xf numFmtId="1" fontId="17" fillId="0" borderId="0" xfId="0" applyNumberFormat="1" applyFont="1" applyBorder="1">
      <alignment vertical="top"/>
    </xf>
    <xf numFmtId="0" fontId="17" fillId="0" borderId="8" xfId="0" applyFont="1" applyFill="1" applyBorder="1">
      <alignment vertical="top"/>
    </xf>
    <xf numFmtId="3" fontId="17" fillId="0" borderId="8" xfId="1" applyNumberFormat="1" applyFont="1" applyBorder="1" applyAlignment="1">
      <alignment vertical="top"/>
    </xf>
    <xf numFmtId="1" fontId="17" fillId="0" borderId="8" xfId="0" applyNumberFormat="1" applyFont="1" applyBorder="1">
      <alignment vertical="top"/>
    </xf>
    <xf numFmtId="164" fontId="17" fillId="0" borderId="37" xfId="0" applyNumberFormat="1" applyFont="1" applyBorder="1">
      <alignment vertical="top"/>
    </xf>
    <xf numFmtId="0" fontId="37" fillId="0" borderId="0" xfId="0" applyFont="1" applyFill="1" applyAlignment="1" applyProtection="1">
      <alignment horizontal="center" vertical="top" wrapText="1"/>
      <protection locked="0"/>
    </xf>
    <xf numFmtId="164" fontId="12" fillId="0" borderId="0" xfId="0" applyNumberFormat="1" applyFont="1" applyFill="1" applyProtection="1">
      <alignment vertical="top"/>
    </xf>
    <xf numFmtId="164" fontId="12" fillId="0" borderId="0" xfId="8" applyNumberFormat="1" applyFont="1" applyProtection="1"/>
    <xf numFmtId="1" fontId="0" fillId="0" borderId="0" xfId="0" applyNumberFormat="1">
      <alignment vertical="top"/>
    </xf>
    <xf numFmtId="0" fontId="9" fillId="0" borderId="5" xfId="8" applyFont="1" applyBorder="1" applyAlignment="1">
      <alignment horizontal="center"/>
    </xf>
    <xf numFmtId="0" fontId="0" fillId="0" borderId="0" xfId="0" applyAlignment="1">
      <alignment horizontal="center" vertical="top" wrapText="1"/>
    </xf>
    <xf numFmtId="3" fontId="0" fillId="0" borderId="0" xfId="0" applyNumberFormat="1" applyBorder="1" applyAlignment="1">
      <alignment horizontal="center" vertical="top"/>
    </xf>
    <xf numFmtId="3" fontId="48" fillId="0" borderId="52" xfId="0" applyNumberFormat="1" applyFont="1" applyBorder="1" applyAlignment="1">
      <alignment horizontal="center" vertical="top"/>
    </xf>
    <xf numFmtId="3" fontId="9" fillId="0" borderId="0" xfId="1" applyNumberFormat="1" applyFont="1" applyBorder="1"/>
    <xf numFmtId="0" fontId="50" fillId="0" borderId="0" xfId="0" applyFont="1" applyAlignment="1">
      <alignment horizontal="centerContinuous" vertical="top"/>
    </xf>
    <xf numFmtId="0" fontId="43" fillId="0" borderId="0" xfId="0" applyFont="1" applyAlignment="1">
      <alignment horizontal="centerContinuous" vertical="top"/>
    </xf>
    <xf numFmtId="0" fontId="44" fillId="0" borderId="0" xfId="0" applyFont="1" applyAlignment="1">
      <alignment horizontal="centerContinuous" vertical="top"/>
    </xf>
    <xf numFmtId="0" fontId="0" fillId="0" borderId="28" xfId="0" applyBorder="1">
      <alignment vertical="top"/>
    </xf>
    <xf numFmtId="0" fontId="0" fillId="0" borderId="21" xfId="0" applyBorder="1">
      <alignment vertical="top"/>
    </xf>
    <xf numFmtId="0" fontId="0" fillId="0" borderId="22" xfId="0" applyBorder="1">
      <alignment vertical="top"/>
    </xf>
    <xf numFmtId="0" fontId="37" fillId="0" borderId="0" xfId="0" applyFont="1">
      <alignment vertical="top"/>
    </xf>
    <xf numFmtId="0" fontId="51" fillId="0" borderId="0" xfId="0" applyFont="1">
      <alignment vertical="top"/>
    </xf>
    <xf numFmtId="0" fontId="49" fillId="0" borderId="27" xfId="0" applyFont="1" applyBorder="1">
      <alignment vertical="top"/>
    </xf>
    <xf numFmtId="0" fontId="14" fillId="6" borderId="6" xfId="0" applyFont="1" applyFill="1" applyBorder="1">
      <alignment vertical="top"/>
    </xf>
    <xf numFmtId="0" fontId="50" fillId="3" borderId="0" xfId="0" applyFont="1" applyFill="1" applyAlignment="1"/>
    <xf numFmtId="0" fontId="7" fillId="3" borderId="0" xfId="0" applyFont="1" applyFill="1">
      <alignment vertical="top"/>
    </xf>
    <xf numFmtId="0" fontId="16" fillId="3" borderId="15" xfId="0" applyFont="1" applyFill="1" applyBorder="1" applyAlignment="1">
      <alignment horizontal="left" vertical="top" wrapText="1"/>
    </xf>
    <xf numFmtId="0" fontId="16" fillId="3" borderId="17" xfId="0" applyFont="1" applyFill="1" applyBorder="1" applyAlignment="1">
      <alignment horizontal="center" vertical="top"/>
    </xf>
    <xf numFmtId="0" fontId="33" fillId="3" borderId="5" xfId="0" applyFont="1" applyFill="1" applyBorder="1" applyAlignment="1">
      <alignment horizontal="left" vertical="top" wrapText="1"/>
    </xf>
    <xf numFmtId="0" fontId="33" fillId="3" borderId="0" xfId="0" applyFont="1" applyFill="1" applyBorder="1" applyAlignment="1">
      <alignment horizontal="left" vertical="top" wrapText="1"/>
    </xf>
    <xf numFmtId="0" fontId="33" fillId="3" borderId="29" xfId="0" applyFont="1" applyFill="1" applyBorder="1" applyAlignment="1">
      <alignment horizontal="left" vertical="top" wrapText="1"/>
    </xf>
    <xf numFmtId="0" fontId="25" fillId="0" borderId="27" xfId="8" applyFont="1" applyBorder="1" applyAlignment="1">
      <alignment horizontal="left" vertical="center" wrapText="1"/>
    </xf>
    <xf numFmtId="38" fontId="17" fillId="0" borderId="7" xfId="8" applyNumberFormat="1" applyFont="1" applyBorder="1" applyProtection="1"/>
    <xf numFmtId="165" fontId="17" fillId="5" borderId="0" xfId="9" applyNumberFormat="1" applyFont="1" applyFill="1" applyBorder="1" applyAlignment="1">
      <alignment horizontal="center" vertical="top"/>
    </xf>
    <xf numFmtId="0" fontId="13" fillId="0" borderId="45" xfId="0" applyFont="1" applyBorder="1">
      <alignment vertical="top"/>
    </xf>
    <xf numFmtId="0" fontId="17" fillId="0" borderId="46" xfId="0" applyFont="1" applyBorder="1">
      <alignment vertical="top"/>
    </xf>
    <xf numFmtId="3" fontId="9" fillId="0" borderId="43" xfId="1" applyNumberFormat="1" applyFont="1" applyBorder="1"/>
    <xf numFmtId="0" fontId="9" fillId="0" borderId="22" xfId="8" applyFont="1" applyFill="1" applyBorder="1" applyAlignment="1">
      <alignment horizontal="center"/>
    </xf>
    <xf numFmtId="0" fontId="9" fillId="0" borderId="27" xfId="8" applyFont="1" applyFill="1" applyBorder="1" applyAlignment="1">
      <alignment horizontal="center"/>
    </xf>
    <xf numFmtId="3" fontId="9" fillId="0" borderId="27" xfId="1" applyNumberFormat="1" applyFont="1" applyBorder="1"/>
    <xf numFmtId="3" fontId="9" fillId="0" borderId="44" xfId="1" applyNumberFormat="1" applyFont="1" applyBorder="1"/>
    <xf numFmtId="0" fontId="21" fillId="3" borderId="20" xfId="0" applyFont="1" applyFill="1" applyBorder="1">
      <alignment vertical="top"/>
    </xf>
    <xf numFmtId="0" fontId="10" fillId="0" borderId="19" xfId="0" applyFont="1" applyBorder="1">
      <alignment vertical="top"/>
    </xf>
    <xf numFmtId="38" fontId="9" fillId="0" borderId="6" xfId="8" applyNumberFormat="1" applyFont="1" applyFill="1" applyBorder="1" applyAlignment="1" applyProtection="1"/>
    <xf numFmtId="1" fontId="0" fillId="0" borderId="0" xfId="0" applyNumberFormat="1" applyBorder="1">
      <alignment vertical="top"/>
    </xf>
    <xf numFmtId="0" fontId="9" fillId="0" borderId="43" xfId="8" applyFont="1" applyBorder="1" applyProtection="1"/>
    <xf numFmtId="0" fontId="10" fillId="0" borderId="43" xfId="8" applyFont="1" applyBorder="1" applyAlignment="1" applyProtection="1">
      <alignment horizontal="right"/>
    </xf>
    <xf numFmtId="0" fontId="14" fillId="0" borderId="5" xfId="8" applyFont="1" applyBorder="1" applyProtection="1"/>
    <xf numFmtId="0" fontId="10" fillId="0" borderId="0" xfId="8" applyFont="1" applyBorder="1" applyAlignment="1" applyProtection="1">
      <alignment horizontal="right"/>
    </xf>
    <xf numFmtId="38" fontId="21" fillId="0" borderId="7" xfId="8" applyNumberFormat="1" applyFont="1" applyFill="1" applyBorder="1" applyProtection="1"/>
    <xf numFmtId="3" fontId="12" fillId="0" borderId="0" xfId="0" applyNumberFormat="1" applyFont="1" applyFill="1" applyProtection="1">
      <alignment vertical="top"/>
    </xf>
    <xf numFmtId="1" fontId="21" fillId="0" borderId="0" xfId="0" applyNumberFormat="1" applyFont="1" applyBorder="1" applyAlignment="1">
      <alignment horizontal="right" vertical="top"/>
    </xf>
    <xf numFmtId="0" fontId="40" fillId="4" borderId="0" xfId="0" applyFont="1" applyFill="1" applyAlignment="1">
      <alignment horizontal="left" vertical="top"/>
    </xf>
    <xf numFmtId="2" fontId="14" fillId="0" borderId="0" xfId="0" applyNumberFormat="1" applyFont="1" applyBorder="1">
      <alignment vertical="top"/>
    </xf>
    <xf numFmtId="0" fontId="14" fillId="0" borderId="0" xfId="0" applyFont="1" applyFill="1" applyBorder="1">
      <alignment vertical="top"/>
    </xf>
    <xf numFmtId="0" fontId="14" fillId="0" borderId="0" xfId="0" applyFont="1" applyBorder="1">
      <alignment vertical="top"/>
    </xf>
    <xf numFmtId="164" fontId="14" fillId="0" borderId="0" xfId="0" applyNumberFormat="1" applyFont="1" applyBorder="1">
      <alignment vertical="top"/>
    </xf>
    <xf numFmtId="2" fontId="14" fillId="0" borderId="27" xfId="0" applyNumberFormat="1" applyFont="1" applyBorder="1">
      <alignment vertical="top"/>
    </xf>
    <xf numFmtId="0" fontId="14" fillId="0" borderId="27" xfId="0" applyFont="1" applyFill="1" applyBorder="1">
      <alignment vertical="top"/>
    </xf>
    <xf numFmtId="166" fontId="14" fillId="0" borderId="0" xfId="0" applyNumberFormat="1" applyFont="1" applyBorder="1">
      <alignment vertical="top"/>
    </xf>
    <xf numFmtId="164" fontId="7" fillId="0" borderId="0" xfId="0" applyNumberFormat="1" applyFont="1" applyBorder="1">
      <alignment vertical="top"/>
    </xf>
    <xf numFmtId="1" fontId="14" fillId="0" borderId="0" xfId="0" applyNumberFormat="1" applyFont="1" applyBorder="1">
      <alignment vertical="top"/>
    </xf>
    <xf numFmtId="1" fontId="14" fillId="0" borderId="27" xfId="0" applyNumberFormat="1" applyFont="1" applyBorder="1">
      <alignment vertical="top"/>
    </xf>
    <xf numFmtId="1" fontId="14" fillId="0" borderId="0" xfId="0" applyNumberFormat="1" applyFont="1" applyFill="1" applyBorder="1">
      <alignment vertical="top"/>
    </xf>
    <xf numFmtId="3" fontId="0" fillId="0" borderId="20" xfId="1" applyNumberFormat="1" applyFont="1" applyBorder="1" applyAlignment="1">
      <alignment horizontal="center" vertical="top"/>
    </xf>
    <xf numFmtId="0" fontId="0" fillId="0" borderId="0" xfId="0" applyAlignment="1">
      <alignment vertical="top"/>
    </xf>
    <xf numFmtId="0" fontId="21" fillId="0" borderId="0" xfId="0" applyFont="1" applyAlignment="1">
      <alignment vertical="top"/>
    </xf>
    <xf numFmtId="165" fontId="9" fillId="0" borderId="0" xfId="10" applyNumberFormat="1" applyBorder="1" applyAlignment="1"/>
    <xf numFmtId="0" fontId="9" fillId="0" borderId="0" xfId="8" applyAlignment="1"/>
    <xf numFmtId="0" fontId="17" fillId="0" borderId="0" xfId="0" applyFont="1" applyAlignment="1">
      <alignment vertical="top"/>
    </xf>
    <xf numFmtId="0" fontId="0" fillId="0" borderId="0" xfId="0" applyBorder="1" applyAlignment="1">
      <alignment vertical="top"/>
    </xf>
    <xf numFmtId="0" fontId="12" fillId="0" borderId="0" xfId="8" applyFont="1" applyAlignment="1" applyProtection="1"/>
    <xf numFmtId="0" fontId="12" fillId="0" borderId="8" xfId="8" applyFont="1" applyBorder="1" applyAlignment="1" applyProtection="1"/>
    <xf numFmtId="0" fontId="12" fillId="0" borderId="3" xfId="8" applyFont="1" applyBorder="1" applyAlignment="1" applyProtection="1"/>
    <xf numFmtId="0" fontId="12" fillId="0" borderId="0" xfId="8" applyFont="1" applyAlignment="1" applyProtection="1">
      <protection locked="0"/>
    </xf>
    <xf numFmtId="0" fontId="32" fillId="3" borderId="2" xfId="0" applyFont="1" applyFill="1" applyBorder="1" applyAlignment="1">
      <alignment vertical="top"/>
    </xf>
    <xf numFmtId="0" fontId="21" fillId="3" borderId="3" xfId="0" applyFont="1" applyFill="1" applyBorder="1" applyAlignment="1">
      <alignment vertical="top"/>
    </xf>
    <xf numFmtId="0" fontId="21" fillId="3" borderId="4" xfId="0" applyFont="1" applyFill="1" applyBorder="1" applyAlignment="1">
      <alignment vertical="top"/>
    </xf>
    <xf numFmtId="0" fontId="14" fillId="3" borderId="0" xfId="0" applyFont="1" applyFill="1" applyAlignment="1">
      <alignment vertical="top"/>
    </xf>
    <xf numFmtId="0" fontId="13" fillId="0" borderId="0" xfId="8" applyFont="1" applyProtection="1"/>
    <xf numFmtId="38" fontId="9" fillId="0" borderId="7" xfId="8" applyNumberFormat="1" applyFont="1" applyBorder="1" applyAlignment="1" applyProtection="1"/>
    <xf numFmtId="3" fontId="0" fillId="0" borderId="3" xfId="0" applyNumberFormat="1" applyBorder="1">
      <alignment vertical="top"/>
    </xf>
    <xf numFmtId="0" fontId="13" fillId="0" borderId="46" xfId="8" applyFont="1" applyBorder="1" applyProtection="1"/>
    <xf numFmtId="0" fontId="47" fillId="0" borderId="0" xfId="0" applyFont="1" applyFill="1">
      <alignment vertical="top"/>
    </xf>
    <xf numFmtId="3" fontId="21" fillId="0" borderId="6" xfId="1" applyNumberFormat="1" applyFont="1" applyBorder="1" applyAlignment="1">
      <alignment vertical="top"/>
    </xf>
    <xf numFmtId="3" fontId="21" fillId="0" borderId="7" xfId="1" applyNumberFormat="1" applyFont="1" applyBorder="1" applyAlignment="1">
      <alignment vertical="top"/>
    </xf>
    <xf numFmtId="1" fontId="25" fillId="0" borderId="0" xfId="0" applyNumberFormat="1" applyFont="1">
      <alignment vertical="top"/>
    </xf>
    <xf numFmtId="1" fontId="13" fillId="0" borderId="26" xfId="8" applyNumberFormat="1" applyFont="1" applyBorder="1" applyAlignment="1" applyProtection="1">
      <alignment horizontal="center"/>
    </xf>
    <xf numFmtId="1" fontId="13" fillId="0" borderId="0" xfId="8" applyNumberFormat="1" applyFont="1" applyBorder="1" applyAlignment="1" applyProtection="1">
      <alignment horizontal="center"/>
    </xf>
    <xf numFmtId="1" fontId="14" fillId="0" borderId="27" xfId="1" applyNumberFormat="1" applyFont="1" applyBorder="1" applyAlignment="1">
      <alignment vertical="top"/>
    </xf>
    <xf numFmtId="1" fontId="49" fillId="0" borderId="0" xfId="0" applyNumberFormat="1" applyFont="1" applyBorder="1">
      <alignment vertical="top"/>
    </xf>
    <xf numFmtId="1" fontId="7" fillId="0" borderId="0" xfId="8" applyNumberFormat="1" applyFont="1" applyBorder="1" applyAlignment="1" applyProtection="1">
      <alignment horizontal="center"/>
    </xf>
    <xf numFmtId="1" fontId="17" fillId="0" borderId="0" xfId="0" applyNumberFormat="1" applyFont="1">
      <alignment vertical="top"/>
    </xf>
    <xf numFmtId="1" fontId="13" fillId="0" borderId="26" xfId="8" applyNumberFormat="1" applyFont="1" applyBorder="1" applyAlignment="1" applyProtection="1">
      <alignment horizontal="center" vertical="center"/>
    </xf>
    <xf numFmtId="1" fontId="17" fillId="0" borderId="0" xfId="0" applyNumberFormat="1" applyFont="1" applyAlignment="1">
      <alignment vertical="top"/>
    </xf>
    <xf numFmtId="1" fontId="13" fillId="0" borderId="3" xfId="0" applyNumberFormat="1" applyFont="1" applyBorder="1" applyAlignment="1">
      <alignment horizontal="center" vertical="top"/>
    </xf>
    <xf numFmtId="1" fontId="13" fillId="0" borderId="36" xfId="0" applyNumberFormat="1" applyFont="1" applyBorder="1" applyAlignment="1">
      <alignment horizontal="left" vertical="top"/>
    </xf>
    <xf numFmtId="1" fontId="17" fillId="0" borderId="45" xfId="0" applyNumberFormat="1" applyFont="1" applyBorder="1">
      <alignment vertical="top"/>
    </xf>
    <xf numFmtId="1" fontId="13" fillId="0" borderId="36" xfId="0" applyNumberFormat="1" applyFont="1" applyBorder="1" applyAlignment="1">
      <alignment horizontal="right" vertical="top"/>
    </xf>
    <xf numFmtId="1" fontId="13" fillId="0" borderId="3" xfId="8" applyNumberFormat="1" applyFont="1" applyBorder="1" applyAlignment="1" applyProtection="1">
      <alignment horizontal="center" vertical="center"/>
    </xf>
    <xf numFmtId="1" fontId="13" fillId="0" borderId="4" xfId="8" applyNumberFormat="1" applyFont="1" applyBorder="1" applyAlignment="1" applyProtection="1">
      <alignment horizontal="center" vertical="center"/>
    </xf>
    <xf numFmtId="1" fontId="17" fillId="0" borderId="6" xfId="8" quotePrefix="1" applyNumberFormat="1" applyFont="1" applyBorder="1" applyAlignment="1" applyProtection="1"/>
    <xf numFmtId="1" fontId="17" fillId="0" borderId="7" xfId="8" quotePrefix="1" applyNumberFormat="1" applyFont="1" applyBorder="1" applyAlignment="1" applyProtection="1"/>
    <xf numFmtId="1" fontId="17" fillId="0" borderId="6" xfId="8" applyNumberFormat="1" applyFont="1" applyBorder="1" applyProtection="1"/>
    <xf numFmtId="1" fontId="17" fillId="0" borderId="7" xfId="8" applyNumberFormat="1" applyFont="1" applyBorder="1" applyProtection="1"/>
    <xf numFmtId="1" fontId="17" fillId="0" borderId="0" xfId="8" applyNumberFormat="1" applyFont="1" applyBorder="1" applyProtection="1"/>
    <xf numFmtId="1" fontId="17" fillId="0" borderId="29" xfId="8" applyNumberFormat="1" applyFont="1" applyBorder="1" applyProtection="1"/>
    <xf numFmtId="1" fontId="13" fillId="0" borderId="0" xfId="0" applyNumberFormat="1" applyFont="1" applyBorder="1" applyAlignment="1">
      <alignment horizontal="center" vertical="top"/>
    </xf>
    <xf numFmtId="1" fontId="17" fillId="0" borderId="36" xfId="0" applyNumberFormat="1" applyFont="1" applyBorder="1">
      <alignment vertical="top"/>
    </xf>
    <xf numFmtId="1" fontId="13" fillId="0" borderId="45" xfId="0" applyNumberFormat="1" applyFont="1" applyBorder="1" applyAlignment="1">
      <alignment horizontal="right" vertical="top"/>
    </xf>
    <xf numFmtId="1" fontId="17" fillId="0" borderId="29" xfId="0" applyNumberFormat="1" applyFont="1" applyBorder="1">
      <alignment vertical="top"/>
    </xf>
    <xf numFmtId="1" fontId="17" fillId="0" borderId="30" xfId="0" applyNumberFormat="1" applyFont="1" applyBorder="1">
      <alignment vertical="top"/>
    </xf>
    <xf numFmtId="1" fontId="17" fillId="0" borderId="31" xfId="0" applyNumberFormat="1" applyFont="1" applyBorder="1">
      <alignment vertical="top"/>
    </xf>
    <xf numFmtId="1" fontId="28" fillId="0" borderId="0" xfId="0" applyNumberFormat="1" applyFont="1">
      <alignment vertical="top"/>
    </xf>
    <xf numFmtId="1" fontId="17" fillId="0" borderId="0" xfId="1" applyNumberFormat="1" applyFont="1" applyAlignment="1">
      <alignment vertical="top"/>
    </xf>
    <xf numFmtId="1" fontId="13" fillId="0" borderId="26" xfId="1" applyNumberFormat="1" applyFont="1" applyBorder="1" applyAlignment="1" applyProtection="1">
      <alignment horizontal="center"/>
    </xf>
    <xf numFmtId="1" fontId="17" fillId="0" borderId="19" xfId="1" applyNumberFormat="1" applyFont="1" applyBorder="1" applyAlignment="1">
      <alignment vertical="top"/>
    </xf>
    <xf numFmtId="1" fontId="0" fillId="0" borderId="0" xfId="1" applyNumberFormat="1" applyFont="1" applyAlignment="1">
      <alignment vertical="top"/>
    </xf>
    <xf numFmtId="1" fontId="21" fillId="0" borderId="0" xfId="0" applyNumberFormat="1" applyFont="1" applyAlignment="1">
      <alignment vertical="top"/>
    </xf>
    <xf numFmtId="1" fontId="21" fillId="0" borderId="3" xfId="0" applyNumberFormat="1" applyFont="1" applyBorder="1">
      <alignment vertical="top"/>
    </xf>
    <xf numFmtId="1" fontId="21" fillId="0" borderId="4" xfId="0" applyNumberFormat="1" applyFont="1" applyBorder="1">
      <alignment vertical="top"/>
    </xf>
    <xf numFmtId="1" fontId="21" fillId="0" borderId="29" xfId="0" applyNumberFormat="1" applyFont="1" applyBorder="1">
      <alignment vertical="top"/>
    </xf>
    <xf numFmtId="1" fontId="21" fillId="0" borderId="27" xfId="0" applyNumberFormat="1" applyFont="1" applyBorder="1">
      <alignment vertical="top"/>
    </xf>
    <xf numFmtId="1" fontId="21" fillId="0" borderId="53" xfId="0" applyNumberFormat="1" applyFont="1" applyBorder="1">
      <alignment vertical="top"/>
    </xf>
    <xf numFmtId="1" fontId="10" fillId="0" borderId="32" xfId="8" applyNumberFormat="1" applyFont="1" applyBorder="1" applyAlignment="1">
      <alignment horizontal="center"/>
    </xf>
    <xf numFmtId="1" fontId="10" fillId="0" borderId="54" xfId="8" applyNumberFormat="1" applyFont="1" applyBorder="1" applyAlignment="1">
      <alignment horizontal="center"/>
    </xf>
    <xf numFmtId="1" fontId="10" fillId="0" borderId="0" xfId="8" applyNumberFormat="1" applyFont="1" applyBorder="1" applyAlignment="1">
      <alignment horizontal="center"/>
    </xf>
    <xf numFmtId="1" fontId="10" fillId="0" borderId="29" xfId="8" applyNumberFormat="1" applyFont="1" applyBorder="1" applyAlignment="1">
      <alignment horizontal="center"/>
    </xf>
    <xf numFmtId="1" fontId="10" fillId="0" borderId="19" xfId="0" applyNumberFormat="1" applyFont="1" applyBorder="1">
      <alignment vertical="top"/>
    </xf>
    <xf numFmtId="1" fontId="10" fillId="0" borderId="55" xfId="0" applyNumberFormat="1" applyFont="1" applyBorder="1">
      <alignment vertical="top"/>
    </xf>
    <xf numFmtId="1" fontId="10" fillId="0" borderId="54" xfId="0" applyNumberFormat="1" applyFont="1" applyBorder="1">
      <alignment vertical="top"/>
    </xf>
    <xf numFmtId="1" fontId="21" fillId="0" borderId="8" xfId="0" applyNumberFormat="1" applyFont="1" applyBorder="1">
      <alignment vertical="top"/>
    </xf>
    <xf numFmtId="1" fontId="21" fillId="0" borderId="37" xfId="0" applyNumberFormat="1" applyFont="1" applyBorder="1">
      <alignment vertical="top"/>
    </xf>
    <xf numFmtId="1" fontId="10" fillId="0" borderId="39" xfId="8" applyNumberFormat="1" applyFont="1" applyBorder="1" applyAlignment="1">
      <alignment horizontal="center"/>
    </xf>
    <xf numFmtId="1" fontId="10" fillId="0" borderId="40" xfId="8" applyNumberFormat="1" applyFont="1" applyBorder="1" applyAlignment="1">
      <alignment horizontal="center"/>
    </xf>
    <xf numFmtId="1" fontId="10" fillId="0" borderId="0" xfId="0" applyNumberFormat="1" applyFont="1" applyBorder="1">
      <alignment vertical="top"/>
    </xf>
    <xf numFmtId="1" fontId="10" fillId="0" borderId="29" xfId="0" applyNumberFormat="1" applyFont="1" applyBorder="1">
      <alignment vertical="top"/>
    </xf>
    <xf numFmtId="1" fontId="21" fillId="0" borderId="0" xfId="1" applyNumberFormat="1" applyFont="1" applyBorder="1" applyAlignment="1">
      <alignment horizontal="right" vertical="top"/>
    </xf>
    <xf numFmtId="1" fontId="21" fillId="0" borderId="29" xfId="1" applyNumberFormat="1" applyFont="1" applyBorder="1" applyAlignment="1">
      <alignment horizontal="right" vertical="top"/>
    </xf>
    <xf numFmtId="1" fontId="10" fillId="0" borderId="32" xfId="1" applyNumberFormat="1" applyFont="1" applyBorder="1" applyAlignment="1">
      <alignment horizontal="right" vertical="top"/>
    </xf>
    <xf numFmtId="1" fontId="10" fillId="0" borderId="54" xfId="1" applyNumberFormat="1" applyFont="1" applyBorder="1" applyAlignment="1">
      <alignment horizontal="right" vertical="top"/>
    </xf>
    <xf numFmtId="1" fontId="0" fillId="0" borderId="37" xfId="0" applyNumberFormat="1" applyBorder="1">
      <alignment vertical="top"/>
    </xf>
    <xf numFmtId="1" fontId="21" fillId="0" borderId="45" xfId="0" applyNumberFormat="1" applyFont="1" applyBorder="1">
      <alignment vertical="top"/>
    </xf>
    <xf numFmtId="1" fontId="21" fillId="0" borderId="46" xfId="0" applyNumberFormat="1" applyFont="1" applyBorder="1">
      <alignment vertical="top"/>
    </xf>
    <xf numFmtId="1" fontId="21" fillId="0" borderId="0" xfId="1" applyNumberFormat="1" applyFont="1" applyBorder="1" applyAlignment="1">
      <alignment vertical="top"/>
    </xf>
    <xf numFmtId="1" fontId="21" fillId="0" borderId="29" xfId="1" applyNumberFormat="1" applyFont="1" applyBorder="1" applyAlignment="1">
      <alignment vertical="top"/>
    </xf>
    <xf numFmtId="0" fontId="14" fillId="3" borderId="0" xfId="0" applyFont="1" applyFill="1" applyAlignment="1">
      <alignment horizontal="left" vertical="top"/>
    </xf>
    <xf numFmtId="3" fontId="0" fillId="0" borderId="0" xfId="1" applyNumberFormat="1" applyFont="1" applyBorder="1" applyAlignment="1">
      <alignment horizontal="center" vertical="top"/>
    </xf>
    <xf numFmtId="166" fontId="14" fillId="0" borderId="0" xfId="0" applyNumberFormat="1" applyFont="1">
      <alignment vertical="top"/>
    </xf>
    <xf numFmtId="3" fontId="9" fillId="0" borderId="6" xfId="0" applyNumberFormat="1" applyFont="1" applyBorder="1" applyAlignment="1" applyProtection="1">
      <alignment horizontal="right" vertical="top"/>
    </xf>
    <xf numFmtId="38" fontId="9" fillId="0" borderId="6" xfId="8" quotePrefix="1" applyNumberFormat="1" applyFont="1" applyBorder="1" applyAlignment="1" applyProtection="1">
      <alignment horizontal="right"/>
    </xf>
    <xf numFmtId="0" fontId="6" fillId="0" borderId="0" xfId="0" applyFont="1" applyFill="1" applyBorder="1">
      <alignment vertical="top"/>
    </xf>
    <xf numFmtId="3" fontId="6" fillId="0" borderId="0" xfId="1" applyNumberFormat="1" applyFont="1" applyBorder="1" applyAlignment="1">
      <alignment vertical="top"/>
    </xf>
    <xf numFmtId="3" fontId="14" fillId="0" borderId="0" xfId="1" applyNumberFormat="1" applyFont="1" applyBorder="1" applyAlignment="1">
      <alignment vertical="top"/>
    </xf>
    <xf numFmtId="3" fontId="6" fillId="0" borderId="0" xfId="1" applyNumberFormat="1" applyFont="1" applyFill="1" applyBorder="1" applyAlignment="1">
      <alignment vertical="top"/>
    </xf>
    <xf numFmtId="3" fontId="6" fillId="0" borderId="27" xfId="1" applyNumberFormat="1" applyFont="1" applyFill="1" applyBorder="1" applyAlignment="1">
      <alignment vertical="top"/>
    </xf>
    <xf numFmtId="3" fontId="14" fillId="0" borderId="27" xfId="1" applyNumberFormat="1" applyFont="1" applyBorder="1" applyAlignment="1">
      <alignment vertical="top"/>
    </xf>
    <xf numFmtId="3" fontId="14" fillId="0" borderId="0" xfId="1" applyNumberFormat="1" applyFont="1" applyFill="1" applyBorder="1" applyAlignment="1">
      <alignment vertical="top"/>
    </xf>
    <xf numFmtId="3" fontId="14" fillId="0" borderId="27" xfId="1" applyNumberFormat="1" applyFont="1" applyFill="1" applyBorder="1" applyAlignment="1">
      <alignment vertical="top"/>
    </xf>
    <xf numFmtId="0" fontId="9" fillId="0" borderId="0" xfId="8" applyFont="1" applyBorder="1" applyAlignment="1" applyProtection="1">
      <alignment horizontal="left"/>
    </xf>
    <xf numFmtId="0" fontId="56" fillId="0" borderId="0" xfId="0" applyFont="1" applyFill="1" applyProtection="1">
      <alignment vertical="top"/>
    </xf>
    <xf numFmtId="164" fontId="57" fillId="0" borderId="0" xfId="0" applyNumberFormat="1" applyFont="1" applyBorder="1">
      <alignment vertical="top"/>
    </xf>
    <xf numFmtId="0" fontId="0" fillId="0" borderId="0" xfId="0">
      <alignment vertical="top"/>
    </xf>
    <xf numFmtId="0" fontId="6" fillId="0" borderId="0" xfId="0" applyFont="1" applyFill="1" applyProtection="1">
      <alignment vertical="top"/>
    </xf>
    <xf numFmtId="0" fontId="6" fillId="0" borderId="0" xfId="8" applyFont="1" applyProtection="1"/>
    <xf numFmtId="0" fontId="9" fillId="0" borderId="5" xfId="8" applyFont="1" applyBorder="1" applyProtection="1"/>
    <xf numFmtId="0" fontId="17" fillId="0" borderId="0" xfId="0" applyFont="1">
      <alignment vertical="top"/>
    </xf>
    <xf numFmtId="2" fontId="17" fillId="0" borderId="0" xfId="0" applyNumberFormat="1" applyFont="1">
      <alignment vertical="top"/>
    </xf>
    <xf numFmtId="2" fontId="10" fillId="0" borderId="0" xfId="8" applyNumberFormat="1" applyFont="1" applyBorder="1" applyAlignment="1" applyProtection="1">
      <alignment horizontal="left"/>
    </xf>
    <xf numFmtId="0" fontId="10" fillId="0" borderId="0" xfId="8" applyFont="1" applyBorder="1" applyAlignment="1" applyProtection="1">
      <alignment horizontal="left"/>
    </xf>
    <xf numFmtId="0" fontId="9" fillId="0" borderId="0" xfId="0" applyFont="1" applyBorder="1">
      <alignment vertical="top"/>
    </xf>
    <xf numFmtId="0" fontId="6" fillId="0" borderId="0" xfId="0" applyFont="1" applyBorder="1">
      <alignment vertical="top"/>
    </xf>
    <xf numFmtId="2" fontId="6" fillId="0" borderId="27" xfId="0" applyNumberFormat="1" applyFont="1" applyBorder="1">
      <alignment vertical="top"/>
    </xf>
    <xf numFmtId="0" fontId="6" fillId="0" borderId="27" xfId="0" applyFont="1" applyFill="1" applyBorder="1">
      <alignment vertical="top"/>
    </xf>
    <xf numFmtId="0" fontId="6" fillId="0" borderId="5" xfId="0" applyFont="1" applyBorder="1">
      <alignment vertical="top"/>
    </xf>
    <xf numFmtId="0" fontId="6" fillId="0" borderId="0" xfId="0" applyFont="1" applyBorder="1" applyAlignment="1">
      <alignment horizontal="right" vertical="top"/>
    </xf>
    <xf numFmtId="0" fontId="56" fillId="0" borderId="0" xfId="0" applyFont="1" applyFill="1" applyProtection="1">
      <alignment vertical="top"/>
    </xf>
    <xf numFmtId="0" fontId="10" fillId="0" borderId="0" xfId="8" applyFont="1" applyFill="1" applyBorder="1" applyAlignment="1">
      <alignment horizontal="center"/>
    </xf>
    <xf numFmtId="3" fontId="9" fillId="42" borderId="6" xfId="0" applyNumberFormat="1" applyFont="1" applyFill="1" applyBorder="1" applyProtection="1">
      <alignment vertical="top"/>
    </xf>
    <xf numFmtId="38" fontId="9" fillId="42" borderId="6" xfId="8" quotePrefix="1" applyNumberFormat="1" applyFont="1" applyFill="1" applyBorder="1" applyAlignment="1" applyProtection="1"/>
    <xf numFmtId="38" fontId="9" fillId="42" borderId="6" xfId="8" applyNumberFormat="1" applyFont="1" applyFill="1" applyBorder="1" applyProtection="1"/>
    <xf numFmtId="38" fontId="10" fillId="42" borderId="10" xfId="8" applyNumberFormat="1" applyFont="1" applyFill="1" applyBorder="1" applyProtection="1"/>
    <xf numFmtId="38" fontId="45" fillId="42" borderId="6" xfId="8" quotePrefix="1" applyNumberFormat="1" applyFont="1" applyFill="1" applyBorder="1" applyAlignment="1" applyProtection="1">
      <alignment horizontal="center"/>
    </xf>
    <xf numFmtId="38" fontId="9" fillId="42" borderId="10" xfId="8" quotePrefix="1" applyNumberFormat="1" applyFont="1" applyFill="1" applyBorder="1" applyAlignment="1" applyProtection="1"/>
    <xf numFmtId="38" fontId="10" fillId="42" borderId="12" xfId="8" applyNumberFormat="1" applyFont="1" applyFill="1" applyBorder="1" applyProtection="1"/>
    <xf numFmtId="38" fontId="10" fillId="42" borderId="41" xfId="8" applyNumberFormat="1" applyFont="1" applyFill="1" applyBorder="1" applyProtection="1"/>
    <xf numFmtId="38" fontId="9" fillId="42" borderId="7" xfId="8" quotePrefix="1" applyNumberFormat="1" applyFont="1" applyFill="1" applyBorder="1" applyAlignment="1" applyProtection="1"/>
    <xf numFmtId="38" fontId="9" fillId="42" borderId="7" xfId="8" applyNumberFormat="1" applyFont="1" applyFill="1" applyBorder="1" applyProtection="1"/>
    <xf numFmtId="38" fontId="10" fillId="42" borderId="11" xfId="8" applyNumberFormat="1" applyFont="1" applyFill="1" applyBorder="1" applyProtection="1"/>
    <xf numFmtId="38" fontId="45" fillId="42" borderId="7" xfId="8" quotePrefix="1" applyNumberFormat="1" applyFont="1" applyFill="1" applyBorder="1" applyAlignment="1" applyProtection="1">
      <alignment horizontal="center"/>
    </xf>
    <xf numFmtId="38" fontId="9" fillId="42" borderId="11" xfId="8" quotePrefix="1" applyNumberFormat="1" applyFont="1" applyFill="1" applyBorder="1" applyAlignment="1" applyProtection="1"/>
    <xf numFmtId="38" fontId="10" fillId="42" borderId="13" xfId="8" applyNumberFormat="1" applyFont="1" applyFill="1" applyBorder="1" applyProtection="1"/>
    <xf numFmtId="38" fontId="10" fillId="42" borderId="42" xfId="8" applyNumberFormat="1" applyFont="1" applyFill="1" applyBorder="1" applyProtection="1"/>
    <xf numFmtId="0" fontId="0" fillId="42" borderId="0" xfId="0" applyFill="1">
      <alignment vertical="top"/>
    </xf>
    <xf numFmtId="1" fontId="6" fillId="0" borderId="27" xfId="0" applyNumberFormat="1" applyFont="1" applyBorder="1" applyAlignment="1"/>
    <xf numFmtId="0" fontId="6" fillId="0" borderId="27" xfId="0" applyFont="1" applyFill="1" applyBorder="1" applyAlignment="1"/>
    <xf numFmtId="2" fontId="6" fillId="0" borderId="27" xfId="0" applyNumberFormat="1" applyFont="1" applyFill="1" applyBorder="1" applyAlignment="1"/>
    <xf numFmtId="1" fontId="6" fillId="0" borderId="0" xfId="0" applyNumberFormat="1" applyFont="1" applyFill="1" applyBorder="1" applyAlignment="1"/>
    <xf numFmtId="0" fontId="6" fillId="0" borderId="0" xfId="0" applyFont="1" applyFill="1" applyBorder="1" applyAlignment="1"/>
    <xf numFmtId="2" fontId="6" fillId="0" borderId="0" xfId="0" applyNumberFormat="1" applyFont="1" applyFill="1" applyBorder="1" applyAlignment="1"/>
    <xf numFmtId="1" fontId="6" fillId="0" borderId="27" xfId="410" applyNumberFormat="1" applyFont="1" applyBorder="1" applyAlignment="1">
      <alignment vertical="top"/>
    </xf>
    <xf numFmtId="1" fontId="6" fillId="0" borderId="0" xfId="410" applyNumberFormat="1" applyFont="1" applyFill="1" applyBorder="1" applyAlignment="1">
      <alignment vertical="top"/>
    </xf>
    <xf numFmtId="3" fontId="9" fillId="42" borderId="7" xfId="0" applyNumberFormat="1" applyFont="1" applyFill="1" applyBorder="1" applyProtection="1">
      <alignment vertical="top"/>
    </xf>
    <xf numFmtId="0" fontId="6" fillId="0" borderId="27" xfId="0" applyFont="1" applyBorder="1">
      <alignment vertical="top"/>
    </xf>
    <xf numFmtId="3" fontId="6" fillId="0" borderId="0" xfId="0" applyNumberFormat="1" applyFont="1" applyFill="1" applyBorder="1" applyAlignment="1" applyProtection="1">
      <alignment vertical="top"/>
    </xf>
    <xf numFmtId="1" fontId="6" fillId="0" borderId="27" xfId="0" applyNumberFormat="1" applyFont="1" applyBorder="1">
      <alignment vertical="top"/>
    </xf>
    <xf numFmtId="2" fontId="17" fillId="0" borderId="0" xfId="0" applyNumberFormat="1" applyFont="1" applyBorder="1">
      <alignment vertical="top"/>
    </xf>
    <xf numFmtId="0" fontId="6" fillId="0" borderId="0" xfId="0" applyNumberFormat="1" applyFont="1" applyFill="1" applyBorder="1" applyAlignment="1" applyProtection="1">
      <alignment vertical="top"/>
    </xf>
    <xf numFmtId="3" fontId="6" fillId="0" borderId="0" xfId="1722" applyNumberFormat="1">
      <alignment vertical="top"/>
    </xf>
    <xf numFmtId="3" fontId="17" fillId="0" borderId="0" xfId="1" applyNumberFormat="1" applyFont="1" applyAlignment="1">
      <alignment horizontal="center" vertical="top"/>
    </xf>
    <xf numFmtId="3" fontId="9" fillId="0" borderId="0" xfId="1" applyNumberFormat="1" applyFont="1" applyAlignment="1">
      <alignment vertical="top"/>
    </xf>
    <xf numFmtId="3" fontId="17" fillId="0" borderId="0" xfId="1" applyNumberFormat="1" applyFont="1" applyFill="1" applyAlignment="1">
      <alignment vertical="top"/>
    </xf>
    <xf numFmtId="1" fontId="17" fillId="0" borderId="0" xfId="1" applyNumberFormat="1" applyFont="1" applyAlignment="1">
      <alignment vertical="top"/>
    </xf>
    <xf numFmtId="2" fontId="9" fillId="0" borderId="0" xfId="0" applyNumberFormat="1" applyFont="1">
      <alignment vertical="top"/>
    </xf>
    <xf numFmtId="0" fontId="0" fillId="0" borderId="0" xfId="0" applyFill="1">
      <alignment vertical="top"/>
    </xf>
    <xf numFmtId="1" fontId="6" fillId="0" borderId="27" xfId="0" applyNumberFormat="1" applyFont="1" applyFill="1" applyBorder="1" applyAlignment="1" applyProtection="1">
      <alignment vertical="top"/>
    </xf>
    <xf numFmtId="1" fontId="6" fillId="0" borderId="0" xfId="0" applyNumberFormat="1" applyFont="1" applyFill="1" applyBorder="1" applyAlignment="1" applyProtection="1">
      <alignment vertical="top"/>
    </xf>
    <xf numFmtId="0" fontId="57" fillId="0" borderId="0" xfId="0" applyFont="1" applyFill="1" applyProtection="1">
      <alignment vertical="top"/>
    </xf>
    <xf numFmtId="3" fontId="6" fillId="0" borderId="0" xfId="1" applyNumberFormat="1" applyFont="1" applyBorder="1" applyProtection="1">
      <protection locked="0"/>
    </xf>
    <xf numFmtId="3" fontId="6" fillId="0" borderId="29" xfId="1" applyNumberFormat="1" applyFont="1" applyBorder="1" applyProtection="1">
      <protection locked="0"/>
    </xf>
    <xf numFmtId="3" fontId="6" fillId="0" borderId="50" xfId="8" applyNumberFormat="1" applyFont="1" applyBorder="1" applyAlignment="1" applyProtection="1">
      <alignment horizontal="center"/>
      <protection locked="0"/>
    </xf>
    <xf numFmtId="168" fontId="28" fillId="0" borderId="0" xfId="0" applyNumberFormat="1" applyFont="1" applyFill="1" applyBorder="1" applyAlignment="1" applyProtection="1"/>
    <xf numFmtId="0" fontId="9" fillId="0" borderId="0" xfId="0" applyNumberFormat="1" applyFont="1" applyFill="1" applyBorder="1" applyAlignment="1" applyProtection="1">
      <alignment vertical="top"/>
    </xf>
    <xf numFmtId="3" fontId="9" fillId="0" borderId="69" xfId="0" applyNumberFormat="1" applyFont="1" applyFill="1" applyBorder="1" applyAlignment="1" applyProtection="1">
      <alignment vertical="top"/>
    </xf>
    <xf numFmtId="164" fontId="9" fillId="0" borderId="0" xfId="0" applyNumberFormat="1" applyFont="1" applyFill="1" applyBorder="1" applyAlignment="1" applyProtection="1">
      <alignment vertical="top"/>
    </xf>
    <xf numFmtId="2" fontId="72" fillId="0" borderId="0" xfId="0" applyNumberFormat="1" applyFont="1" applyFill="1" applyBorder="1" applyAlignment="1" applyProtection="1"/>
    <xf numFmtId="3" fontId="9" fillId="0" borderId="71" xfId="0" applyNumberFormat="1" applyFont="1" applyFill="1" applyBorder="1" applyAlignment="1" applyProtection="1">
      <alignment vertical="top"/>
    </xf>
    <xf numFmtId="0" fontId="9" fillId="0" borderId="70" xfId="0" applyNumberFormat="1" applyFont="1" applyFill="1" applyBorder="1" applyAlignment="1" applyProtection="1">
      <alignment vertical="top"/>
    </xf>
    <xf numFmtId="0" fontId="9" fillId="0" borderId="69" xfId="0" applyNumberFormat="1" applyFont="1" applyFill="1" applyBorder="1" applyAlignment="1" applyProtection="1">
      <alignment vertical="top"/>
    </xf>
    <xf numFmtId="0" fontId="9" fillId="0" borderId="68" xfId="0" applyNumberFormat="1" applyFont="1" applyFill="1" applyBorder="1" applyAlignment="1" applyProtection="1">
      <alignment vertical="top"/>
    </xf>
    <xf numFmtId="1" fontId="9" fillId="0" borderId="0" xfId="0" applyNumberFormat="1" applyFont="1" applyFill="1" applyBorder="1" applyAlignment="1" applyProtection="1">
      <alignment vertical="top"/>
    </xf>
    <xf numFmtId="164" fontId="9" fillId="0" borderId="0" xfId="0" applyNumberFormat="1" applyFont="1" applyFill="1" applyBorder="1" applyAlignment="1" applyProtection="1">
      <alignment horizontal="left" vertical="top"/>
    </xf>
    <xf numFmtId="0" fontId="9" fillId="0" borderId="67" xfId="0" applyNumberFormat="1" applyFont="1" applyFill="1" applyBorder="1" applyAlignment="1" applyProtection="1">
      <alignment vertical="top"/>
    </xf>
    <xf numFmtId="0" fontId="10" fillId="0" borderId="67" xfId="0" applyNumberFormat="1" applyFont="1" applyFill="1" applyBorder="1" applyAlignment="1" applyProtection="1">
      <alignment horizontal="center"/>
    </xf>
    <xf numFmtId="0" fontId="10" fillId="0" borderId="67" xfId="0" applyNumberFormat="1" applyFont="1" applyFill="1" applyBorder="1" applyAlignment="1" applyProtection="1">
      <alignment horizontal="center" vertical="top"/>
    </xf>
    <xf numFmtId="164" fontId="10" fillId="0" borderId="67" xfId="0" applyNumberFormat="1" applyFont="1" applyFill="1" applyBorder="1" applyAlignment="1" applyProtection="1">
      <alignment horizontal="center" vertical="top"/>
    </xf>
    <xf numFmtId="2" fontId="9" fillId="0" borderId="0" xfId="0" applyNumberFormat="1" applyFont="1" applyFill="1" applyBorder="1" applyAlignment="1" applyProtection="1">
      <alignment vertical="top"/>
    </xf>
    <xf numFmtId="0" fontId="10" fillId="0" borderId="0" xfId="0" applyNumberFormat="1" applyFont="1" applyFill="1" applyBorder="1" applyAlignment="1" applyProtection="1">
      <alignment vertical="top"/>
    </xf>
    <xf numFmtId="0" fontId="9" fillId="0" borderId="0" xfId="0" applyNumberFormat="1" applyFont="1" applyFill="1" applyBorder="1" applyAlignment="1" applyProtection="1">
      <alignment horizontal="left" vertical="top"/>
    </xf>
    <xf numFmtId="0" fontId="6" fillId="0" borderId="0" xfId="0" applyFont="1">
      <alignment vertical="top"/>
    </xf>
    <xf numFmtId="0" fontId="7" fillId="0" borderId="0" xfId="0" applyFont="1" applyFill="1" applyBorder="1" applyAlignment="1">
      <alignment horizontal="center" vertical="top"/>
    </xf>
    <xf numFmtId="0" fontId="0" fillId="0" borderId="0" xfId="0" applyAlignment="1">
      <alignment horizontal="center" vertical="top"/>
    </xf>
    <xf numFmtId="1" fontId="6" fillId="0" borderId="0" xfId="0" applyNumberFormat="1" applyFont="1" applyBorder="1">
      <alignment vertical="top"/>
    </xf>
    <xf numFmtId="3" fontId="14" fillId="0" borderId="0" xfId="0" applyNumberFormat="1" applyFont="1" applyBorder="1">
      <alignment vertical="top"/>
    </xf>
    <xf numFmtId="0" fontId="0" fillId="0" borderId="68" xfId="0" applyBorder="1">
      <alignment vertical="top"/>
    </xf>
    <xf numFmtId="0" fontId="0" fillId="0" borderId="75" xfId="0" applyBorder="1">
      <alignment vertical="top"/>
    </xf>
    <xf numFmtId="0" fontId="0" fillId="0" borderId="69" xfId="0" applyBorder="1">
      <alignment vertical="top"/>
    </xf>
    <xf numFmtId="1" fontId="0" fillId="0" borderId="74" xfId="0" applyNumberFormat="1" applyFill="1" applyBorder="1">
      <alignment vertical="top"/>
    </xf>
    <xf numFmtId="0" fontId="81" fillId="0" borderId="0" xfId="0" applyFont="1" applyBorder="1">
      <alignment vertical="top"/>
    </xf>
    <xf numFmtId="0" fontId="0" fillId="0" borderId="43" xfId="0" applyBorder="1">
      <alignment vertical="top"/>
    </xf>
    <xf numFmtId="3" fontId="0" fillId="0" borderId="74" xfId="0" applyNumberFormat="1" applyBorder="1">
      <alignment vertical="top"/>
    </xf>
    <xf numFmtId="38" fontId="0" fillId="0" borderId="74" xfId="0" applyNumberFormat="1" applyBorder="1">
      <alignment vertical="top"/>
    </xf>
    <xf numFmtId="3" fontId="0" fillId="0" borderId="74" xfId="1" applyNumberFormat="1" applyFont="1" applyBorder="1" applyAlignment="1">
      <alignment vertical="top"/>
    </xf>
    <xf numFmtId="0" fontId="20" fillId="0" borderId="0" xfId="0" applyFont="1" applyBorder="1">
      <alignment vertical="top"/>
    </xf>
    <xf numFmtId="0" fontId="7" fillId="0" borderId="0" xfId="0" quotePrefix="1" applyFont="1" applyBorder="1">
      <alignment vertical="top"/>
    </xf>
    <xf numFmtId="166" fontId="0" fillId="0" borderId="21" xfId="1" applyNumberFormat="1" applyFont="1" applyBorder="1" applyAlignment="1">
      <alignment vertical="top"/>
    </xf>
    <xf numFmtId="166" fontId="0" fillId="0" borderId="0" xfId="1" applyNumberFormat="1" applyFont="1" applyBorder="1" applyAlignment="1">
      <alignment vertical="top"/>
    </xf>
    <xf numFmtId="0" fontId="49" fillId="0" borderId="21" xfId="0" applyFont="1" applyBorder="1">
      <alignment vertical="top"/>
    </xf>
    <xf numFmtId="0" fontId="49" fillId="0" borderId="0" xfId="0" applyFont="1" applyBorder="1">
      <alignment vertical="top"/>
    </xf>
    <xf numFmtId="0" fontId="48" fillId="0" borderId="21" xfId="0" applyFont="1" applyBorder="1">
      <alignment vertical="top"/>
    </xf>
    <xf numFmtId="0" fontId="48" fillId="0" borderId="0" xfId="0" applyFont="1" applyBorder="1">
      <alignment vertical="top"/>
    </xf>
    <xf numFmtId="3" fontId="0" fillId="0" borderId="21" xfId="1" applyNumberFormat="1" applyFont="1" applyBorder="1" applyAlignment="1">
      <alignment vertical="top"/>
    </xf>
    <xf numFmtId="3" fontId="0" fillId="0" borderId="0" xfId="1" applyNumberFormat="1" applyFont="1" applyBorder="1" applyAlignment="1">
      <alignment vertical="top"/>
    </xf>
    <xf numFmtId="0" fontId="0" fillId="0" borderId="70" xfId="0" applyBorder="1" applyAlignment="1">
      <alignment vertical="top"/>
    </xf>
    <xf numFmtId="0" fontId="0" fillId="0" borderId="71" xfId="0" applyBorder="1">
      <alignment vertical="top"/>
    </xf>
    <xf numFmtId="0" fontId="10" fillId="0" borderId="76" xfId="8" applyFont="1" applyBorder="1" applyAlignment="1" applyProtection="1">
      <alignment horizontal="center"/>
    </xf>
    <xf numFmtId="0" fontId="10" fillId="0" borderId="77" xfId="8" applyFont="1" applyBorder="1" applyAlignment="1" applyProtection="1">
      <alignment horizontal="center"/>
    </xf>
    <xf numFmtId="3" fontId="0" fillId="0" borderId="74" xfId="0" applyNumberFormat="1" applyBorder="1" applyAlignment="1">
      <alignment horizontal="center" vertical="top"/>
    </xf>
    <xf numFmtId="0" fontId="0" fillId="0" borderId="0" xfId="0" applyBorder="1" applyAlignment="1">
      <alignment horizontal="left" vertical="top"/>
    </xf>
    <xf numFmtId="3" fontId="0" fillId="0" borderId="21" xfId="0" applyNumberFormat="1" applyBorder="1" applyAlignment="1">
      <alignment horizontal="center" vertical="top"/>
    </xf>
    <xf numFmtId="3" fontId="0" fillId="0" borderId="74" xfId="1" applyNumberFormat="1" applyFont="1" applyBorder="1" applyAlignment="1">
      <alignment horizontal="center" vertical="top"/>
    </xf>
    <xf numFmtId="3" fontId="0" fillId="0" borderId="21" xfId="1" applyNumberFormat="1" applyFont="1" applyBorder="1" applyAlignment="1">
      <alignment horizontal="center" vertical="top"/>
    </xf>
    <xf numFmtId="0" fontId="0" fillId="0" borderId="21" xfId="0" quotePrefix="1" applyBorder="1" applyAlignment="1">
      <alignment horizontal="center" vertical="top"/>
    </xf>
    <xf numFmtId="0" fontId="0" fillId="0" borderId="0" xfId="0" quotePrefix="1" applyBorder="1" applyAlignment="1">
      <alignment horizontal="center" vertical="top"/>
    </xf>
    <xf numFmtId="3" fontId="0" fillId="0" borderId="78" xfId="0" applyNumberFormat="1" applyBorder="1" applyAlignment="1">
      <alignment horizontal="center" vertical="top"/>
    </xf>
    <xf numFmtId="3" fontId="0" fillId="0" borderId="21" xfId="0" applyNumberFormat="1" applyBorder="1" applyAlignment="1">
      <alignment horizontal="right" vertical="top"/>
    </xf>
    <xf numFmtId="3" fontId="0" fillId="0" borderId="0" xfId="0" applyNumberFormat="1" applyBorder="1" applyAlignment="1">
      <alignment horizontal="right" vertical="top"/>
    </xf>
    <xf numFmtId="3" fontId="0" fillId="0" borderId="78" xfId="1" applyNumberFormat="1" applyFont="1" applyBorder="1" applyAlignment="1">
      <alignment horizontal="center" vertical="top"/>
    </xf>
    <xf numFmtId="3" fontId="0" fillId="0" borderId="74" xfId="1" applyNumberFormat="1" applyFont="1" applyBorder="1" applyAlignment="1">
      <alignment horizontal="right" vertical="top"/>
    </xf>
    <xf numFmtId="0" fontId="0" fillId="0" borderId="21" xfId="0" applyBorder="1" applyAlignment="1">
      <alignment vertical="top"/>
    </xf>
    <xf numFmtId="1" fontId="7" fillId="0" borderId="0" xfId="0" applyNumberFormat="1" applyFont="1">
      <alignment vertical="top"/>
    </xf>
    <xf numFmtId="3" fontId="0" fillId="0" borderId="0" xfId="0" applyNumberFormat="1" applyAlignment="1">
      <alignment horizontal="center" vertical="top"/>
    </xf>
    <xf numFmtId="0" fontId="10" fillId="0" borderId="0" xfId="8" applyFont="1" applyBorder="1" applyAlignment="1" applyProtection="1">
      <alignment horizontal="center"/>
    </xf>
    <xf numFmtId="3" fontId="12" fillId="0" borderId="0" xfId="8" applyNumberFormat="1" applyFont="1" applyBorder="1" applyAlignment="1" applyProtection="1">
      <alignment horizontal="center"/>
      <protection locked="0"/>
    </xf>
    <xf numFmtId="0" fontId="0" fillId="0" borderId="0" xfId="0" applyBorder="1" applyAlignment="1">
      <alignment horizontal="center" vertical="top"/>
    </xf>
    <xf numFmtId="0" fontId="16" fillId="3" borderId="15" xfId="0" applyFont="1" applyFill="1" applyBorder="1" applyAlignment="1">
      <alignment horizontal="center" vertical="top" wrapText="1"/>
    </xf>
    <xf numFmtId="0" fontId="16" fillId="3" borderId="0" xfId="0" applyFont="1" applyFill="1" applyBorder="1" applyAlignment="1">
      <alignment horizontal="left" vertical="top" wrapText="1"/>
    </xf>
    <xf numFmtId="0" fontId="33" fillId="3" borderId="5" xfId="0" applyFont="1" applyFill="1" applyBorder="1" applyAlignment="1">
      <alignment horizontal="left" vertical="top" wrapText="1"/>
    </xf>
    <xf numFmtId="0" fontId="33" fillId="3" borderId="0" xfId="0" applyFont="1" applyFill="1" applyBorder="1" applyAlignment="1">
      <alignment horizontal="left" vertical="top" wrapText="1"/>
    </xf>
    <xf numFmtId="0" fontId="33" fillId="3" borderId="29" xfId="0" applyFont="1" applyFill="1" applyBorder="1" applyAlignment="1">
      <alignment horizontal="left" vertical="top" wrapText="1"/>
    </xf>
    <xf numFmtId="0" fontId="0" fillId="3" borderId="0" xfId="0" applyFill="1" applyAlignment="1">
      <alignment horizontal="center" vertical="top"/>
    </xf>
    <xf numFmtId="0" fontId="21" fillId="3" borderId="0" xfId="0" applyFont="1" applyFill="1" applyAlignment="1">
      <alignment horizontal="left" vertical="top" wrapText="1"/>
    </xf>
    <xf numFmtId="0" fontId="39" fillId="4" borderId="0" xfId="0" applyFont="1" applyFill="1" applyAlignment="1">
      <alignment horizontal="center" vertical="top" wrapText="1"/>
    </xf>
    <xf numFmtId="0" fontId="7" fillId="3" borderId="2" xfId="0" applyFont="1" applyFill="1" applyBorder="1" applyAlignment="1">
      <alignment horizontal="left" vertical="center" wrapText="1"/>
    </xf>
    <xf numFmtId="0" fontId="7" fillId="3" borderId="3" xfId="0" applyFont="1" applyFill="1" applyBorder="1" applyAlignment="1">
      <alignment horizontal="left" vertical="center" wrapText="1"/>
    </xf>
    <xf numFmtId="0" fontId="7" fillId="3" borderId="4" xfId="0" applyFont="1" applyFill="1" applyBorder="1" applyAlignment="1">
      <alignment horizontal="left" vertical="center" wrapText="1"/>
    </xf>
    <xf numFmtId="0" fontId="7" fillId="3" borderId="5" xfId="0" applyFont="1" applyFill="1" applyBorder="1" applyAlignment="1">
      <alignment horizontal="left" vertical="center" wrapText="1"/>
    </xf>
    <xf numFmtId="0" fontId="7" fillId="3" borderId="0" xfId="0" applyFont="1" applyFill="1" applyBorder="1" applyAlignment="1">
      <alignment horizontal="left" vertical="center" wrapText="1"/>
    </xf>
    <xf numFmtId="0" fontId="7" fillId="3" borderId="29" xfId="0" applyFont="1" applyFill="1" applyBorder="1" applyAlignment="1">
      <alignment horizontal="left" vertical="center" wrapText="1"/>
    </xf>
    <xf numFmtId="0" fontId="7" fillId="3" borderId="9" xfId="0" applyFont="1" applyFill="1" applyBorder="1" applyAlignment="1">
      <alignment horizontal="left" vertical="center" wrapText="1"/>
    </xf>
    <xf numFmtId="0" fontId="7" fillId="3" borderId="8" xfId="0" applyFont="1" applyFill="1" applyBorder="1" applyAlignment="1">
      <alignment horizontal="left" vertical="center" wrapText="1"/>
    </xf>
    <xf numFmtId="0" fontId="7" fillId="3" borderId="37" xfId="0" applyFont="1" applyFill="1" applyBorder="1" applyAlignment="1">
      <alignment horizontal="left" vertical="center" wrapText="1"/>
    </xf>
    <xf numFmtId="0" fontId="29" fillId="0" borderId="0" xfId="0" applyFont="1" applyAlignment="1">
      <alignment horizontal="center" vertical="top"/>
    </xf>
    <xf numFmtId="0" fontId="0" fillId="0" borderId="0" xfId="0" applyAlignment="1">
      <alignment horizontal="center" vertical="top"/>
    </xf>
    <xf numFmtId="0" fontId="23" fillId="0" borderId="0" xfId="0" applyFont="1" applyFill="1" applyAlignment="1">
      <alignment horizontal="center" vertical="top"/>
    </xf>
    <xf numFmtId="0" fontId="17" fillId="0" borderId="0" xfId="0" applyFont="1" applyAlignment="1">
      <alignment horizontal="left" vertical="top" wrapText="1"/>
    </xf>
    <xf numFmtId="0" fontId="37" fillId="0" borderId="0" xfId="0" applyFont="1" applyFill="1" applyAlignment="1" applyProtection="1">
      <alignment horizontal="left" vertical="top" wrapText="1"/>
      <protection locked="0"/>
    </xf>
    <xf numFmtId="0" fontId="12" fillId="0" borderId="29" xfId="8" applyFont="1" applyBorder="1" applyAlignment="1" applyProtection="1">
      <alignment horizontal="center"/>
      <protection locked="0"/>
    </xf>
    <xf numFmtId="0" fontId="7" fillId="0" borderId="0" xfId="0" applyFont="1" applyFill="1" applyAlignment="1" applyProtection="1">
      <alignment horizontal="center" vertical="top"/>
      <protection locked="0"/>
    </xf>
    <xf numFmtId="0" fontId="37" fillId="0" borderId="0" xfId="0" applyFont="1" applyFill="1" applyAlignment="1" applyProtection="1">
      <alignment horizontal="center" vertical="top" wrapText="1"/>
      <protection locked="0"/>
    </xf>
    <xf numFmtId="0" fontId="37" fillId="0" borderId="0" xfId="0" applyFont="1" applyAlignment="1">
      <alignment horizontal="left" vertical="top" wrapText="1"/>
    </xf>
    <xf numFmtId="0" fontId="17" fillId="0" borderId="0" xfId="0" applyFont="1" applyAlignment="1">
      <alignment horizontal="center" vertical="top"/>
    </xf>
    <xf numFmtId="0" fontId="13" fillId="9" borderId="0" xfId="0" applyFont="1" applyFill="1" applyBorder="1" applyAlignment="1">
      <alignment horizontal="center" vertical="top"/>
    </xf>
    <xf numFmtId="0" fontId="13" fillId="9" borderId="29" xfId="0" applyFont="1" applyFill="1" applyBorder="1" applyAlignment="1">
      <alignment horizontal="center" vertical="top"/>
    </xf>
    <xf numFmtId="0" fontId="13" fillId="9" borderId="3" xfId="0" applyFont="1" applyFill="1" applyBorder="1" applyAlignment="1">
      <alignment horizontal="center" vertical="top"/>
    </xf>
    <xf numFmtId="0" fontId="13" fillId="9" borderId="4" xfId="0" applyFont="1" applyFill="1" applyBorder="1" applyAlignment="1">
      <alignment horizontal="center" vertical="top"/>
    </xf>
    <xf numFmtId="0" fontId="13" fillId="0" borderId="5" xfId="0" applyFont="1" applyFill="1" applyBorder="1" applyAlignment="1">
      <alignment horizontal="center" vertical="top" wrapText="1"/>
    </xf>
    <xf numFmtId="3" fontId="13" fillId="0" borderId="36" xfId="1" applyNumberFormat="1" applyFont="1" applyBorder="1" applyAlignment="1">
      <alignment horizontal="center" vertical="top"/>
    </xf>
    <xf numFmtId="3" fontId="13" fillId="0" borderId="46" xfId="1" applyNumberFormat="1" applyFont="1" applyBorder="1" applyAlignment="1">
      <alignment horizontal="center" vertical="top"/>
    </xf>
    <xf numFmtId="164" fontId="25" fillId="0" borderId="0" xfId="0" applyNumberFormat="1" applyFont="1" applyAlignment="1">
      <alignment horizontal="left" vertical="top"/>
    </xf>
    <xf numFmtId="164" fontId="25" fillId="0" borderId="0" xfId="0" applyNumberFormat="1" applyFont="1" applyAlignment="1">
      <alignment horizontal="center" vertical="top"/>
    </xf>
    <xf numFmtId="3" fontId="25" fillId="0" borderId="0" xfId="1" applyNumberFormat="1" applyFont="1" applyAlignment="1">
      <alignment horizontal="center" vertical="top"/>
    </xf>
    <xf numFmtId="3" fontId="25" fillId="0" borderId="0" xfId="1" applyNumberFormat="1" applyFont="1" applyAlignment="1">
      <alignment horizontal="left" vertical="top"/>
    </xf>
    <xf numFmtId="0" fontId="21" fillId="0" borderId="5" xfId="0" applyFont="1" applyBorder="1" applyAlignment="1">
      <alignment horizontal="left" vertical="top" wrapText="1"/>
    </xf>
    <xf numFmtId="0" fontId="13" fillId="0" borderId="5" xfId="0" applyFont="1" applyFill="1" applyBorder="1" applyAlignment="1">
      <alignment horizontal="left" vertical="top" wrapText="1"/>
    </xf>
    <xf numFmtId="1" fontId="25" fillId="0" borderId="0" xfId="0" applyNumberFormat="1" applyFont="1" applyAlignment="1">
      <alignment horizontal="left" vertical="top"/>
    </xf>
    <xf numFmtId="0" fontId="10" fillId="0" borderId="72" xfId="0" applyNumberFormat="1" applyFont="1" applyFill="1" applyBorder="1" applyAlignment="1" applyProtection="1">
      <alignment horizontal="center" vertical="top"/>
    </xf>
    <xf numFmtId="0" fontId="10" fillId="0" borderId="73" xfId="0" applyNumberFormat="1" applyFont="1" applyFill="1" applyBorder="1" applyAlignment="1" applyProtection="1">
      <alignment horizontal="center" vertical="top"/>
    </xf>
    <xf numFmtId="0" fontId="25" fillId="0" borderId="27" xfId="8" applyFont="1" applyBorder="1" applyAlignment="1">
      <alignment horizontal="center" vertical="center" wrapText="1"/>
    </xf>
    <xf numFmtId="164" fontId="25" fillId="0" borderId="27" xfId="0" applyNumberFormat="1" applyFont="1" applyBorder="1" applyAlignment="1">
      <alignment horizontal="center" vertical="top"/>
    </xf>
    <xf numFmtId="0" fontId="10" fillId="0" borderId="3" xfId="0" applyFont="1" applyBorder="1" applyAlignment="1">
      <alignment horizontal="left" vertical="top" wrapText="1"/>
    </xf>
    <xf numFmtId="0" fontId="21" fillId="0" borderId="3" xfId="0" applyFont="1" applyBorder="1" applyAlignment="1">
      <alignment horizontal="left" vertical="top" wrapText="1"/>
    </xf>
    <xf numFmtId="0" fontId="21" fillId="0" borderId="0" xfId="0" applyFont="1" applyBorder="1" applyAlignment="1">
      <alignment horizontal="left" vertical="top" wrapText="1"/>
    </xf>
    <xf numFmtId="0" fontId="0" fillId="0" borderId="0" xfId="0" applyAlignment="1">
      <alignment horizontal="center" vertical="top" wrapText="1"/>
    </xf>
    <xf numFmtId="0" fontId="0" fillId="0" borderId="0" xfId="0" applyBorder="1" applyAlignment="1">
      <alignment horizontal="center" vertical="top" wrapText="1"/>
    </xf>
    <xf numFmtId="0" fontId="0" fillId="0" borderId="43" xfId="0" applyBorder="1" applyAlignment="1">
      <alignment horizontal="center" vertical="top" wrapText="1"/>
    </xf>
  </cellXfs>
  <cellStyles count="1785">
    <cellStyle name="20% - Accent1" xfId="1723"/>
    <cellStyle name="20% - Accent1 10" xfId="50"/>
    <cellStyle name="20% - Accent1 11" xfId="51"/>
    <cellStyle name="20% - Accent1 12" xfId="52"/>
    <cellStyle name="20% - Accent1 13" xfId="53"/>
    <cellStyle name="20% - Accent1 14" xfId="54"/>
    <cellStyle name="20% - Accent1 15" xfId="55"/>
    <cellStyle name="20% - Accent1 16" xfId="56"/>
    <cellStyle name="20% - Accent1 17" xfId="57"/>
    <cellStyle name="20% - Accent1 18" xfId="58"/>
    <cellStyle name="20% - Accent1 19" xfId="59"/>
    <cellStyle name="20% - Accent1 2" xfId="60"/>
    <cellStyle name="20% - Accent1 20" xfId="61"/>
    <cellStyle name="20% - Accent1 21" xfId="62"/>
    <cellStyle name="20% - Accent1 22" xfId="63"/>
    <cellStyle name="20% - Accent1 23" xfId="64"/>
    <cellStyle name="20% - Accent1 24" xfId="65"/>
    <cellStyle name="20% - Accent1 25" xfId="66"/>
    <cellStyle name="20% - Accent1 26" xfId="67"/>
    <cellStyle name="20% - Accent1 27" xfId="68"/>
    <cellStyle name="20% - Accent1 28" xfId="69"/>
    <cellStyle name="20% - Accent1 29" xfId="70"/>
    <cellStyle name="20% - Accent1 3" xfId="71"/>
    <cellStyle name="20% - Accent1 30" xfId="72"/>
    <cellStyle name="20% - Accent1 31" xfId="73"/>
    <cellStyle name="20% - Accent1 32" xfId="37"/>
    <cellStyle name="20% - Accent1 4" xfId="74"/>
    <cellStyle name="20% - Accent1 5" xfId="75"/>
    <cellStyle name="20% - Accent1 6" xfId="76"/>
    <cellStyle name="20% - Accent1 7" xfId="77"/>
    <cellStyle name="20% - Accent1 8" xfId="78"/>
    <cellStyle name="20% - Accent1 9" xfId="79"/>
    <cellStyle name="20% - Accent2" xfId="1725"/>
    <cellStyle name="20% - Accent2 10" xfId="80"/>
    <cellStyle name="20% - Accent2 11" xfId="81"/>
    <cellStyle name="20% - Accent2 12" xfId="82"/>
    <cellStyle name="20% - Accent2 13" xfId="83"/>
    <cellStyle name="20% - Accent2 14" xfId="84"/>
    <cellStyle name="20% - Accent2 15" xfId="85"/>
    <cellStyle name="20% - Accent2 16" xfId="86"/>
    <cellStyle name="20% - Accent2 17" xfId="87"/>
    <cellStyle name="20% - Accent2 18" xfId="88"/>
    <cellStyle name="20% - Accent2 19" xfId="89"/>
    <cellStyle name="20% - Accent2 2" xfId="90"/>
    <cellStyle name="20% - Accent2 20" xfId="91"/>
    <cellStyle name="20% - Accent2 21" xfId="92"/>
    <cellStyle name="20% - Accent2 22" xfId="93"/>
    <cellStyle name="20% - Accent2 23" xfId="94"/>
    <cellStyle name="20% - Accent2 24" xfId="95"/>
    <cellStyle name="20% - Accent2 25" xfId="96"/>
    <cellStyle name="20% - Accent2 26" xfId="97"/>
    <cellStyle name="20% - Accent2 27" xfId="98"/>
    <cellStyle name="20% - Accent2 28" xfId="99"/>
    <cellStyle name="20% - Accent2 29" xfId="100"/>
    <cellStyle name="20% - Accent2 3" xfId="101"/>
    <cellStyle name="20% - Accent2 30" xfId="102"/>
    <cellStyle name="20% - Accent2 31" xfId="103"/>
    <cellStyle name="20% - Accent2 32" xfId="39"/>
    <cellStyle name="20% - Accent2 4" xfId="104"/>
    <cellStyle name="20% - Accent2 5" xfId="105"/>
    <cellStyle name="20% - Accent2 6" xfId="106"/>
    <cellStyle name="20% - Accent2 7" xfId="107"/>
    <cellStyle name="20% - Accent2 8" xfId="108"/>
    <cellStyle name="20% - Accent2 9" xfId="109"/>
    <cellStyle name="20% - Accent3" xfId="1727"/>
    <cellStyle name="20% - Accent3 10" xfId="110"/>
    <cellStyle name="20% - Accent3 11" xfId="111"/>
    <cellStyle name="20% - Accent3 12" xfId="112"/>
    <cellStyle name="20% - Accent3 13" xfId="113"/>
    <cellStyle name="20% - Accent3 14" xfId="114"/>
    <cellStyle name="20% - Accent3 15" xfId="115"/>
    <cellStyle name="20% - Accent3 16" xfId="116"/>
    <cellStyle name="20% - Accent3 17" xfId="117"/>
    <cellStyle name="20% - Accent3 18" xfId="118"/>
    <cellStyle name="20% - Accent3 19" xfId="119"/>
    <cellStyle name="20% - Accent3 2" xfId="120"/>
    <cellStyle name="20% - Accent3 20" xfId="121"/>
    <cellStyle name="20% - Accent3 21" xfId="122"/>
    <cellStyle name="20% - Accent3 22" xfId="123"/>
    <cellStyle name="20% - Accent3 23" xfId="124"/>
    <cellStyle name="20% - Accent3 24" xfId="125"/>
    <cellStyle name="20% - Accent3 25" xfId="126"/>
    <cellStyle name="20% - Accent3 26" xfId="127"/>
    <cellStyle name="20% - Accent3 27" xfId="128"/>
    <cellStyle name="20% - Accent3 28" xfId="129"/>
    <cellStyle name="20% - Accent3 29" xfId="130"/>
    <cellStyle name="20% - Accent3 3" xfId="131"/>
    <cellStyle name="20% - Accent3 30" xfId="132"/>
    <cellStyle name="20% - Accent3 31" xfId="133"/>
    <cellStyle name="20% - Accent3 32" xfId="41"/>
    <cellStyle name="20% - Accent3 4" xfId="134"/>
    <cellStyle name="20% - Accent3 5" xfId="135"/>
    <cellStyle name="20% - Accent3 6" xfId="136"/>
    <cellStyle name="20% - Accent3 7" xfId="137"/>
    <cellStyle name="20% - Accent3 8" xfId="138"/>
    <cellStyle name="20% - Accent3 9" xfId="139"/>
    <cellStyle name="20% - Accent4" xfId="1729"/>
    <cellStyle name="20% - Accent4 10" xfId="140"/>
    <cellStyle name="20% - Accent4 11" xfId="141"/>
    <cellStyle name="20% - Accent4 12" xfId="142"/>
    <cellStyle name="20% - Accent4 13" xfId="143"/>
    <cellStyle name="20% - Accent4 14" xfId="144"/>
    <cellStyle name="20% - Accent4 15" xfId="145"/>
    <cellStyle name="20% - Accent4 16" xfId="146"/>
    <cellStyle name="20% - Accent4 17" xfId="147"/>
    <cellStyle name="20% - Accent4 18" xfId="148"/>
    <cellStyle name="20% - Accent4 19" xfId="149"/>
    <cellStyle name="20% - Accent4 2" xfId="150"/>
    <cellStyle name="20% - Accent4 20" xfId="151"/>
    <cellStyle name="20% - Accent4 21" xfId="152"/>
    <cellStyle name="20% - Accent4 22" xfId="153"/>
    <cellStyle name="20% - Accent4 23" xfId="154"/>
    <cellStyle name="20% - Accent4 24" xfId="155"/>
    <cellStyle name="20% - Accent4 25" xfId="156"/>
    <cellStyle name="20% - Accent4 26" xfId="157"/>
    <cellStyle name="20% - Accent4 27" xfId="158"/>
    <cellStyle name="20% - Accent4 28" xfId="159"/>
    <cellStyle name="20% - Accent4 29" xfId="160"/>
    <cellStyle name="20% - Accent4 3" xfId="161"/>
    <cellStyle name="20% - Accent4 30" xfId="162"/>
    <cellStyle name="20% - Accent4 31" xfId="163"/>
    <cellStyle name="20% - Accent4 32" xfId="43"/>
    <cellStyle name="20% - Accent4 4" xfId="164"/>
    <cellStyle name="20% - Accent4 5" xfId="165"/>
    <cellStyle name="20% - Accent4 6" xfId="166"/>
    <cellStyle name="20% - Accent4 7" xfId="167"/>
    <cellStyle name="20% - Accent4 8" xfId="168"/>
    <cellStyle name="20% - Accent4 9" xfId="169"/>
    <cellStyle name="20% - Accent5" xfId="1731"/>
    <cellStyle name="20% - Accent5 10" xfId="170"/>
    <cellStyle name="20% - Accent5 11" xfId="171"/>
    <cellStyle name="20% - Accent5 12" xfId="172"/>
    <cellStyle name="20% - Accent5 13" xfId="173"/>
    <cellStyle name="20% - Accent5 14" xfId="174"/>
    <cellStyle name="20% - Accent5 15" xfId="175"/>
    <cellStyle name="20% - Accent5 16" xfId="176"/>
    <cellStyle name="20% - Accent5 17" xfId="177"/>
    <cellStyle name="20% - Accent5 18" xfId="178"/>
    <cellStyle name="20% - Accent5 19" xfId="179"/>
    <cellStyle name="20% - Accent5 2" xfId="180"/>
    <cellStyle name="20% - Accent5 20" xfId="181"/>
    <cellStyle name="20% - Accent5 21" xfId="182"/>
    <cellStyle name="20% - Accent5 22" xfId="183"/>
    <cellStyle name="20% - Accent5 23" xfId="184"/>
    <cellStyle name="20% - Accent5 24" xfId="185"/>
    <cellStyle name="20% - Accent5 25" xfId="186"/>
    <cellStyle name="20% - Accent5 26" xfId="187"/>
    <cellStyle name="20% - Accent5 27" xfId="188"/>
    <cellStyle name="20% - Accent5 28" xfId="189"/>
    <cellStyle name="20% - Accent5 29" xfId="190"/>
    <cellStyle name="20% - Accent5 3" xfId="191"/>
    <cellStyle name="20% - Accent5 30" xfId="192"/>
    <cellStyle name="20% - Accent5 31" xfId="193"/>
    <cellStyle name="20% - Accent5 32" xfId="45"/>
    <cellStyle name="20% - Accent5 4" xfId="194"/>
    <cellStyle name="20% - Accent5 5" xfId="195"/>
    <cellStyle name="20% - Accent5 6" xfId="196"/>
    <cellStyle name="20% - Accent5 7" xfId="197"/>
    <cellStyle name="20% - Accent5 8" xfId="198"/>
    <cellStyle name="20% - Accent5 9" xfId="199"/>
    <cellStyle name="20% - Accent6" xfId="1733"/>
    <cellStyle name="20% - Accent6 10" xfId="200"/>
    <cellStyle name="20% - Accent6 11" xfId="201"/>
    <cellStyle name="20% - Accent6 12" xfId="202"/>
    <cellStyle name="20% - Accent6 13" xfId="203"/>
    <cellStyle name="20% - Accent6 14" xfId="204"/>
    <cellStyle name="20% - Accent6 15" xfId="205"/>
    <cellStyle name="20% - Accent6 16" xfId="206"/>
    <cellStyle name="20% - Accent6 17" xfId="207"/>
    <cellStyle name="20% - Accent6 18" xfId="208"/>
    <cellStyle name="20% - Accent6 19" xfId="209"/>
    <cellStyle name="20% - Accent6 2" xfId="210"/>
    <cellStyle name="20% - Accent6 20" xfId="211"/>
    <cellStyle name="20% - Accent6 21" xfId="212"/>
    <cellStyle name="20% - Accent6 22" xfId="213"/>
    <cellStyle name="20% - Accent6 23" xfId="214"/>
    <cellStyle name="20% - Accent6 24" xfId="215"/>
    <cellStyle name="20% - Accent6 25" xfId="216"/>
    <cellStyle name="20% - Accent6 26" xfId="217"/>
    <cellStyle name="20% - Accent6 27" xfId="218"/>
    <cellStyle name="20% - Accent6 28" xfId="219"/>
    <cellStyle name="20% - Accent6 29" xfId="220"/>
    <cellStyle name="20% - Accent6 3" xfId="221"/>
    <cellStyle name="20% - Accent6 30" xfId="222"/>
    <cellStyle name="20% - Accent6 31" xfId="223"/>
    <cellStyle name="20% - Accent6 32" xfId="47"/>
    <cellStyle name="20% - Accent6 4" xfId="224"/>
    <cellStyle name="20% - Accent6 5" xfId="225"/>
    <cellStyle name="20% - Accent6 6" xfId="226"/>
    <cellStyle name="20% - Accent6 7" xfId="227"/>
    <cellStyle name="20% - Accent6 8" xfId="228"/>
    <cellStyle name="20% - Accent6 9" xfId="229"/>
    <cellStyle name="40% - Accent1" xfId="1724"/>
    <cellStyle name="40% - Accent1 10" xfId="230"/>
    <cellStyle name="40% - Accent1 11" xfId="231"/>
    <cellStyle name="40% - Accent1 12" xfId="232"/>
    <cellStyle name="40% - Accent1 13" xfId="233"/>
    <cellStyle name="40% - Accent1 14" xfId="234"/>
    <cellStyle name="40% - Accent1 15" xfId="235"/>
    <cellStyle name="40% - Accent1 16" xfId="236"/>
    <cellStyle name="40% - Accent1 17" xfId="237"/>
    <cellStyle name="40% - Accent1 18" xfId="238"/>
    <cellStyle name="40% - Accent1 19" xfId="239"/>
    <cellStyle name="40% - Accent1 2" xfId="240"/>
    <cellStyle name="40% - Accent1 20" xfId="241"/>
    <cellStyle name="40% - Accent1 21" xfId="242"/>
    <cellStyle name="40% - Accent1 22" xfId="243"/>
    <cellStyle name="40% - Accent1 23" xfId="244"/>
    <cellStyle name="40% - Accent1 24" xfId="245"/>
    <cellStyle name="40% - Accent1 25" xfId="246"/>
    <cellStyle name="40% - Accent1 26" xfId="247"/>
    <cellStyle name="40% - Accent1 27" xfId="248"/>
    <cellStyle name="40% - Accent1 28" xfId="249"/>
    <cellStyle name="40% - Accent1 29" xfId="250"/>
    <cellStyle name="40% - Accent1 3" xfId="251"/>
    <cellStyle name="40% - Accent1 30" xfId="252"/>
    <cellStyle name="40% - Accent1 31" xfId="253"/>
    <cellStyle name="40% - Accent1 32" xfId="38"/>
    <cellStyle name="40% - Accent1 4" xfId="254"/>
    <cellStyle name="40% - Accent1 5" xfId="255"/>
    <cellStyle name="40% - Accent1 6" xfId="256"/>
    <cellStyle name="40% - Accent1 7" xfId="257"/>
    <cellStyle name="40% - Accent1 8" xfId="258"/>
    <cellStyle name="40% - Accent1 9" xfId="259"/>
    <cellStyle name="40% - Accent2" xfId="1726"/>
    <cellStyle name="40% - Accent2 10" xfId="260"/>
    <cellStyle name="40% - Accent2 11" xfId="261"/>
    <cellStyle name="40% - Accent2 12" xfId="262"/>
    <cellStyle name="40% - Accent2 13" xfId="263"/>
    <cellStyle name="40% - Accent2 14" xfId="264"/>
    <cellStyle name="40% - Accent2 15" xfId="265"/>
    <cellStyle name="40% - Accent2 16" xfId="266"/>
    <cellStyle name="40% - Accent2 17" xfId="267"/>
    <cellStyle name="40% - Accent2 18" xfId="268"/>
    <cellStyle name="40% - Accent2 19" xfId="269"/>
    <cellStyle name="40% - Accent2 2" xfId="270"/>
    <cellStyle name="40% - Accent2 20" xfId="271"/>
    <cellStyle name="40% - Accent2 21" xfId="272"/>
    <cellStyle name="40% - Accent2 22" xfId="273"/>
    <cellStyle name="40% - Accent2 23" xfId="274"/>
    <cellStyle name="40% - Accent2 24" xfId="275"/>
    <cellStyle name="40% - Accent2 25" xfId="276"/>
    <cellStyle name="40% - Accent2 26" xfId="277"/>
    <cellStyle name="40% - Accent2 27" xfId="278"/>
    <cellStyle name="40% - Accent2 28" xfId="279"/>
    <cellStyle name="40% - Accent2 29" xfId="280"/>
    <cellStyle name="40% - Accent2 3" xfId="281"/>
    <cellStyle name="40% - Accent2 30" xfId="282"/>
    <cellStyle name="40% - Accent2 31" xfId="283"/>
    <cellStyle name="40% - Accent2 32" xfId="40"/>
    <cellStyle name="40% - Accent2 4" xfId="284"/>
    <cellStyle name="40% - Accent2 5" xfId="285"/>
    <cellStyle name="40% - Accent2 6" xfId="286"/>
    <cellStyle name="40% - Accent2 7" xfId="287"/>
    <cellStyle name="40% - Accent2 8" xfId="288"/>
    <cellStyle name="40% - Accent2 9" xfId="289"/>
    <cellStyle name="40% - Accent3" xfId="1728"/>
    <cellStyle name="40% - Accent3 10" xfId="290"/>
    <cellStyle name="40% - Accent3 11" xfId="291"/>
    <cellStyle name="40% - Accent3 12" xfId="292"/>
    <cellStyle name="40% - Accent3 13" xfId="293"/>
    <cellStyle name="40% - Accent3 14" xfId="294"/>
    <cellStyle name="40% - Accent3 15" xfId="295"/>
    <cellStyle name="40% - Accent3 16" xfId="296"/>
    <cellStyle name="40% - Accent3 17" xfId="297"/>
    <cellStyle name="40% - Accent3 18" xfId="298"/>
    <cellStyle name="40% - Accent3 19" xfId="299"/>
    <cellStyle name="40% - Accent3 2" xfId="300"/>
    <cellStyle name="40% - Accent3 20" xfId="301"/>
    <cellStyle name="40% - Accent3 21" xfId="302"/>
    <cellStyle name="40% - Accent3 22" xfId="303"/>
    <cellStyle name="40% - Accent3 23" xfId="304"/>
    <cellStyle name="40% - Accent3 24" xfId="305"/>
    <cellStyle name="40% - Accent3 25" xfId="306"/>
    <cellStyle name="40% - Accent3 26" xfId="307"/>
    <cellStyle name="40% - Accent3 27" xfId="308"/>
    <cellStyle name="40% - Accent3 28" xfId="309"/>
    <cellStyle name="40% - Accent3 29" xfId="310"/>
    <cellStyle name="40% - Accent3 3" xfId="311"/>
    <cellStyle name="40% - Accent3 30" xfId="312"/>
    <cellStyle name="40% - Accent3 31" xfId="313"/>
    <cellStyle name="40% - Accent3 32" xfId="42"/>
    <cellStyle name="40% - Accent3 4" xfId="314"/>
    <cellStyle name="40% - Accent3 5" xfId="315"/>
    <cellStyle name="40% - Accent3 6" xfId="316"/>
    <cellStyle name="40% - Accent3 7" xfId="317"/>
    <cellStyle name="40% - Accent3 8" xfId="318"/>
    <cellStyle name="40% - Accent3 9" xfId="319"/>
    <cellStyle name="40% - Accent4" xfId="1730"/>
    <cellStyle name="40% - Accent4 10" xfId="320"/>
    <cellStyle name="40% - Accent4 11" xfId="321"/>
    <cellStyle name="40% - Accent4 12" xfId="322"/>
    <cellStyle name="40% - Accent4 13" xfId="323"/>
    <cellStyle name="40% - Accent4 14" xfId="324"/>
    <cellStyle name="40% - Accent4 15" xfId="325"/>
    <cellStyle name="40% - Accent4 16" xfId="326"/>
    <cellStyle name="40% - Accent4 17" xfId="327"/>
    <cellStyle name="40% - Accent4 18" xfId="328"/>
    <cellStyle name="40% - Accent4 19" xfId="329"/>
    <cellStyle name="40% - Accent4 2" xfId="330"/>
    <cellStyle name="40% - Accent4 20" xfId="331"/>
    <cellStyle name="40% - Accent4 21" xfId="332"/>
    <cellStyle name="40% - Accent4 22" xfId="333"/>
    <cellStyle name="40% - Accent4 23" xfId="334"/>
    <cellStyle name="40% - Accent4 24" xfId="335"/>
    <cellStyle name="40% - Accent4 25" xfId="336"/>
    <cellStyle name="40% - Accent4 26" xfId="337"/>
    <cellStyle name="40% - Accent4 27" xfId="338"/>
    <cellStyle name="40% - Accent4 28" xfId="339"/>
    <cellStyle name="40% - Accent4 29" xfId="340"/>
    <cellStyle name="40% - Accent4 3" xfId="341"/>
    <cellStyle name="40% - Accent4 30" xfId="342"/>
    <cellStyle name="40% - Accent4 31" xfId="343"/>
    <cellStyle name="40% - Accent4 32" xfId="44"/>
    <cellStyle name="40% - Accent4 4" xfId="344"/>
    <cellStyle name="40% - Accent4 5" xfId="345"/>
    <cellStyle name="40% - Accent4 6" xfId="346"/>
    <cellStyle name="40% - Accent4 7" xfId="347"/>
    <cellStyle name="40% - Accent4 8" xfId="348"/>
    <cellStyle name="40% - Accent4 9" xfId="349"/>
    <cellStyle name="40% - Accent5" xfId="1732"/>
    <cellStyle name="40% - Accent5 10" xfId="350"/>
    <cellStyle name="40% - Accent5 11" xfId="351"/>
    <cellStyle name="40% - Accent5 12" xfId="352"/>
    <cellStyle name="40% - Accent5 13" xfId="353"/>
    <cellStyle name="40% - Accent5 14" xfId="354"/>
    <cellStyle name="40% - Accent5 15" xfId="355"/>
    <cellStyle name="40% - Accent5 16" xfId="356"/>
    <cellStyle name="40% - Accent5 17" xfId="357"/>
    <cellStyle name="40% - Accent5 18" xfId="358"/>
    <cellStyle name="40% - Accent5 19" xfId="359"/>
    <cellStyle name="40% - Accent5 2" xfId="360"/>
    <cellStyle name="40% - Accent5 20" xfId="361"/>
    <cellStyle name="40% - Accent5 21" xfId="362"/>
    <cellStyle name="40% - Accent5 22" xfId="363"/>
    <cellStyle name="40% - Accent5 23" xfId="364"/>
    <cellStyle name="40% - Accent5 24" xfId="365"/>
    <cellStyle name="40% - Accent5 25" xfId="366"/>
    <cellStyle name="40% - Accent5 26" xfId="367"/>
    <cellStyle name="40% - Accent5 27" xfId="368"/>
    <cellStyle name="40% - Accent5 28" xfId="369"/>
    <cellStyle name="40% - Accent5 29" xfId="370"/>
    <cellStyle name="40% - Accent5 3" xfId="371"/>
    <cellStyle name="40% - Accent5 30" xfId="372"/>
    <cellStyle name="40% - Accent5 31" xfId="373"/>
    <cellStyle name="40% - Accent5 32" xfId="46"/>
    <cellStyle name="40% - Accent5 4" xfId="374"/>
    <cellStyle name="40% - Accent5 5" xfId="375"/>
    <cellStyle name="40% - Accent5 6" xfId="376"/>
    <cellStyle name="40% - Accent5 7" xfId="377"/>
    <cellStyle name="40% - Accent5 8" xfId="378"/>
    <cellStyle name="40% - Accent5 9" xfId="379"/>
    <cellStyle name="40% - Accent6" xfId="1734"/>
    <cellStyle name="40% - Accent6 10" xfId="380"/>
    <cellStyle name="40% - Accent6 11" xfId="381"/>
    <cellStyle name="40% - Accent6 12" xfId="382"/>
    <cellStyle name="40% - Accent6 13" xfId="383"/>
    <cellStyle name="40% - Accent6 14" xfId="384"/>
    <cellStyle name="40% - Accent6 15" xfId="385"/>
    <cellStyle name="40% - Accent6 16" xfId="386"/>
    <cellStyle name="40% - Accent6 17" xfId="387"/>
    <cellStyle name="40% - Accent6 18" xfId="388"/>
    <cellStyle name="40% - Accent6 19" xfId="389"/>
    <cellStyle name="40% - Accent6 2" xfId="390"/>
    <cellStyle name="40% - Accent6 20" xfId="391"/>
    <cellStyle name="40% - Accent6 21" xfId="392"/>
    <cellStyle name="40% - Accent6 22" xfId="393"/>
    <cellStyle name="40% - Accent6 23" xfId="394"/>
    <cellStyle name="40% - Accent6 24" xfId="395"/>
    <cellStyle name="40% - Accent6 25" xfId="396"/>
    <cellStyle name="40% - Accent6 26" xfId="397"/>
    <cellStyle name="40% - Accent6 27" xfId="398"/>
    <cellStyle name="40% - Accent6 28" xfId="399"/>
    <cellStyle name="40% - Accent6 29" xfId="400"/>
    <cellStyle name="40% - Accent6 3" xfId="401"/>
    <cellStyle name="40% - Accent6 30" xfId="402"/>
    <cellStyle name="40% - Accent6 31" xfId="403"/>
    <cellStyle name="40% - Accent6 32" xfId="48"/>
    <cellStyle name="40% - Accent6 4" xfId="404"/>
    <cellStyle name="40% - Accent6 5" xfId="405"/>
    <cellStyle name="40% - Accent6 6" xfId="406"/>
    <cellStyle name="40% - Accent6 7" xfId="407"/>
    <cellStyle name="40% - Accent6 8" xfId="408"/>
    <cellStyle name="40% - Accent6 9" xfId="409"/>
    <cellStyle name="60% - Accent1" xfId="26" builtinId="32" customBuiltin="1"/>
    <cellStyle name="60% - Accent2" xfId="28" builtinId="36" customBuiltin="1"/>
    <cellStyle name="60% - Accent3" xfId="30" builtinId="40" customBuiltin="1"/>
    <cellStyle name="60% - Accent4" xfId="32" builtinId="44" customBuiltin="1"/>
    <cellStyle name="60% - Accent5" xfId="34" builtinId="48" customBuiltin="1"/>
    <cellStyle name="60% - Accent6" xfId="36" builtinId="52" customBuiltin="1"/>
    <cellStyle name="Accent1" xfId="25" builtinId="29" customBuiltin="1"/>
    <cellStyle name="Accent2" xfId="27" builtinId="33" customBuiltin="1"/>
    <cellStyle name="Accent3" xfId="29" builtinId="37" customBuiltin="1"/>
    <cellStyle name="Accent4" xfId="31" builtinId="41" customBuiltin="1"/>
    <cellStyle name="Accent5" xfId="33" builtinId="45" customBuiltin="1"/>
    <cellStyle name="Accent6" xfId="35" builtinId="49" customBuiltin="1"/>
    <cellStyle name="Bad" xfId="16" builtinId="27" customBuiltin="1"/>
    <cellStyle name="Calculation" xfId="20" builtinId="22" customBuiltin="1"/>
    <cellStyle name="Check Cell" xfId="22" builtinId="23" customBuiltin="1"/>
    <cellStyle name="Comma" xfId="1" builtinId="3"/>
    <cellStyle name="Comma 2" xfId="410"/>
    <cellStyle name="Comma 3" xfId="1735"/>
    <cellStyle name="Comma0" xfId="2"/>
    <cellStyle name="Comma0 10" xfId="412"/>
    <cellStyle name="Comma0 11" xfId="413"/>
    <cellStyle name="Comma0 12" xfId="414"/>
    <cellStyle name="Comma0 13" xfId="415"/>
    <cellStyle name="Comma0 14" xfId="416"/>
    <cellStyle name="Comma0 15" xfId="417"/>
    <cellStyle name="Comma0 15 2" xfId="418"/>
    <cellStyle name="Comma0 16" xfId="419"/>
    <cellStyle name="Comma0 17" xfId="420"/>
    <cellStyle name="Comma0 18" xfId="421"/>
    <cellStyle name="Comma0 19" xfId="422"/>
    <cellStyle name="Comma0 2" xfId="423"/>
    <cellStyle name="Comma0 20" xfId="424"/>
    <cellStyle name="Comma0 21" xfId="425"/>
    <cellStyle name="Comma0 22" xfId="426"/>
    <cellStyle name="Comma0 23" xfId="427"/>
    <cellStyle name="Comma0 24" xfId="428"/>
    <cellStyle name="Comma0 25" xfId="429"/>
    <cellStyle name="Comma0 26" xfId="430"/>
    <cellStyle name="Comma0 27" xfId="431"/>
    <cellStyle name="Comma0 28" xfId="432"/>
    <cellStyle name="Comma0 29" xfId="433"/>
    <cellStyle name="Comma0 3" xfId="434"/>
    <cellStyle name="Comma0 30" xfId="435"/>
    <cellStyle name="Comma0 31" xfId="436"/>
    <cellStyle name="Comma0 32" xfId="437"/>
    <cellStyle name="Comma0 33" xfId="438"/>
    <cellStyle name="Comma0 34" xfId="439"/>
    <cellStyle name="Comma0 35" xfId="440"/>
    <cellStyle name="Comma0 36" xfId="441"/>
    <cellStyle name="Comma0 37" xfId="442"/>
    <cellStyle name="Comma0 38" xfId="443"/>
    <cellStyle name="Comma0 39" xfId="444"/>
    <cellStyle name="Comma0 4" xfId="445"/>
    <cellStyle name="Comma0 40" xfId="446"/>
    <cellStyle name="Comma0 41" xfId="447"/>
    <cellStyle name="Comma0 42" xfId="448"/>
    <cellStyle name="Comma0 43" xfId="449"/>
    <cellStyle name="Comma0 44" xfId="450"/>
    <cellStyle name="Comma0 45" xfId="451"/>
    <cellStyle name="Comma0 46" xfId="452"/>
    <cellStyle name="Comma0 47" xfId="453"/>
    <cellStyle name="Comma0 48" xfId="454"/>
    <cellStyle name="Comma0 49" xfId="455"/>
    <cellStyle name="Comma0 5" xfId="456"/>
    <cellStyle name="Comma0 50" xfId="457"/>
    <cellStyle name="Comma0 51" xfId="458"/>
    <cellStyle name="Comma0 52" xfId="459"/>
    <cellStyle name="Comma0 53" xfId="460"/>
    <cellStyle name="Comma0 54" xfId="461"/>
    <cellStyle name="Comma0 55" xfId="462"/>
    <cellStyle name="Comma0 56" xfId="463"/>
    <cellStyle name="Comma0 57" xfId="464"/>
    <cellStyle name="Comma0 58" xfId="465"/>
    <cellStyle name="Comma0 59" xfId="411"/>
    <cellStyle name="Comma0 6" xfId="466"/>
    <cellStyle name="Comma0 7" xfId="467"/>
    <cellStyle name="Comma0 8" xfId="468"/>
    <cellStyle name="Comma0 9" xfId="469"/>
    <cellStyle name="Currency0" xfId="3"/>
    <cellStyle name="Currency0 10" xfId="471"/>
    <cellStyle name="Currency0 11" xfId="472"/>
    <cellStyle name="Currency0 12" xfId="473"/>
    <cellStyle name="Currency0 13" xfId="474"/>
    <cellStyle name="Currency0 14" xfId="475"/>
    <cellStyle name="Currency0 15" xfId="476"/>
    <cellStyle name="Currency0 15 2" xfId="477"/>
    <cellStyle name="Currency0 16" xfId="478"/>
    <cellStyle name="Currency0 17" xfId="479"/>
    <cellStyle name="Currency0 18" xfId="480"/>
    <cellStyle name="Currency0 19" xfId="481"/>
    <cellStyle name="Currency0 2" xfId="482"/>
    <cellStyle name="Currency0 20" xfId="483"/>
    <cellStyle name="Currency0 21" xfId="484"/>
    <cellStyle name="Currency0 22" xfId="485"/>
    <cellStyle name="Currency0 23" xfId="486"/>
    <cellStyle name="Currency0 24" xfId="487"/>
    <cellStyle name="Currency0 25" xfId="488"/>
    <cellStyle name="Currency0 26" xfId="489"/>
    <cellStyle name="Currency0 27" xfId="490"/>
    <cellStyle name="Currency0 28" xfId="491"/>
    <cellStyle name="Currency0 29" xfId="492"/>
    <cellStyle name="Currency0 3" xfId="493"/>
    <cellStyle name="Currency0 30" xfId="494"/>
    <cellStyle name="Currency0 31" xfId="495"/>
    <cellStyle name="Currency0 32" xfId="496"/>
    <cellStyle name="Currency0 33" xfId="497"/>
    <cellStyle name="Currency0 34" xfId="498"/>
    <cellStyle name="Currency0 35" xfId="499"/>
    <cellStyle name="Currency0 36" xfId="500"/>
    <cellStyle name="Currency0 37" xfId="501"/>
    <cellStyle name="Currency0 38" xfId="502"/>
    <cellStyle name="Currency0 39" xfId="503"/>
    <cellStyle name="Currency0 4" xfId="504"/>
    <cellStyle name="Currency0 40" xfId="505"/>
    <cellStyle name="Currency0 41" xfId="506"/>
    <cellStyle name="Currency0 42" xfId="507"/>
    <cellStyle name="Currency0 43" xfId="508"/>
    <cellStyle name="Currency0 44" xfId="509"/>
    <cellStyle name="Currency0 45" xfId="510"/>
    <cellStyle name="Currency0 46" xfId="511"/>
    <cellStyle name="Currency0 47" xfId="512"/>
    <cellStyle name="Currency0 48" xfId="513"/>
    <cellStyle name="Currency0 49" xfId="514"/>
    <cellStyle name="Currency0 5" xfId="515"/>
    <cellStyle name="Currency0 50" xfId="516"/>
    <cellStyle name="Currency0 51" xfId="517"/>
    <cellStyle name="Currency0 52" xfId="518"/>
    <cellStyle name="Currency0 53" xfId="519"/>
    <cellStyle name="Currency0 54" xfId="520"/>
    <cellStyle name="Currency0 55" xfId="521"/>
    <cellStyle name="Currency0 56" xfId="522"/>
    <cellStyle name="Currency0 57" xfId="523"/>
    <cellStyle name="Currency0 58" xfId="524"/>
    <cellStyle name="Currency0 59" xfId="470"/>
    <cellStyle name="Currency0 6" xfId="525"/>
    <cellStyle name="Currency0 7" xfId="526"/>
    <cellStyle name="Currency0 8" xfId="527"/>
    <cellStyle name="Currency0 9" xfId="528"/>
    <cellStyle name="Date" xfId="4"/>
    <cellStyle name="Date 10" xfId="530"/>
    <cellStyle name="Date 11" xfId="531"/>
    <cellStyle name="Date 12" xfId="532"/>
    <cellStyle name="Date 13" xfId="533"/>
    <cellStyle name="Date 14" xfId="534"/>
    <cellStyle name="Date 15" xfId="535"/>
    <cellStyle name="Date 15 2" xfId="536"/>
    <cellStyle name="Date 16" xfId="537"/>
    <cellStyle name="Date 17" xfId="538"/>
    <cellStyle name="Date 18" xfId="539"/>
    <cellStyle name="Date 19" xfId="540"/>
    <cellStyle name="Date 2" xfId="541"/>
    <cellStyle name="Date 20" xfId="542"/>
    <cellStyle name="Date 21" xfId="543"/>
    <cellStyle name="Date 22" xfId="544"/>
    <cellStyle name="Date 23" xfId="545"/>
    <cellStyle name="Date 24" xfId="546"/>
    <cellStyle name="Date 25" xfId="547"/>
    <cellStyle name="Date 26" xfId="548"/>
    <cellStyle name="Date 27" xfId="549"/>
    <cellStyle name="Date 28" xfId="550"/>
    <cellStyle name="Date 29" xfId="551"/>
    <cellStyle name="Date 3" xfId="552"/>
    <cellStyle name="Date 30" xfId="553"/>
    <cellStyle name="Date 31" xfId="554"/>
    <cellStyle name="Date 32" xfId="555"/>
    <cellStyle name="Date 33" xfId="556"/>
    <cellStyle name="Date 34" xfId="557"/>
    <cellStyle name="Date 35" xfId="558"/>
    <cellStyle name="Date 36" xfId="559"/>
    <cellStyle name="Date 37" xfId="560"/>
    <cellStyle name="Date 38" xfId="561"/>
    <cellStyle name="Date 39" xfId="562"/>
    <cellStyle name="Date 4" xfId="563"/>
    <cellStyle name="Date 40" xfId="564"/>
    <cellStyle name="Date 41" xfId="565"/>
    <cellStyle name="Date 42" xfId="566"/>
    <cellStyle name="Date 43" xfId="567"/>
    <cellStyle name="Date 44" xfId="568"/>
    <cellStyle name="Date 45" xfId="569"/>
    <cellStyle name="Date 46" xfId="570"/>
    <cellStyle name="Date 47" xfId="571"/>
    <cellStyle name="Date 48" xfId="572"/>
    <cellStyle name="Date 49" xfId="573"/>
    <cellStyle name="Date 5" xfId="574"/>
    <cellStyle name="Date 50" xfId="575"/>
    <cellStyle name="Date 51" xfId="576"/>
    <cellStyle name="Date 52" xfId="577"/>
    <cellStyle name="Date 53" xfId="578"/>
    <cellStyle name="Date 54" xfId="579"/>
    <cellStyle name="Date 55" xfId="580"/>
    <cellStyle name="Date 56" xfId="581"/>
    <cellStyle name="Date 57" xfId="582"/>
    <cellStyle name="Date 58" xfId="583"/>
    <cellStyle name="Date 59" xfId="529"/>
    <cellStyle name="Date 6" xfId="584"/>
    <cellStyle name="Date 7" xfId="585"/>
    <cellStyle name="Date 8" xfId="586"/>
    <cellStyle name="Date 9" xfId="587"/>
    <cellStyle name="Explanatory Text" xfId="24" builtinId="53" customBuiltin="1"/>
    <cellStyle name="F2" xfId="588"/>
    <cellStyle name="F2 10" xfId="589"/>
    <cellStyle name="F2 10 2" xfId="590"/>
    <cellStyle name="F2 11" xfId="591"/>
    <cellStyle name="F2 11 2" xfId="592"/>
    <cellStyle name="F2 12" xfId="593"/>
    <cellStyle name="F2 12 2" xfId="594"/>
    <cellStyle name="F2 13" xfId="595"/>
    <cellStyle name="F2 13 2" xfId="596"/>
    <cellStyle name="F2 14" xfId="597"/>
    <cellStyle name="F2 14 2" xfId="598"/>
    <cellStyle name="F2 15" xfId="599"/>
    <cellStyle name="F2 15 2" xfId="600"/>
    <cellStyle name="F2 16" xfId="601"/>
    <cellStyle name="F2 16 2" xfId="602"/>
    <cellStyle name="F2 17" xfId="603"/>
    <cellStyle name="F2 17 2" xfId="604"/>
    <cellStyle name="F2 18" xfId="605"/>
    <cellStyle name="F2 18 2" xfId="606"/>
    <cellStyle name="F2 19" xfId="607"/>
    <cellStyle name="F2 19 2" xfId="608"/>
    <cellStyle name="F2 2" xfId="609"/>
    <cellStyle name="F2 2 2" xfId="610"/>
    <cellStyle name="F2 2 3" xfId="611"/>
    <cellStyle name="F2 2 4" xfId="612"/>
    <cellStyle name="F2 2 5" xfId="613"/>
    <cellStyle name="F2 2 6" xfId="614"/>
    <cellStyle name="F2 20" xfId="615"/>
    <cellStyle name="F2 20 2" xfId="616"/>
    <cellStyle name="F2 21" xfId="617"/>
    <cellStyle name="F2 21 2" xfId="618"/>
    <cellStyle name="F2 22" xfId="619"/>
    <cellStyle name="F2 22 2" xfId="620"/>
    <cellStyle name="F2 23" xfId="621"/>
    <cellStyle name="F2 23 2" xfId="622"/>
    <cellStyle name="F2 24" xfId="623"/>
    <cellStyle name="F2 24 2" xfId="624"/>
    <cellStyle name="F2 25" xfId="625"/>
    <cellStyle name="F2 25 2" xfId="626"/>
    <cellStyle name="F2 26" xfId="627"/>
    <cellStyle name="F2 26 2" xfId="628"/>
    <cellStyle name="F2 27" xfId="629"/>
    <cellStyle name="F2 27 2" xfId="630"/>
    <cellStyle name="F2 28" xfId="631"/>
    <cellStyle name="F2 28 2" xfId="632"/>
    <cellStyle name="F2 29" xfId="633"/>
    <cellStyle name="F2 29 2" xfId="634"/>
    <cellStyle name="F2 3" xfId="635"/>
    <cellStyle name="F2 3 2" xfId="636"/>
    <cellStyle name="F2 3 3" xfId="637"/>
    <cellStyle name="F2 3 4" xfId="638"/>
    <cellStyle name="F2 3 5" xfId="639"/>
    <cellStyle name="F2 3 6" xfId="640"/>
    <cellStyle name="F2 30" xfId="641"/>
    <cellStyle name="F2 30 2" xfId="642"/>
    <cellStyle name="F2 31" xfId="643"/>
    <cellStyle name="F2 31 2" xfId="644"/>
    <cellStyle name="F2 32" xfId="645"/>
    <cellStyle name="F2 32 2" xfId="646"/>
    <cellStyle name="F2 33" xfId="647"/>
    <cellStyle name="F2 33 2" xfId="648"/>
    <cellStyle name="F2 34" xfId="649"/>
    <cellStyle name="F2 34 2" xfId="650"/>
    <cellStyle name="F2 35" xfId="651"/>
    <cellStyle name="F2 35 2" xfId="652"/>
    <cellStyle name="F2 36" xfId="653"/>
    <cellStyle name="F2 36 2" xfId="654"/>
    <cellStyle name="F2 37" xfId="655"/>
    <cellStyle name="F2 38" xfId="656"/>
    <cellStyle name="F2 39" xfId="657"/>
    <cellStyle name="F2 4" xfId="658"/>
    <cellStyle name="F2 4 2" xfId="659"/>
    <cellStyle name="F2 4 3" xfId="660"/>
    <cellStyle name="F2 4 4" xfId="661"/>
    <cellStyle name="F2 4 5" xfId="662"/>
    <cellStyle name="F2 4 6" xfId="663"/>
    <cellStyle name="F2 40" xfId="664"/>
    <cellStyle name="F2 41" xfId="665"/>
    <cellStyle name="F2 42" xfId="666"/>
    <cellStyle name="F2 43" xfId="667"/>
    <cellStyle name="F2 44" xfId="668"/>
    <cellStyle name="F2 45" xfId="669"/>
    <cellStyle name="F2 46" xfId="670"/>
    <cellStyle name="F2 47" xfId="671"/>
    <cellStyle name="F2 48" xfId="672"/>
    <cellStyle name="F2 49" xfId="673"/>
    <cellStyle name="F2 5" xfId="674"/>
    <cellStyle name="F2 5 2" xfId="675"/>
    <cellStyle name="F2 50" xfId="676"/>
    <cellStyle name="F2 51" xfId="677"/>
    <cellStyle name="F2 52" xfId="678"/>
    <cellStyle name="F2 53" xfId="679"/>
    <cellStyle name="F2 54" xfId="680"/>
    <cellStyle name="F2 55" xfId="681"/>
    <cellStyle name="F2 56" xfId="682"/>
    <cellStyle name="F2 57" xfId="683"/>
    <cellStyle name="F2 6" xfId="684"/>
    <cellStyle name="F2 6 2" xfId="685"/>
    <cellStyle name="F2 7" xfId="686"/>
    <cellStyle name="F2 7 2" xfId="687"/>
    <cellStyle name="F2 8" xfId="688"/>
    <cellStyle name="F2 8 2" xfId="689"/>
    <cellStyle name="F2 9" xfId="690"/>
    <cellStyle name="F2 9 2" xfId="691"/>
    <cellStyle name="F3" xfId="692"/>
    <cellStyle name="F3 10" xfId="693"/>
    <cellStyle name="F3 10 2" xfId="694"/>
    <cellStyle name="F3 11" xfId="695"/>
    <cellStyle name="F3 11 2" xfId="696"/>
    <cellStyle name="F3 12" xfId="697"/>
    <cellStyle name="F3 12 2" xfId="698"/>
    <cellStyle name="F3 13" xfId="699"/>
    <cellStyle name="F3 13 2" xfId="700"/>
    <cellStyle name="F3 14" xfId="701"/>
    <cellStyle name="F3 14 2" xfId="702"/>
    <cellStyle name="F3 15" xfId="703"/>
    <cellStyle name="F3 15 2" xfId="704"/>
    <cellStyle name="F3 16" xfId="705"/>
    <cellStyle name="F3 17" xfId="706"/>
    <cellStyle name="F3 18" xfId="707"/>
    <cellStyle name="F3 19" xfId="708"/>
    <cellStyle name="F3 2" xfId="709"/>
    <cellStyle name="F3 2 2" xfId="710"/>
    <cellStyle name="F3 20" xfId="711"/>
    <cellStyle name="F3 21" xfId="712"/>
    <cellStyle name="F3 22" xfId="713"/>
    <cellStyle name="F3 23" xfId="714"/>
    <cellStyle name="F3 24" xfId="715"/>
    <cellStyle name="F3 25" xfId="716"/>
    <cellStyle name="F3 26" xfId="717"/>
    <cellStyle name="F3 27" xfId="718"/>
    <cellStyle name="F3 28" xfId="719"/>
    <cellStyle name="F3 29" xfId="720"/>
    <cellStyle name="F3 3" xfId="721"/>
    <cellStyle name="F3 3 2" xfId="722"/>
    <cellStyle name="F3 30" xfId="723"/>
    <cellStyle name="F3 31" xfId="724"/>
    <cellStyle name="F3 32" xfId="725"/>
    <cellStyle name="F3 33" xfId="726"/>
    <cellStyle name="F3 34" xfId="727"/>
    <cellStyle name="F3 35" xfId="728"/>
    <cellStyle name="F3 36" xfId="729"/>
    <cellStyle name="F3 37" xfId="730"/>
    <cellStyle name="F3 38" xfId="731"/>
    <cellStyle name="F3 39" xfId="732"/>
    <cellStyle name="F3 4" xfId="733"/>
    <cellStyle name="F3 4 2" xfId="734"/>
    <cellStyle name="F3 40" xfId="735"/>
    <cellStyle name="F3 41" xfId="736"/>
    <cellStyle name="F3 42" xfId="737"/>
    <cellStyle name="F3 43" xfId="738"/>
    <cellStyle name="F3 44" xfId="739"/>
    <cellStyle name="F3 45" xfId="740"/>
    <cellStyle name="F3 46" xfId="741"/>
    <cellStyle name="F3 47" xfId="742"/>
    <cellStyle name="F3 48" xfId="743"/>
    <cellStyle name="F3 49" xfId="744"/>
    <cellStyle name="F3 5" xfId="745"/>
    <cellStyle name="F3 5 2" xfId="746"/>
    <cellStyle name="F3 50" xfId="747"/>
    <cellStyle name="F3 51" xfId="748"/>
    <cellStyle name="F3 52" xfId="749"/>
    <cellStyle name="F3 53" xfId="750"/>
    <cellStyle name="F3 6" xfId="751"/>
    <cellStyle name="F3 6 2" xfId="752"/>
    <cellStyle name="F3 7" xfId="753"/>
    <cellStyle name="F3 7 2" xfId="754"/>
    <cellStyle name="F3 8" xfId="755"/>
    <cellStyle name="F3 8 2" xfId="756"/>
    <cellStyle name="F3 9" xfId="757"/>
    <cellStyle name="F3 9 2" xfId="758"/>
    <cellStyle name="F4" xfId="759"/>
    <cellStyle name="F4 10" xfId="760"/>
    <cellStyle name="F4 10 2" xfId="761"/>
    <cellStyle name="F4 11" xfId="762"/>
    <cellStyle name="F4 11 2" xfId="763"/>
    <cellStyle name="F4 12" xfId="764"/>
    <cellStyle name="F4 12 2" xfId="765"/>
    <cellStyle name="F4 13" xfId="766"/>
    <cellStyle name="F4 13 2" xfId="767"/>
    <cellStyle name="F4 14" xfId="768"/>
    <cellStyle name="F4 14 2" xfId="769"/>
    <cellStyle name="F4 15" xfId="770"/>
    <cellStyle name="F4 15 2" xfId="771"/>
    <cellStyle name="F4 16" xfId="772"/>
    <cellStyle name="F4 17" xfId="773"/>
    <cellStyle name="F4 18" xfId="774"/>
    <cellStyle name="F4 19" xfId="775"/>
    <cellStyle name="F4 2" xfId="776"/>
    <cellStyle name="F4 2 2" xfId="777"/>
    <cellStyle name="F4 20" xfId="778"/>
    <cellStyle name="F4 21" xfId="779"/>
    <cellStyle name="F4 22" xfId="780"/>
    <cellStyle name="F4 23" xfId="781"/>
    <cellStyle name="F4 24" xfId="782"/>
    <cellStyle name="F4 25" xfId="783"/>
    <cellStyle name="F4 26" xfId="784"/>
    <cellStyle name="F4 27" xfId="785"/>
    <cellStyle name="F4 28" xfId="786"/>
    <cellStyle name="F4 29" xfId="787"/>
    <cellStyle name="F4 3" xfId="788"/>
    <cellStyle name="F4 3 2" xfId="789"/>
    <cellStyle name="F4 30" xfId="790"/>
    <cellStyle name="F4 31" xfId="791"/>
    <cellStyle name="F4 32" xfId="792"/>
    <cellStyle name="F4 33" xfId="793"/>
    <cellStyle name="F4 34" xfId="794"/>
    <cellStyle name="F4 35" xfId="795"/>
    <cellStyle name="F4 36" xfId="796"/>
    <cellStyle name="F4 37" xfId="797"/>
    <cellStyle name="F4 38" xfId="798"/>
    <cellStyle name="F4 39" xfId="799"/>
    <cellStyle name="F4 4" xfId="800"/>
    <cellStyle name="F4 4 2" xfId="801"/>
    <cellStyle name="F4 40" xfId="802"/>
    <cellStyle name="F4 41" xfId="803"/>
    <cellStyle name="F4 42" xfId="804"/>
    <cellStyle name="F4 43" xfId="805"/>
    <cellStyle name="F4 44" xfId="806"/>
    <cellStyle name="F4 45" xfId="807"/>
    <cellStyle name="F4 46" xfId="808"/>
    <cellStyle name="F4 47" xfId="809"/>
    <cellStyle name="F4 48" xfId="810"/>
    <cellStyle name="F4 49" xfId="811"/>
    <cellStyle name="F4 5" xfId="812"/>
    <cellStyle name="F4 5 2" xfId="813"/>
    <cellStyle name="F4 50" xfId="814"/>
    <cellStyle name="F4 51" xfId="815"/>
    <cellStyle name="F4 52" xfId="816"/>
    <cellStyle name="F4 53" xfId="817"/>
    <cellStyle name="F4 6" xfId="818"/>
    <cellStyle name="F4 6 2" xfId="819"/>
    <cellStyle name="F4 7" xfId="820"/>
    <cellStyle name="F4 7 2" xfId="821"/>
    <cellStyle name="F4 8" xfId="822"/>
    <cellStyle name="F4 8 2" xfId="823"/>
    <cellStyle name="F4 9" xfId="824"/>
    <cellStyle name="F4 9 2" xfId="825"/>
    <cellStyle name="F5" xfId="826"/>
    <cellStyle name="F5 10" xfId="827"/>
    <cellStyle name="F5 10 2" xfId="828"/>
    <cellStyle name="F5 11" xfId="829"/>
    <cellStyle name="F5 11 2" xfId="830"/>
    <cellStyle name="F5 12" xfId="831"/>
    <cellStyle name="F5 12 2" xfId="832"/>
    <cellStyle name="F5 13" xfId="833"/>
    <cellStyle name="F5 13 2" xfId="834"/>
    <cellStyle name="F5 14" xfId="835"/>
    <cellStyle name="F5 14 2" xfId="836"/>
    <cellStyle name="F5 15" xfId="837"/>
    <cellStyle name="F5 15 2" xfId="838"/>
    <cellStyle name="F5 16" xfId="839"/>
    <cellStyle name="F5 17" xfId="840"/>
    <cellStyle name="F5 18" xfId="841"/>
    <cellStyle name="F5 19" xfId="842"/>
    <cellStyle name="F5 2" xfId="843"/>
    <cellStyle name="F5 2 2" xfId="844"/>
    <cellStyle name="F5 20" xfId="845"/>
    <cellStyle name="F5 21" xfId="846"/>
    <cellStyle name="F5 22" xfId="847"/>
    <cellStyle name="F5 23" xfId="848"/>
    <cellStyle name="F5 24" xfId="849"/>
    <cellStyle name="F5 25" xfId="850"/>
    <cellStyle name="F5 26" xfId="851"/>
    <cellStyle name="F5 27" xfId="852"/>
    <cellStyle name="F5 28" xfId="853"/>
    <cellStyle name="F5 29" xfId="854"/>
    <cellStyle name="F5 3" xfId="855"/>
    <cellStyle name="F5 3 2" xfId="856"/>
    <cellStyle name="F5 30" xfId="857"/>
    <cellStyle name="F5 31" xfId="858"/>
    <cellStyle name="F5 32" xfId="859"/>
    <cellStyle name="F5 33" xfId="860"/>
    <cellStyle name="F5 34" xfId="861"/>
    <cellStyle name="F5 35" xfId="862"/>
    <cellStyle name="F5 36" xfId="863"/>
    <cellStyle name="F5 37" xfId="864"/>
    <cellStyle name="F5 38" xfId="865"/>
    <cellStyle name="F5 39" xfId="866"/>
    <cellStyle name="F5 4" xfId="867"/>
    <cellStyle name="F5 4 2" xfId="868"/>
    <cellStyle name="F5 40" xfId="869"/>
    <cellStyle name="F5 41" xfId="870"/>
    <cellStyle name="F5 42" xfId="871"/>
    <cellStyle name="F5 43" xfId="872"/>
    <cellStyle name="F5 44" xfId="873"/>
    <cellStyle name="F5 45" xfId="874"/>
    <cellStyle name="F5 46" xfId="875"/>
    <cellStyle name="F5 47" xfId="876"/>
    <cellStyle name="F5 48" xfId="877"/>
    <cellStyle name="F5 49" xfId="878"/>
    <cellStyle name="F5 5" xfId="879"/>
    <cellStyle name="F5 5 2" xfId="880"/>
    <cellStyle name="F5 50" xfId="881"/>
    <cellStyle name="F5 51" xfId="882"/>
    <cellStyle name="F5 52" xfId="883"/>
    <cellStyle name="F5 53" xfId="884"/>
    <cellStyle name="F5 6" xfId="885"/>
    <cellStyle name="F5 6 2" xfId="886"/>
    <cellStyle name="F5 7" xfId="887"/>
    <cellStyle name="F5 7 2" xfId="888"/>
    <cellStyle name="F5 8" xfId="889"/>
    <cellStyle name="F5 8 2" xfId="890"/>
    <cellStyle name="F5 9" xfId="891"/>
    <cellStyle name="F5 9 2" xfId="892"/>
    <cellStyle name="F6" xfId="893"/>
    <cellStyle name="F6 10" xfId="894"/>
    <cellStyle name="F6 10 2" xfId="895"/>
    <cellStyle name="F6 11" xfId="896"/>
    <cellStyle name="F6 11 2" xfId="897"/>
    <cellStyle name="F6 12" xfId="898"/>
    <cellStyle name="F6 12 2" xfId="899"/>
    <cellStyle name="F6 13" xfId="900"/>
    <cellStyle name="F6 13 2" xfId="901"/>
    <cellStyle name="F6 14" xfId="902"/>
    <cellStyle name="F6 14 2" xfId="903"/>
    <cellStyle name="F6 15" xfId="904"/>
    <cellStyle name="F6 15 2" xfId="905"/>
    <cellStyle name="F6 16" xfId="906"/>
    <cellStyle name="F6 17" xfId="907"/>
    <cellStyle name="F6 18" xfId="908"/>
    <cellStyle name="F6 19" xfId="909"/>
    <cellStyle name="F6 2" xfId="910"/>
    <cellStyle name="F6 2 2" xfId="911"/>
    <cellStyle name="F6 20" xfId="912"/>
    <cellStyle name="F6 21" xfId="913"/>
    <cellStyle name="F6 22" xfId="914"/>
    <cellStyle name="F6 23" xfId="915"/>
    <cellStyle name="F6 24" xfId="916"/>
    <cellStyle name="F6 25" xfId="917"/>
    <cellStyle name="F6 26" xfId="918"/>
    <cellStyle name="F6 27" xfId="919"/>
    <cellStyle name="F6 28" xfId="920"/>
    <cellStyle name="F6 29" xfId="921"/>
    <cellStyle name="F6 3" xfId="922"/>
    <cellStyle name="F6 3 2" xfId="923"/>
    <cellStyle name="F6 30" xfId="924"/>
    <cellStyle name="F6 31" xfId="925"/>
    <cellStyle name="F6 32" xfId="926"/>
    <cellStyle name="F6 33" xfId="927"/>
    <cellStyle name="F6 34" xfId="928"/>
    <cellStyle name="F6 35" xfId="929"/>
    <cellStyle name="F6 36" xfId="930"/>
    <cellStyle name="F6 37" xfId="931"/>
    <cellStyle name="F6 38" xfId="932"/>
    <cellStyle name="F6 39" xfId="933"/>
    <cellStyle name="F6 4" xfId="934"/>
    <cellStyle name="F6 4 2" xfId="935"/>
    <cellStyle name="F6 40" xfId="936"/>
    <cellStyle name="F6 41" xfId="937"/>
    <cellStyle name="F6 42" xfId="938"/>
    <cellStyle name="F6 43" xfId="939"/>
    <cellStyle name="F6 44" xfId="940"/>
    <cellStyle name="F6 45" xfId="941"/>
    <cellStyle name="F6 46" xfId="942"/>
    <cellStyle name="F6 47" xfId="943"/>
    <cellStyle name="F6 48" xfId="944"/>
    <cellStyle name="F6 49" xfId="945"/>
    <cellStyle name="F6 5" xfId="946"/>
    <cellStyle name="F6 5 2" xfId="947"/>
    <cellStyle name="F6 50" xfId="948"/>
    <cellStyle name="F6 51" xfId="949"/>
    <cellStyle name="F6 52" xfId="950"/>
    <cellStyle name="F6 53" xfId="951"/>
    <cellStyle name="F6 6" xfId="952"/>
    <cellStyle name="F6 6 2" xfId="953"/>
    <cellStyle name="F6 7" xfId="954"/>
    <cellStyle name="F6 7 2" xfId="955"/>
    <cellStyle name="F6 8" xfId="956"/>
    <cellStyle name="F6 8 2" xfId="957"/>
    <cellStyle name="F6 9" xfId="958"/>
    <cellStyle name="F6 9 2" xfId="959"/>
    <cellStyle name="F7" xfId="960"/>
    <cellStyle name="F7 10" xfId="961"/>
    <cellStyle name="F7 10 2" xfId="962"/>
    <cellStyle name="F7 11" xfId="963"/>
    <cellStyle name="F7 11 2" xfId="964"/>
    <cellStyle name="F7 12" xfId="965"/>
    <cellStyle name="F7 12 2" xfId="966"/>
    <cellStyle name="F7 13" xfId="967"/>
    <cellStyle name="F7 13 2" xfId="968"/>
    <cellStyle name="F7 14" xfId="969"/>
    <cellStyle name="F7 14 2" xfId="970"/>
    <cellStyle name="F7 15" xfId="971"/>
    <cellStyle name="F7 15 2" xfId="972"/>
    <cellStyle name="F7 16" xfId="973"/>
    <cellStyle name="F7 17" xfId="974"/>
    <cellStyle name="F7 18" xfId="975"/>
    <cellStyle name="F7 19" xfId="976"/>
    <cellStyle name="F7 2" xfId="977"/>
    <cellStyle name="F7 2 2" xfId="978"/>
    <cellStyle name="F7 20" xfId="979"/>
    <cellStyle name="F7 21" xfId="980"/>
    <cellStyle name="F7 22" xfId="981"/>
    <cellStyle name="F7 23" xfId="982"/>
    <cellStyle name="F7 24" xfId="983"/>
    <cellStyle name="F7 25" xfId="984"/>
    <cellStyle name="F7 26" xfId="985"/>
    <cellStyle name="F7 27" xfId="986"/>
    <cellStyle name="F7 28" xfId="987"/>
    <cellStyle name="F7 29" xfId="988"/>
    <cellStyle name="F7 3" xfId="989"/>
    <cellStyle name="F7 3 2" xfId="990"/>
    <cellStyle name="F7 30" xfId="991"/>
    <cellStyle name="F7 31" xfId="992"/>
    <cellStyle name="F7 32" xfId="993"/>
    <cellStyle name="F7 33" xfId="994"/>
    <cellStyle name="F7 34" xfId="995"/>
    <cellStyle name="F7 35" xfId="996"/>
    <cellStyle name="F7 36" xfId="997"/>
    <cellStyle name="F7 37" xfId="998"/>
    <cellStyle name="F7 38" xfId="999"/>
    <cellStyle name="F7 39" xfId="1000"/>
    <cellStyle name="F7 4" xfId="1001"/>
    <cellStyle name="F7 4 2" xfId="1002"/>
    <cellStyle name="F7 40" xfId="1003"/>
    <cellStyle name="F7 41" xfId="1004"/>
    <cellStyle name="F7 42" xfId="1005"/>
    <cellStyle name="F7 43" xfId="1006"/>
    <cellStyle name="F7 44" xfId="1007"/>
    <cellStyle name="F7 45" xfId="1008"/>
    <cellStyle name="F7 46" xfId="1009"/>
    <cellStyle name="F7 47" xfId="1010"/>
    <cellStyle name="F7 48" xfId="1011"/>
    <cellStyle name="F7 49" xfId="1012"/>
    <cellStyle name="F7 5" xfId="1013"/>
    <cellStyle name="F7 5 2" xfId="1014"/>
    <cellStyle name="F7 50" xfId="1015"/>
    <cellStyle name="F7 51" xfId="1016"/>
    <cellStyle name="F7 52" xfId="1017"/>
    <cellStyle name="F7 53" xfId="1018"/>
    <cellStyle name="F7 6" xfId="1019"/>
    <cellStyle name="F7 6 2" xfId="1020"/>
    <cellStyle name="F7 7" xfId="1021"/>
    <cellStyle name="F7 7 2" xfId="1022"/>
    <cellStyle name="F7 8" xfId="1023"/>
    <cellStyle name="F7 8 2" xfId="1024"/>
    <cellStyle name="F7 9" xfId="1025"/>
    <cellStyle name="F7 9 2" xfId="1026"/>
    <cellStyle name="F8" xfId="1027"/>
    <cellStyle name="F8 10" xfId="1028"/>
    <cellStyle name="F8 10 2" xfId="1029"/>
    <cellStyle name="F8 11" xfId="1030"/>
    <cellStyle name="F8 11 2" xfId="1031"/>
    <cellStyle name="F8 12" xfId="1032"/>
    <cellStyle name="F8 12 2" xfId="1033"/>
    <cellStyle name="F8 13" xfId="1034"/>
    <cellStyle name="F8 13 2" xfId="1035"/>
    <cellStyle name="F8 14" xfId="1036"/>
    <cellStyle name="F8 14 2" xfId="1037"/>
    <cellStyle name="F8 15" xfId="1038"/>
    <cellStyle name="F8 15 2" xfId="1039"/>
    <cellStyle name="F8 16" xfId="1040"/>
    <cellStyle name="F8 17" xfId="1041"/>
    <cellStyle name="F8 18" xfId="1042"/>
    <cellStyle name="F8 19" xfId="1043"/>
    <cellStyle name="F8 2" xfId="1044"/>
    <cellStyle name="F8 2 2" xfId="1045"/>
    <cellStyle name="F8 20" xfId="1046"/>
    <cellStyle name="F8 21" xfId="1047"/>
    <cellStyle name="F8 22" xfId="1048"/>
    <cellStyle name="F8 23" xfId="1049"/>
    <cellStyle name="F8 24" xfId="1050"/>
    <cellStyle name="F8 25" xfId="1051"/>
    <cellStyle name="F8 26" xfId="1052"/>
    <cellStyle name="F8 27" xfId="1053"/>
    <cellStyle name="F8 28" xfId="1054"/>
    <cellStyle name="F8 29" xfId="1055"/>
    <cellStyle name="F8 3" xfId="1056"/>
    <cellStyle name="F8 3 2" xfId="1057"/>
    <cellStyle name="F8 30" xfId="1058"/>
    <cellStyle name="F8 31" xfId="1059"/>
    <cellStyle name="F8 32" xfId="1060"/>
    <cellStyle name="F8 33" xfId="1061"/>
    <cellStyle name="F8 34" xfId="1062"/>
    <cellStyle name="F8 35" xfId="1063"/>
    <cellStyle name="F8 36" xfId="1064"/>
    <cellStyle name="F8 37" xfId="1065"/>
    <cellStyle name="F8 38" xfId="1066"/>
    <cellStyle name="F8 39" xfId="1067"/>
    <cellStyle name="F8 4" xfId="1068"/>
    <cellStyle name="F8 4 2" xfId="1069"/>
    <cellStyle name="F8 40" xfId="1070"/>
    <cellStyle name="F8 41" xfId="1071"/>
    <cellStyle name="F8 42" xfId="1072"/>
    <cellStyle name="F8 43" xfId="1073"/>
    <cellStyle name="F8 44" xfId="1074"/>
    <cellStyle name="F8 45" xfId="1075"/>
    <cellStyle name="F8 46" xfId="1076"/>
    <cellStyle name="F8 47" xfId="1077"/>
    <cellStyle name="F8 48" xfId="1078"/>
    <cellStyle name="F8 49" xfId="1079"/>
    <cellStyle name="F8 5" xfId="1080"/>
    <cellStyle name="F8 5 2" xfId="1081"/>
    <cellStyle name="F8 50" xfId="1082"/>
    <cellStyle name="F8 51" xfId="1083"/>
    <cellStyle name="F8 52" xfId="1084"/>
    <cellStyle name="F8 53" xfId="1085"/>
    <cellStyle name="F8 6" xfId="1086"/>
    <cellStyle name="F8 6 2" xfId="1087"/>
    <cellStyle name="F8 7" xfId="1088"/>
    <cellStyle name="F8 7 2" xfId="1089"/>
    <cellStyle name="F8 8" xfId="1090"/>
    <cellStyle name="F8 8 2" xfId="1091"/>
    <cellStyle name="F8 9" xfId="1092"/>
    <cellStyle name="F8 9 2" xfId="1093"/>
    <cellStyle name="Fixed" xfId="5"/>
    <cellStyle name="Fixed 10" xfId="1095"/>
    <cellStyle name="Fixed 11" xfId="1096"/>
    <cellStyle name="Fixed 12" xfId="1097"/>
    <cellStyle name="Fixed 13" xfId="1098"/>
    <cellStyle name="Fixed 14" xfId="1099"/>
    <cellStyle name="Fixed 15" xfId="1100"/>
    <cellStyle name="Fixed 15 2" xfId="1101"/>
    <cellStyle name="Fixed 16" xfId="1102"/>
    <cellStyle name="Fixed 17" xfId="1103"/>
    <cellStyle name="Fixed 18" xfId="1104"/>
    <cellStyle name="Fixed 19" xfId="1105"/>
    <cellStyle name="Fixed 2" xfId="1106"/>
    <cellStyle name="Fixed 20" xfId="1107"/>
    <cellStyle name="Fixed 21" xfId="1108"/>
    <cellStyle name="Fixed 22" xfId="1109"/>
    <cellStyle name="Fixed 23" xfId="1110"/>
    <cellStyle name="Fixed 24" xfId="1111"/>
    <cellStyle name="Fixed 25" xfId="1112"/>
    <cellStyle name="Fixed 26" xfId="1113"/>
    <cellStyle name="Fixed 27" xfId="1114"/>
    <cellStyle name="Fixed 28" xfId="1115"/>
    <cellStyle name="Fixed 29" xfId="1116"/>
    <cellStyle name="Fixed 3" xfId="1117"/>
    <cellStyle name="Fixed 30" xfId="1118"/>
    <cellStyle name="Fixed 31" xfId="1119"/>
    <cellStyle name="Fixed 32" xfId="1120"/>
    <cellStyle name="Fixed 33" xfId="1121"/>
    <cellStyle name="Fixed 34" xfId="1122"/>
    <cellStyle name="Fixed 35" xfId="1123"/>
    <cellStyle name="Fixed 36" xfId="1124"/>
    <cellStyle name="Fixed 37" xfId="1125"/>
    <cellStyle name="Fixed 38" xfId="1126"/>
    <cellStyle name="Fixed 39" xfId="1127"/>
    <cellStyle name="Fixed 4" xfId="1128"/>
    <cellStyle name="Fixed 40" xfId="1129"/>
    <cellStyle name="Fixed 41" xfId="1130"/>
    <cellStyle name="Fixed 42" xfId="1131"/>
    <cellStyle name="Fixed 43" xfId="1132"/>
    <cellStyle name="Fixed 44" xfId="1133"/>
    <cellStyle name="Fixed 45" xfId="1134"/>
    <cellStyle name="Fixed 46" xfId="1135"/>
    <cellStyle name="Fixed 47" xfId="1136"/>
    <cellStyle name="Fixed 48" xfId="1137"/>
    <cellStyle name="Fixed 49" xfId="1138"/>
    <cellStyle name="Fixed 5" xfId="1139"/>
    <cellStyle name="Fixed 50" xfId="1140"/>
    <cellStyle name="Fixed 51" xfId="1141"/>
    <cellStyle name="Fixed 52" xfId="1142"/>
    <cellStyle name="Fixed 53" xfId="1143"/>
    <cellStyle name="Fixed 54" xfId="1144"/>
    <cellStyle name="Fixed 55" xfId="1145"/>
    <cellStyle name="Fixed 56" xfId="1146"/>
    <cellStyle name="Fixed 57" xfId="1147"/>
    <cellStyle name="Fixed 58" xfId="1148"/>
    <cellStyle name="Fixed 59" xfId="1094"/>
    <cellStyle name="Fixed 6" xfId="1149"/>
    <cellStyle name="Fixed 7" xfId="1150"/>
    <cellStyle name="Fixed 8" xfId="1151"/>
    <cellStyle name="Fixed 9" xfId="1152"/>
    <cellStyle name="Good" xfId="15" builtinId="26" customBuiltin="1"/>
    <cellStyle name="Heading 1" xfId="6" builtinId="16" customBuiltin="1"/>
    <cellStyle name="Heading 1 10" xfId="1240"/>
    <cellStyle name="Heading 1 10 2" xfId="1154"/>
    <cellStyle name="Heading 1 10 3" xfId="1155"/>
    <cellStyle name="Heading 1 10 4" xfId="1156"/>
    <cellStyle name="Heading 1 10 5" xfId="1157"/>
    <cellStyle name="Heading 1 10 6" xfId="1158"/>
    <cellStyle name="Heading 1 11" xfId="1241"/>
    <cellStyle name="Heading 1 11 2" xfId="1159"/>
    <cellStyle name="Heading 1 11 3" xfId="1160"/>
    <cellStyle name="Heading 1 11 4" xfId="1161"/>
    <cellStyle name="Heading 1 11 5" xfId="1162"/>
    <cellStyle name="Heading 1 11 6" xfId="1163"/>
    <cellStyle name="Heading 1 12" xfId="1242"/>
    <cellStyle name="Heading 1 12 2" xfId="1164"/>
    <cellStyle name="Heading 1 13" xfId="1243"/>
    <cellStyle name="Heading 1 13 2" xfId="1165"/>
    <cellStyle name="Heading 1 14" xfId="1244"/>
    <cellStyle name="Heading 1 14 2" xfId="1166"/>
    <cellStyle name="Heading 1 15" xfId="1245"/>
    <cellStyle name="Heading 1 15 2" xfId="1167"/>
    <cellStyle name="Heading 1 16" xfId="1246"/>
    <cellStyle name="Heading 1 16 2" xfId="1168"/>
    <cellStyle name="Heading 1 17" xfId="1247"/>
    <cellStyle name="Heading 1 17 2" xfId="1169"/>
    <cellStyle name="Heading 1 18" xfId="1248"/>
    <cellStyle name="Heading 1 18 2" xfId="1170"/>
    <cellStyle name="Heading 1 19" xfId="1249"/>
    <cellStyle name="Heading 1 19 2" xfId="1171"/>
    <cellStyle name="Heading 1 2" xfId="1250"/>
    <cellStyle name="Heading 1 2 2" xfId="1172"/>
    <cellStyle name="Heading 1 2 3" xfId="1173"/>
    <cellStyle name="Heading 1 2 4" xfId="1174"/>
    <cellStyle name="Heading 1 2 5" xfId="1175"/>
    <cellStyle name="Heading 1 2 6" xfId="1176"/>
    <cellStyle name="Heading 1 2 7" xfId="1177"/>
    <cellStyle name="Heading 1 20" xfId="1252"/>
    <cellStyle name="Heading 1 20 2" xfId="1178"/>
    <cellStyle name="Heading 1 21" xfId="1253"/>
    <cellStyle name="Heading 1 21 2" xfId="1179"/>
    <cellStyle name="Heading 1 22" xfId="1254"/>
    <cellStyle name="Heading 1 22 2" xfId="1180"/>
    <cellStyle name="Heading 1 23" xfId="1255"/>
    <cellStyle name="Heading 1 23 2" xfId="1181"/>
    <cellStyle name="Heading 1 24" xfId="1256"/>
    <cellStyle name="Heading 1 24 2" xfId="1182"/>
    <cellStyle name="Heading 1 25" xfId="1257"/>
    <cellStyle name="Heading 1 25 2" xfId="1183"/>
    <cellStyle name="Heading 1 26" xfId="1258"/>
    <cellStyle name="Heading 1 26 2" xfId="1184"/>
    <cellStyle name="Heading 1 27" xfId="1259"/>
    <cellStyle name="Heading 1 27 2" xfId="1185"/>
    <cellStyle name="Heading 1 28" xfId="1260"/>
    <cellStyle name="Heading 1 28 2" xfId="1186"/>
    <cellStyle name="Heading 1 29" xfId="1261"/>
    <cellStyle name="Heading 1 3" xfId="1262"/>
    <cellStyle name="Heading 1 3 2" xfId="1187"/>
    <cellStyle name="Heading 1 3 3" xfId="1188"/>
    <cellStyle name="Heading 1 3 4" xfId="1189"/>
    <cellStyle name="Heading 1 3 5" xfId="1190"/>
    <cellStyle name="Heading 1 3 6" xfId="1191"/>
    <cellStyle name="Heading 1 3 7" xfId="1192"/>
    <cellStyle name="Heading 1 30" xfId="1264"/>
    <cellStyle name="Heading 1 31" xfId="1265"/>
    <cellStyle name="Heading 1 32" xfId="1266"/>
    <cellStyle name="Heading 1 33" xfId="1267"/>
    <cellStyle name="Heading 1 34" xfId="1268"/>
    <cellStyle name="Heading 1 35" xfId="1269"/>
    <cellStyle name="Heading 1 36" xfId="1270"/>
    <cellStyle name="Heading 1 36 2" xfId="1193"/>
    <cellStyle name="Heading 1 37" xfId="1271"/>
    <cellStyle name="Heading 1 37 2" xfId="1194"/>
    <cellStyle name="Heading 1 38" xfId="1272"/>
    <cellStyle name="Heading 1 38 2" xfId="1195"/>
    <cellStyle name="Heading 1 39" xfId="1273"/>
    <cellStyle name="Heading 1 39 2" xfId="1196"/>
    <cellStyle name="Heading 1 4" xfId="1274"/>
    <cellStyle name="Heading 1 4 2" xfId="1197"/>
    <cellStyle name="Heading 1 4 3" xfId="1198"/>
    <cellStyle name="Heading 1 4 4" xfId="1199"/>
    <cellStyle name="Heading 1 4 5" xfId="1200"/>
    <cellStyle name="Heading 1 4 6" xfId="1201"/>
    <cellStyle name="Heading 1 40" xfId="1275"/>
    <cellStyle name="Heading 1 40 2" xfId="1202"/>
    <cellStyle name="Heading 1 41" xfId="1276"/>
    <cellStyle name="Heading 1 41 2" xfId="1203"/>
    <cellStyle name="Heading 1 42" xfId="1277"/>
    <cellStyle name="Heading 1 42 2" xfId="1204"/>
    <cellStyle name="Heading 1 43" xfId="1278"/>
    <cellStyle name="Heading 1 43 2" xfId="1205"/>
    <cellStyle name="Heading 1 44" xfId="1279"/>
    <cellStyle name="Heading 1 45" xfId="1280"/>
    <cellStyle name="Heading 1 46" xfId="1281"/>
    <cellStyle name="Heading 1 47" xfId="1282"/>
    <cellStyle name="Heading 1 48" xfId="1283"/>
    <cellStyle name="Heading 1 49" xfId="1284"/>
    <cellStyle name="Heading 1 5" xfId="1285"/>
    <cellStyle name="Heading 1 5 2" xfId="1206"/>
    <cellStyle name="Heading 1 5 3" xfId="1207"/>
    <cellStyle name="Heading 1 5 4" xfId="1208"/>
    <cellStyle name="Heading 1 5 5" xfId="1209"/>
    <cellStyle name="Heading 1 5 6" xfId="1210"/>
    <cellStyle name="Heading 1 50" xfId="1211"/>
    <cellStyle name="Heading 1 51" xfId="1212"/>
    <cellStyle name="Heading 1 52" xfId="1213"/>
    <cellStyle name="Heading 1 53" xfId="1214"/>
    <cellStyle name="Heading 1 54" xfId="1215"/>
    <cellStyle name="Heading 1 55" xfId="1216"/>
    <cellStyle name="Heading 1 56" xfId="1217"/>
    <cellStyle name="Heading 1 57" xfId="1218"/>
    <cellStyle name="Heading 1 58" xfId="1153"/>
    <cellStyle name="Heading 1 6" xfId="1286"/>
    <cellStyle name="Heading 1 6 2" xfId="1219"/>
    <cellStyle name="Heading 1 6 3" xfId="1220"/>
    <cellStyle name="Heading 1 6 4" xfId="1221"/>
    <cellStyle name="Heading 1 6 5" xfId="1222"/>
    <cellStyle name="Heading 1 6 6" xfId="1223"/>
    <cellStyle name="Heading 1 7" xfId="1287"/>
    <cellStyle name="Heading 1 7 2" xfId="1224"/>
    <cellStyle name="Heading 1 7 3" xfId="1225"/>
    <cellStyle name="Heading 1 7 4" xfId="1226"/>
    <cellStyle name="Heading 1 7 5" xfId="1227"/>
    <cellStyle name="Heading 1 7 6" xfId="1228"/>
    <cellStyle name="Heading 1 8" xfId="1288"/>
    <cellStyle name="Heading 1 8 2" xfId="1229"/>
    <cellStyle name="Heading 1 8 3" xfId="1230"/>
    <cellStyle name="Heading 1 8 4" xfId="1231"/>
    <cellStyle name="Heading 1 8 5" xfId="1232"/>
    <cellStyle name="Heading 1 8 6" xfId="1233"/>
    <cellStyle name="Heading 1 9" xfId="1289"/>
    <cellStyle name="Heading 1 9 2" xfId="1234"/>
    <cellStyle name="Heading 1 9 3" xfId="1235"/>
    <cellStyle name="Heading 1 9 4" xfId="1236"/>
    <cellStyle name="Heading 1 9 5" xfId="1237"/>
    <cellStyle name="Heading 1 9 6" xfId="1238"/>
    <cellStyle name="Heading 2" xfId="7" builtinId="17" customBuiltin="1"/>
    <cellStyle name="Heading 2 10" xfId="1240"/>
    <cellStyle name="Heading 2 11" xfId="1241"/>
    <cellStyle name="Heading 2 12" xfId="1242"/>
    <cellStyle name="Heading 2 13" xfId="1243"/>
    <cellStyle name="Heading 2 14" xfId="1244"/>
    <cellStyle name="Heading 2 15" xfId="1245"/>
    <cellStyle name="Heading 2 16" xfId="1246"/>
    <cellStyle name="Heading 2 17" xfId="1247"/>
    <cellStyle name="Heading 2 18" xfId="1248"/>
    <cellStyle name="Heading 2 19" xfId="1249"/>
    <cellStyle name="Heading 2 2" xfId="1250"/>
    <cellStyle name="Heading 2 2 2" xfId="1251"/>
    <cellStyle name="Heading 2 20" xfId="1252"/>
    <cellStyle name="Heading 2 21" xfId="1253"/>
    <cellStyle name="Heading 2 22" xfId="1254"/>
    <cellStyle name="Heading 2 23" xfId="1255"/>
    <cellStyle name="Heading 2 24" xfId="1256"/>
    <cellStyle name="Heading 2 25" xfId="1257"/>
    <cellStyle name="Heading 2 26" xfId="1258"/>
    <cellStyle name="Heading 2 27" xfId="1259"/>
    <cellStyle name="Heading 2 28" xfId="1260"/>
    <cellStyle name="Heading 2 29" xfId="1261"/>
    <cellStyle name="Heading 2 3" xfId="1262"/>
    <cellStyle name="Heading 2 3 2" xfId="1263"/>
    <cellStyle name="Heading 2 30" xfId="1264"/>
    <cellStyle name="Heading 2 31" xfId="1265"/>
    <cellStyle name="Heading 2 32" xfId="1266"/>
    <cellStyle name="Heading 2 33" xfId="1267"/>
    <cellStyle name="Heading 2 34" xfId="1268"/>
    <cellStyle name="Heading 2 35" xfId="1269"/>
    <cellStyle name="Heading 2 36" xfId="1270"/>
    <cellStyle name="Heading 2 37" xfId="1271"/>
    <cellStyle name="Heading 2 38" xfId="1272"/>
    <cellStyle name="Heading 2 39" xfId="1273"/>
    <cellStyle name="Heading 2 4" xfId="1274"/>
    <cellStyle name="Heading 2 40" xfId="1275"/>
    <cellStyle name="Heading 2 41" xfId="1276"/>
    <cellStyle name="Heading 2 42" xfId="1277"/>
    <cellStyle name="Heading 2 43" xfId="1278"/>
    <cellStyle name="Heading 2 44" xfId="1279"/>
    <cellStyle name="Heading 2 45" xfId="1280"/>
    <cellStyle name="Heading 2 46" xfId="1281"/>
    <cellStyle name="Heading 2 47" xfId="1282"/>
    <cellStyle name="Heading 2 48" xfId="1283"/>
    <cellStyle name="Heading 2 49" xfId="1284"/>
    <cellStyle name="Heading 2 5" xfId="1285"/>
    <cellStyle name="Heading 2 50" xfId="1239"/>
    <cellStyle name="Heading 2 6" xfId="1286"/>
    <cellStyle name="Heading 2 7" xfId="1287"/>
    <cellStyle name="Heading 2 8" xfId="1288"/>
    <cellStyle name="Heading 2 9" xfId="1289"/>
    <cellStyle name="Heading 3" xfId="13" builtinId="18" customBuiltin="1"/>
    <cellStyle name="Heading 4" xfId="14" builtinId="19" customBuiltin="1"/>
    <cellStyle name="HEADING1" xfId="1290"/>
    <cellStyle name="HEADING1 10" xfId="1291"/>
    <cellStyle name="HEADING1 11" xfId="1292"/>
    <cellStyle name="HEADING1 12" xfId="1293"/>
    <cellStyle name="HEADING1 13" xfId="1294"/>
    <cellStyle name="HEADING1 14" xfId="1295"/>
    <cellStyle name="HEADING1 15" xfId="1296"/>
    <cellStyle name="HEADING1 16" xfId="1297"/>
    <cellStyle name="HEADING1 17" xfId="1298"/>
    <cellStyle name="HEADING1 18" xfId="1299"/>
    <cellStyle name="HEADING1 19" xfId="1300"/>
    <cellStyle name="HEADING1 2" xfId="1301"/>
    <cellStyle name="HEADING1 20" xfId="1302"/>
    <cellStyle name="HEADING1 21" xfId="1303"/>
    <cellStyle name="HEADING1 22" xfId="1304"/>
    <cellStyle name="HEADING1 23" xfId="1305"/>
    <cellStyle name="HEADING1 24" xfId="1306"/>
    <cellStyle name="HEADING1 25" xfId="1307"/>
    <cellStyle name="HEADING1 26" xfId="1308"/>
    <cellStyle name="HEADING1 27" xfId="1309"/>
    <cellStyle name="HEADING1 28" xfId="1310"/>
    <cellStyle name="HEADING1 29" xfId="1311"/>
    <cellStyle name="HEADING1 3" xfId="1312"/>
    <cellStyle name="HEADING1 30" xfId="1313"/>
    <cellStyle name="HEADING1 31" xfId="1314"/>
    <cellStyle name="HEADING1 32" xfId="1315"/>
    <cellStyle name="HEADING1 33" xfId="1316"/>
    <cellStyle name="HEADING1 34" xfId="1350"/>
    <cellStyle name="HEADING1 4" xfId="1317"/>
    <cellStyle name="HEADING1 5" xfId="1318"/>
    <cellStyle name="HEADING1 6" xfId="1319"/>
    <cellStyle name="HEADING1 7" xfId="1320"/>
    <cellStyle name="HEADING1 8" xfId="1321"/>
    <cellStyle name="HEADING1 9" xfId="1322"/>
    <cellStyle name="HEADING2" xfId="1323"/>
    <cellStyle name="HEADING2 10" xfId="1324"/>
    <cellStyle name="HEADING2 11" xfId="1325"/>
    <cellStyle name="HEADING2 12" xfId="1326"/>
    <cellStyle name="HEADING2 13" xfId="1327"/>
    <cellStyle name="HEADING2 14" xfId="1328"/>
    <cellStyle name="HEADING2 15" xfId="1329"/>
    <cellStyle name="HEADING2 16" xfId="1330"/>
    <cellStyle name="HEADING2 17" xfId="1331"/>
    <cellStyle name="HEADING2 18" xfId="1332"/>
    <cellStyle name="HEADING2 19" xfId="1333"/>
    <cellStyle name="HEADING2 2" xfId="1334"/>
    <cellStyle name="HEADING2 20" xfId="1335"/>
    <cellStyle name="HEADING2 21" xfId="1336"/>
    <cellStyle name="HEADING2 22" xfId="1337"/>
    <cellStyle name="HEADING2 23" xfId="1338"/>
    <cellStyle name="HEADING2 24" xfId="1339"/>
    <cellStyle name="HEADING2 25" xfId="1340"/>
    <cellStyle name="HEADING2 26" xfId="1341"/>
    <cellStyle name="HEADING2 27" xfId="1342"/>
    <cellStyle name="HEADING2 28" xfId="1343"/>
    <cellStyle name="HEADING2 29" xfId="1344"/>
    <cellStyle name="HEADING2 3" xfId="1345"/>
    <cellStyle name="HEADING2 30" xfId="1346"/>
    <cellStyle name="HEADING2 31" xfId="1347"/>
    <cellStyle name="HEADING2 32" xfId="1348"/>
    <cellStyle name="HEADING2 33" xfId="1349"/>
    <cellStyle name="HEADING2 34" xfId="1350"/>
    <cellStyle name="HEADING2 4" xfId="1351"/>
    <cellStyle name="HEADING2 5" xfId="1352"/>
    <cellStyle name="HEADING2 6" xfId="1353"/>
    <cellStyle name="HEADING2 7" xfId="1354"/>
    <cellStyle name="HEADING2 8" xfId="1355"/>
    <cellStyle name="HEADING2 9" xfId="1356"/>
    <cellStyle name="Input" xfId="18" builtinId="20" customBuiltin="1"/>
    <cellStyle name="Linked Cell" xfId="21" builtinId="24" customBuiltin="1"/>
    <cellStyle name="Neutral" xfId="17" builtinId="28" customBuiltin="1"/>
    <cellStyle name="Normal" xfId="0" builtinId="0"/>
    <cellStyle name="Normal 10" xfId="1357"/>
    <cellStyle name="Normal 11" xfId="1358"/>
    <cellStyle name="Normal 12" xfId="1359"/>
    <cellStyle name="Normal 13" xfId="1360"/>
    <cellStyle name="Normal 14" xfId="1361"/>
    <cellStyle name="Normal 15" xfId="1362"/>
    <cellStyle name="Normal 16" xfId="1363"/>
    <cellStyle name="Normal 17" xfId="1364"/>
    <cellStyle name="Normal 18" xfId="1365"/>
    <cellStyle name="Normal 19" xfId="1366"/>
    <cellStyle name="Normal 2" xfId="1367"/>
    <cellStyle name="Normal 2 10" xfId="1368"/>
    <cellStyle name="Normal 2 11" xfId="1369"/>
    <cellStyle name="Normal 2 12" xfId="1370"/>
    <cellStyle name="Normal 2 13" xfId="1371"/>
    <cellStyle name="Normal 2 14" xfId="1372"/>
    <cellStyle name="Normal 2 15" xfId="1373"/>
    <cellStyle name="Normal 2 16" xfId="1374"/>
    <cellStyle name="Normal 2 17" xfId="1375"/>
    <cellStyle name="Normal 2 18" xfId="1376"/>
    <cellStyle name="Normal 2 19" xfId="1377"/>
    <cellStyle name="Normal 2 2" xfId="1378"/>
    <cellStyle name="Normal 2 2 2" xfId="1379"/>
    <cellStyle name="Normal 2 20" xfId="1380"/>
    <cellStyle name="Normal 2 21" xfId="1381"/>
    <cellStyle name="Normal 2 22" xfId="1382"/>
    <cellStyle name="Normal 2 23" xfId="1383"/>
    <cellStyle name="Normal 2 24" xfId="1384"/>
    <cellStyle name="Normal 2 25" xfId="1385"/>
    <cellStyle name="Normal 2 26" xfId="1386"/>
    <cellStyle name="Normal 2 27" xfId="1387"/>
    <cellStyle name="Normal 2 28" xfId="1388"/>
    <cellStyle name="Normal 2 29" xfId="1389"/>
    <cellStyle name="Normal 2 3" xfId="1390"/>
    <cellStyle name="Normal 2 30" xfId="1391"/>
    <cellStyle name="Normal 2 31" xfId="1392"/>
    <cellStyle name="Normal 2 32" xfId="1393"/>
    <cellStyle name="Normal 2 33" xfId="1394"/>
    <cellStyle name="Normal 2 34" xfId="1395"/>
    <cellStyle name="Normal 2 35" xfId="1396"/>
    <cellStyle name="Normal 2 36" xfId="1397"/>
    <cellStyle name="Normal 2 37" xfId="1398"/>
    <cellStyle name="Normal 2 38" xfId="1399"/>
    <cellStyle name="Normal 2 39" xfId="1400"/>
    <cellStyle name="Normal 2 4" xfId="1401"/>
    <cellStyle name="Normal 2 40" xfId="1402"/>
    <cellStyle name="Normal 2 41" xfId="1403"/>
    <cellStyle name="Normal 2 42" xfId="1404"/>
    <cellStyle name="Normal 2 43" xfId="1405"/>
    <cellStyle name="Normal 2 44" xfId="1406"/>
    <cellStyle name="Normal 2 45" xfId="1407"/>
    <cellStyle name="Normal 2 46" xfId="1408"/>
    <cellStyle name="Normal 2 47" xfId="1409"/>
    <cellStyle name="Normal 2 48" xfId="1410"/>
    <cellStyle name="Normal 2 49" xfId="1411"/>
    <cellStyle name="Normal 2 5" xfId="1412"/>
    <cellStyle name="Normal 2 50" xfId="1413"/>
    <cellStyle name="Normal 2 51" xfId="1414"/>
    <cellStyle name="Normal 2 52" xfId="1415"/>
    <cellStyle name="Normal 2 53" xfId="1416"/>
    <cellStyle name="Normal 2 54" xfId="1417"/>
    <cellStyle name="Normal 2 55" xfId="1418"/>
    <cellStyle name="Normal 2 56" xfId="1419"/>
    <cellStyle name="Normal 2 57" xfId="1420"/>
    <cellStyle name="Normal 2 58" xfId="1421"/>
    <cellStyle name="Normal 2 59" xfId="1422"/>
    <cellStyle name="Normal 2 6" xfId="1423"/>
    <cellStyle name="Normal 2 60" xfId="1424"/>
    <cellStyle name="Normal 2 7" xfId="1425"/>
    <cellStyle name="Normal 2 8" xfId="1426"/>
    <cellStyle name="Normal 2 9" xfId="1427"/>
    <cellStyle name="Normal 2_7_19_2010 Bear River Diversion Tables" xfId="1428"/>
    <cellStyle name="Normal 20" xfId="1429"/>
    <cellStyle name="Normal 21" xfId="1430"/>
    <cellStyle name="Normal 22" xfId="1431"/>
    <cellStyle name="Normal 23" xfId="1432"/>
    <cellStyle name="Normal 24" xfId="1433"/>
    <cellStyle name="Normal 25" xfId="1434"/>
    <cellStyle name="Normal 26" xfId="1435"/>
    <cellStyle name="Normal 27" xfId="1436"/>
    <cellStyle name="Normal 28" xfId="1437"/>
    <cellStyle name="Normal 29" xfId="1438"/>
    <cellStyle name="Normal 3" xfId="1439"/>
    <cellStyle name="Normal 3 10" xfId="1440"/>
    <cellStyle name="Normal 3 11" xfId="1441"/>
    <cellStyle name="Normal 3 12" xfId="1442"/>
    <cellStyle name="Normal 3 13" xfId="1443"/>
    <cellStyle name="Normal 3 14" xfId="1444"/>
    <cellStyle name="Normal 3 15" xfId="1445"/>
    <cellStyle name="Normal 3 16" xfId="1446"/>
    <cellStyle name="Normal 3 17" xfId="1447"/>
    <cellStyle name="Normal 3 18" xfId="1448"/>
    <cellStyle name="Normal 3 19" xfId="1449"/>
    <cellStyle name="Normal 3 2" xfId="1450"/>
    <cellStyle name="Normal 3 2 10" xfId="1451"/>
    <cellStyle name="Normal 3 2 11" xfId="1452"/>
    <cellStyle name="Normal 3 2 12" xfId="1453"/>
    <cellStyle name="Normal 3 2 13" xfId="1454"/>
    <cellStyle name="Normal 3 2 14" xfId="1455"/>
    <cellStyle name="Normal 3 2 15" xfId="1456"/>
    <cellStyle name="Normal 3 2 16" xfId="1457"/>
    <cellStyle name="Normal 3 2 17" xfId="1458"/>
    <cellStyle name="Normal 3 2 18" xfId="1459"/>
    <cellStyle name="Normal 3 2 19" xfId="1460"/>
    <cellStyle name="Normal 3 2 2" xfId="1461"/>
    <cellStyle name="Normal 3 2 20" xfId="1462"/>
    <cellStyle name="Normal 3 2 21" xfId="1463"/>
    <cellStyle name="Normal 3 2 22" xfId="1464"/>
    <cellStyle name="Normal 3 2 23" xfId="1465"/>
    <cellStyle name="Normal 3 2 24" xfId="1466"/>
    <cellStyle name="Normal 3 2 25" xfId="1467"/>
    <cellStyle name="Normal 3 2 26" xfId="1468"/>
    <cellStyle name="Normal 3 2 27" xfId="1469"/>
    <cellStyle name="Normal 3 2 28" xfId="1470"/>
    <cellStyle name="Normal 3 2 29" xfId="1471"/>
    <cellStyle name="Normal 3 2 3" xfId="1472"/>
    <cellStyle name="Normal 3 2 30" xfId="1473"/>
    <cellStyle name="Normal 3 2 31" xfId="1474"/>
    <cellStyle name="Normal 3 2 32" xfId="1475"/>
    <cellStyle name="Normal 3 2 4" xfId="1476"/>
    <cellStyle name="Normal 3 2 5" xfId="1477"/>
    <cellStyle name="Normal 3 2 6" xfId="1478"/>
    <cellStyle name="Normal 3 2 7" xfId="1479"/>
    <cellStyle name="Normal 3 2 8" xfId="1480"/>
    <cellStyle name="Normal 3 2 9" xfId="1481"/>
    <cellStyle name="Normal 3 20" xfId="1482"/>
    <cellStyle name="Normal 3 21" xfId="1483"/>
    <cellStyle name="Normal 3 22" xfId="1484"/>
    <cellStyle name="Normal 3 23" xfId="1485"/>
    <cellStyle name="Normal 3 24" xfId="1486"/>
    <cellStyle name="Normal 3 25" xfId="1487"/>
    <cellStyle name="Normal 3 26" xfId="1488"/>
    <cellStyle name="Normal 3 27" xfId="1489"/>
    <cellStyle name="Normal 3 28" xfId="1490"/>
    <cellStyle name="Normal 3 29" xfId="1491"/>
    <cellStyle name="Normal 3 3" xfId="1492"/>
    <cellStyle name="Normal 3 30" xfId="1493"/>
    <cellStyle name="Normal 3 31" xfId="1494"/>
    <cellStyle name="Normal 3 32" xfId="1495"/>
    <cellStyle name="Normal 3 33" xfId="1496"/>
    <cellStyle name="Normal 3 34" xfId="1497"/>
    <cellStyle name="Normal 3 35" xfId="1498"/>
    <cellStyle name="Normal 3 36" xfId="1499"/>
    <cellStyle name="Normal 3 37" xfId="1500"/>
    <cellStyle name="Normal 3 38" xfId="1501"/>
    <cellStyle name="Normal 3 39" xfId="1502"/>
    <cellStyle name="Normal 3 4" xfId="1503"/>
    <cellStyle name="Normal 3 40" xfId="1504"/>
    <cellStyle name="Normal 3 41" xfId="1505"/>
    <cellStyle name="Normal 3 42" xfId="1506"/>
    <cellStyle name="Normal 3 43" xfId="1507"/>
    <cellStyle name="Normal 3 44" xfId="1508"/>
    <cellStyle name="Normal 3 45" xfId="1509"/>
    <cellStyle name="Normal 3 46" xfId="1510"/>
    <cellStyle name="Normal 3 47" xfId="1511"/>
    <cellStyle name="Normal 3 48" xfId="1512"/>
    <cellStyle name="Normal 3 49" xfId="1513"/>
    <cellStyle name="Normal 3 5" xfId="1514"/>
    <cellStyle name="Normal 3 50" xfId="1515"/>
    <cellStyle name="Normal 3 51" xfId="1516"/>
    <cellStyle name="Normal 3 52" xfId="1517"/>
    <cellStyle name="Normal 3 53" xfId="1518"/>
    <cellStyle name="Normal 3 54" xfId="1519"/>
    <cellStyle name="Normal 3 55" xfId="1520"/>
    <cellStyle name="Normal 3 56" xfId="1521"/>
    <cellStyle name="Normal 3 57" xfId="1522"/>
    <cellStyle name="Normal 3 58" xfId="1523"/>
    <cellStyle name="Normal 3 59" xfId="1524"/>
    <cellStyle name="Normal 3 6" xfId="1525"/>
    <cellStyle name="Normal 3 60" xfId="1526"/>
    <cellStyle name="Normal 3 61" xfId="1527"/>
    <cellStyle name="Normal 3 7" xfId="1528"/>
    <cellStyle name="Normal 3 8" xfId="1529"/>
    <cellStyle name="Normal 3 9" xfId="1530"/>
    <cellStyle name="Normal 30" xfId="1531"/>
    <cellStyle name="Normal 31" xfId="1532"/>
    <cellStyle name="Normal 32" xfId="1533"/>
    <cellStyle name="Normal 33" xfId="1534"/>
    <cellStyle name="Normal 34" xfId="1535"/>
    <cellStyle name="Normal 35" xfId="1536"/>
    <cellStyle name="Normal 36" xfId="1537"/>
    <cellStyle name="Normal 37" xfId="1538"/>
    <cellStyle name="Normal 38" xfId="1539"/>
    <cellStyle name="Normal 39" xfId="1540"/>
    <cellStyle name="Normal 4" xfId="1541"/>
    <cellStyle name="Normal 4 10" xfId="1542"/>
    <cellStyle name="Normal 4 11" xfId="1543"/>
    <cellStyle name="Normal 4 12" xfId="1544"/>
    <cellStyle name="Normal 4 13" xfId="1545"/>
    <cellStyle name="Normal 4 14" xfId="1546"/>
    <cellStyle name="Normal 4 15" xfId="1547"/>
    <cellStyle name="Normal 4 16" xfId="1548"/>
    <cellStyle name="Normal 4 17" xfId="1549"/>
    <cellStyle name="Normal 4 18" xfId="1550"/>
    <cellStyle name="Normal 4 19" xfId="1551"/>
    <cellStyle name="Normal 4 2" xfId="1552"/>
    <cellStyle name="Normal 4 20" xfId="1553"/>
    <cellStyle name="Normal 4 21" xfId="1554"/>
    <cellStyle name="Normal 4 22" xfId="1555"/>
    <cellStyle name="Normal 4 23" xfId="1556"/>
    <cellStyle name="Normal 4 24" xfId="1557"/>
    <cellStyle name="Normal 4 25" xfId="1558"/>
    <cellStyle name="Normal 4 26" xfId="1559"/>
    <cellStyle name="Normal 4 27" xfId="1560"/>
    <cellStyle name="Normal 4 28" xfId="1561"/>
    <cellStyle name="Normal 4 29" xfId="1562"/>
    <cellStyle name="Normal 4 3" xfId="1563"/>
    <cellStyle name="Normal 4 30" xfId="1564"/>
    <cellStyle name="Normal 4 31" xfId="1565"/>
    <cellStyle name="Normal 4 32" xfId="1566"/>
    <cellStyle name="Normal 4 33" xfId="1567"/>
    <cellStyle name="Normal 4 34" xfId="1568"/>
    <cellStyle name="Normal 4 35" xfId="1569"/>
    <cellStyle name="Normal 4 36" xfId="1570"/>
    <cellStyle name="Normal 4 37" xfId="1571"/>
    <cellStyle name="Normal 4 38" xfId="1572"/>
    <cellStyle name="Normal 4 39" xfId="1573"/>
    <cellStyle name="Normal 4 4" xfId="1574"/>
    <cellStyle name="Normal 4 40" xfId="1575"/>
    <cellStyle name="Normal 4 41" xfId="1576"/>
    <cellStyle name="Normal 4 42" xfId="1577"/>
    <cellStyle name="Normal 4 43" xfId="1578"/>
    <cellStyle name="Normal 4 44" xfId="1579"/>
    <cellStyle name="Normal 4 45" xfId="1580"/>
    <cellStyle name="Normal 4 46" xfId="1581"/>
    <cellStyle name="Normal 4 47" xfId="1582"/>
    <cellStyle name="Normal 4 48" xfId="1583"/>
    <cellStyle name="Normal 4 49" xfId="1584"/>
    <cellStyle name="Normal 4 5" xfId="1585"/>
    <cellStyle name="Normal 4 50" xfId="1586"/>
    <cellStyle name="Normal 4 51" xfId="1587"/>
    <cellStyle name="Normal 4 52" xfId="1588"/>
    <cellStyle name="Normal 4 53" xfId="1589"/>
    <cellStyle name="Normal 4 54" xfId="1590"/>
    <cellStyle name="Normal 4 55" xfId="1591"/>
    <cellStyle name="Normal 4 56" xfId="1592"/>
    <cellStyle name="Normal 4 57" xfId="1593"/>
    <cellStyle name="Normal 4 58" xfId="1594"/>
    <cellStyle name="Normal 4 59" xfId="1595"/>
    <cellStyle name="Normal 4 6" xfId="1596"/>
    <cellStyle name="Normal 4 60" xfId="1597"/>
    <cellStyle name="Normal 4 7" xfId="1598"/>
    <cellStyle name="Normal 4 8" xfId="1599"/>
    <cellStyle name="Normal 4 9" xfId="1600"/>
    <cellStyle name="Normal 40" xfId="1601"/>
    <cellStyle name="Normal 41" xfId="1602"/>
    <cellStyle name="Normal 42" xfId="1603"/>
    <cellStyle name="Normal 43" xfId="1604"/>
    <cellStyle name="Normal 44" xfId="1605"/>
    <cellStyle name="Normal 45" xfId="1606"/>
    <cellStyle name="Normal 46" xfId="1607"/>
    <cellStyle name="Normal 47" xfId="1608"/>
    <cellStyle name="Normal 48" xfId="1609"/>
    <cellStyle name="Normal 49" xfId="1610"/>
    <cellStyle name="Normal 5" xfId="1611"/>
    <cellStyle name="Normal 5 2" xfId="1612"/>
    <cellStyle name="Normal 5 3" xfId="1613"/>
    <cellStyle name="Normal 50" xfId="1614"/>
    <cellStyle name="Normal 51" xfId="1615"/>
    <cellStyle name="Normal 52" xfId="1616"/>
    <cellStyle name="Normal 53" xfId="1617"/>
    <cellStyle name="Normal 54" xfId="1618"/>
    <cellStyle name="Normal 55" xfId="1619"/>
    <cellStyle name="Normal 56" xfId="1620"/>
    <cellStyle name="Normal 57" xfId="1621"/>
    <cellStyle name="Normal 58" xfId="1622"/>
    <cellStyle name="Normal 59" xfId="1623"/>
    <cellStyle name="Normal 6" xfId="1624"/>
    <cellStyle name="Normal 6 2" xfId="1625"/>
    <cellStyle name="Normal 60" xfId="1626"/>
    <cellStyle name="Normal 61" xfId="1627"/>
    <cellStyle name="Normal 62" xfId="1628"/>
    <cellStyle name="Normal 63" xfId="1629"/>
    <cellStyle name="Normal 64" xfId="1630"/>
    <cellStyle name="Normal 65" xfId="1631"/>
    <cellStyle name="Normal 66" xfId="1632"/>
    <cellStyle name="Normal 67" xfId="1633"/>
    <cellStyle name="Normal 68" xfId="1634"/>
    <cellStyle name="Normal 69" xfId="1635"/>
    <cellStyle name="Normal 7" xfId="1636"/>
    <cellStyle name="Normal 7 2" xfId="1637"/>
    <cellStyle name="Normal 70" xfId="49"/>
    <cellStyle name="Normal 8" xfId="1638"/>
    <cellStyle name="Normal 8 2" xfId="1639"/>
    <cellStyle name="Normal 9" xfId="1640"/>
    <cellStyle name="Normal_GainLoss" xfId="1722"/>
    <cellStyle name="Normal_Prototype Spreadsheet3" xfId="8"/>
    <cellStyle name="Note 10" xfId="1641"/>
    <cellStyle name="Note 11" xfId="1642"/>
    <cellStyle name="Note 12" xfId="1643"/>
    <cellStyle name="Note 13" xfId="1644"/>
    <cellStyle name="Note 14" xfId="1645"/>
    <cellStyle name="Note 15" xfId="1646"/>
    <cellStyle name="Note 16" xfId="1647"/>
    <cellStyle name="Note 17" xfId="1648"/>
    <cellStyle name="Note 18" xfId="1649"/>
    <cellStyle name="Note 19" xfId="1650"/>
    <cellStyle name="Note 2" xfId="1651"/>
    <cellStyle name="Note 20" xfId="1652"/>
    <cellStyle name="Note 21" xfId="1653"/>
    <cellStyle name="Note 22" xfId="1654"/>
    <cellStyle name="Note 23" xfId="1655"/>
    <cellStyle name="Note 24" xfId="1656"/>
    <cellStyle name="Note 25" xfId="1657"/>
    <cellStyle name="Note 26" xfId="1658"/>
    <cellStyle name="Note 27" xfId="1659"/>
    <cellStyle name="Note 28" xfId="1660"/>
    <cellStyle name="Note 29" xfId="1661"/>
    <cellStyle name="Note 3" xfId="1662"/>
    <cellStyle name="Note 30" xfId="1663"/>
    <cellStyle name="Note 31" xfId="1664"/>
    <cellStyle name="Note 32" xfId="1665"/>
    <cellStyle name="Note 4" xfId="1666"/>
    <cellStyle name="Note 5" xfId="1667"/>
    <cellStyle name="Note 6" xfId="1668"/>
    <cellStyle name="Note 7" xfId="1669"/>
    <cellStyle name="Note 8" xfId="1670"/>
    <cellStyle name="Note 9" xfId="1671"/>
    <cellStyle name="Output" xfId="19" builtinId="21" customBuiltin="1"/>
    <cellStyle name="Percent" xfId="9" builtinId="5"/>
    <cellStyle name="Percent_Prototype Spreadsheet3" xfId="10"/>
    <cellStyle name="Title" xfId="12" builtinId="15" customBuiltin="1"/>
    <cellStyle name="Total" xfId="11" builtinId="25" customBuiltin="1"/>
    <cellStyle name="Total 10" xfId="1673"/>
    <cellStyle name="Total 11" xfId="1674"/>
    <cellStyle name="Total 12" xfId="1675"/>
    <cellStyle name="Total 13" xfId="1676"/>
    <cellStyle name="Total 14" xfId="1677"/>
    <cellStyle name="Total 15" xfId="1678"/>
    <cellStyle name="Total 16" xfId="1679"/>
    <cellStyle name="Total 17" xfId="1680"/>
    <cellStyle name="Total 18" xfId="1681"/>
    <cellStyle name="Total 19" xfId="1682"/>
    <cellStyle name="Total 2" xfId="1683"/>
    <cellStyle name="Total 2 2" xfId="1684"/>
    <cellStyle name="Total 20" xfId="1685"/>
    <cellStyle name="Total 21" xfId="1686"/>
    <cellStyle name="Total 22" xfId="1687"/>
    <cellStyle name="Total 23" xfId="1688"/>
    <cellStyle name="Total 24" xfId="1689"/>
    <cellStyle name="Total 25" xfId="1690"/>
    <cellStyle name="Total 26" xfId="1691"/>
    <cellStyle name="Total 27" xfId="1692"/>
    <cellStyle name="Total 28" xfId="1693"/>
    <cellStyle name="Total 29" xfId="1694"/>
    <cellStyle name="Total 3" xfId="1695"/>
    <cellStyle name="Total 30" xfId="1696"/>
    <cellStyle name="Total 31" xfId="1697"/>
    <cellStyle name="Total 32" xfId="1698"/>
    <cellStyle name="Total 33" xfId="1699"/>
    <cellStyle name="Total 34" xfId="1700"/>
    <cellStyle name="Total 35" xfId="1701"/>
    <cellStyle name="Total 36" xfId="1702"/>
    <cellStyle name="Total 37" xfId="1703"/>
    <cellStyle name="Total 38" xfId="1704"/>
    <cellStyle name="Total 39" xfId="1705"/>
    <cellStyle name="Total 4" xfId="1706"/>
    <cellStyle name="Total 40" xfId="1707"/>
    <cellStyle name="Total 41" xfId="1708"/>
    <cellStyle name="Total 42" xfId="1709"/>
    <cellStyle name="Total 43" xfId="1710"/>
    <cellStyle name="Total 44" xfId="1711"/>
    <cellStyle name="Total 45" xfId="1712"/>
    <cellStyle name="Total 46" xfId="1713"/>
    <cellStyle name="Total 47" xfId="1714"/>
    <cellStyle name="Total 48" xfId="1715"/>
    <cellStyle name="Total 49" xfId="1716"/>
    <cellStyle name="Total 5" xfId="1717"/>
    <cellStyle name="Total 50" xfId="1672"/>
    <cellStyle name="Total 6" xfId="1718"/>
    <cellStyle name="Total 7" xfId="1719"/>
    <cellStyle name="Total 8" xfId="1720"/>
    <cellStyle name="Total 9" xfId="1721"/>
    <cellStyle name="Warning Text" xfId="23" builtinId="11" customBuiltin="1"/>
  </cellStyles>
  <dxfs count="16">
    <dxf>
      <font>
        <condense val="0"/>
        <extend val="0"/>
        <color indexed="10"/>
      </font>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ill>
        <patternFill>
          <bgColor indexed="10"/>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ill>
        <patternFill>
          <bgColor indexed="10"/>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none">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CC"/>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6</xdr:col>
      <xdr:colOff>114300</xdr:colOff>
      <xdr:row>2</xdr:row>
      <xdr:rowOff>0</xdr:rowOff>
    </xdr:from>
    <xdr:to>
      <xdr:col>6</xdr:col>
      <xdr:colOff>142875</xdr:colOff>
      <xdr:row>5</xdr:row>
      <xdr:rowOff>152400</xdr:rowOff>
    </xdr:to>
    <xdr:sp macro="[0]!GOTOReach1" textlink="">
      <xdr:nvSpPr>
        <xdr:cNvPr id="201737" name="Line 9"/>
        <xdr:cNvSpPr>
          <a:spLocks noChangeShapeType="1"/>
        </xdr:cNvSpPr>
      </xdr:nvSpPr>
      <xdr:spPr bwMode="auto">
        <a:xfrm flipH="1">
          <a:off x="3771900" y="419100"/>
          <a:ext cx="28575" cy="647700"/>
        </a:xfrm>
        <a:prstGeom prst="line">
          <a:avLst/>
        </a:prstGeom>
        <a:noFill/>
        <a:ln w="15875">
          <a:solidFill>
            <a:srgbClr val="3366FF"/>
          </a:solidFill>
          <a:round/>
          <a:headEnd/>
          <a:tailEnd type="triangle" w="med" len="med"/>
        </a:ln>
        <a:effectLst/>
      </xdr:spPr>
    </xdr:sp>
    <xdr:clientData/>
  </xdr:twoCellAnchor>
  <xdr:twoCellAnchor>
    <xdr:from>
      <xdr:col>6</xdr:col>
      <xdr:colOff>66675</xdr:colOff>
      <xdr:row>1</xdr:row>
      <xdr:rowOff>9525</xdr:rowOff>
    </xdr:from>
    <xdr:to>
      <xdr:col>6</xdr:col>
      <xdr:colOff>171450</xdr:colOff>
      <xdr:row>1</xdr:row>
      <xdr:rowOff>104775</xdr:rowOff>
    </xdr:to>
    <xdr:sp macro="" textlink="">
      <xdr:nvSpPr>
        <xdr:cNvPr id="201738" name="Oval 10"/>
        <xdr:cNvSpPr>
          <a:spLocks noChangeArrowheads="1"/>
        </xdr:cNvSpPr>
      </xdr:nvSpPr>
      <xdr:spPr bwMode="auto">
        <a:xfrm>
          <a:off x="3724275" y="171450"/>
          <a:ext cx="104775" cy="95250"/>
        </a:xfrm>
        <a:prstGeom prst="ellipse">
          <a:avLst/>
        </a:prstGeom>
        <a:solidFill>
          <a:srgbClr val="CCFFCC"/>
        </a:solidFill>
        <a:ln w="9525">
          <a:solidFill>
            <a:srgbClr val="000000"/>
          </a:solidFill>
          <a:round/>
          <a:headEnd/>
          <a:tailEnd/>
        </a:ln>
        <a:effectLst/>
      </xdr:spPr>
    </xdr:sp>
    <xdr:clientData/>
  </xdr:twoCellAnchor>
  <xdr:twoCellAnchor>
    <xdr:from>
      <xdr:col>6</xdr:col>
      <xdr:colOff>85725</xdr:colOff>
      <xdr:row>6</xdr:row>
      <xdr:rowOff>9525</xdr:rowOff>
    </xdr:from>
    <xdr:to>
      <xdr:col>6</xdr:col>
      <xdr:colOff>190500</xdr:colOff>
      <xdr:row>6</xdr:row>
      <xdr:rowOff>104775</xdr:rowOff>
    </xdr:to>
    <xdr:sp macro="" textlink="">
      <xdr:nvSpPr>
        <xdr:cNvPr id="201739" name="Oval 11"/>
        <xdr:cNvSpPr>
          <a:spLocks noChangeArrowheads="1"/>
        </xdr:cNvSpPr>
      </xdr:nvSpPr>
      <xdr:spPr bwMode="auto">
        <a:xfrm>
          <a:off x="3743325" y="1085850"/>
          <a:ext cx="104775" cy="95250"/>
        </a:xfrm>
        <a:prstGeom prst="ellipse">
          <a:avLst/>
        </a:prstGeom>
        <a:solidFill>
          <a:srgbClr val="CCFFCC"/>
        </a:solidFill>
        <a:ln w="9525">
          <a:solidFill>
            <a:srgbClr val="000000"/>
          </a:solidFill>
          <a:round/>
          <a:headEnd/>
          <a:tailEnd/>
        </a:ln>
        <a:effectLst/>
      </xdr:spPr>
    </xdr:sp>
    <xdr:clientData/>
  </xdr:twoCellAnchor>
  <xdr:twoCellAnchor>
    <xdr:from>
      <xdr:col>4</xdr:col>
      <xdr:colOff>561975</xdr:colOff>
      <xdr:row>3</xdr:row>
      <xdr:rowOff>114300</xdr:rowOff>
    </xdr:from>
    <xdr:to>
      <xdr:col>6</xdr:col>
      <xdr:colOff>114300</xdr:colOff>
      <xdr:row>6</xdr:row>
      <xdr:rowOff>9525</xdr:rowOff>
    </xdr:to>
    <xdr:sp macro="[0]!GOTOReach2" textlink="">
      <xdr:nvSpPr>
        <xdr:cNvPr id="201740" name="Line 12"/>
        <xdr:cNvSpPr>
          <a:spLocks noChangeShapeType="1"/>
        </xdr:cNvSpPr>
      </xdr:nvSpPr>
      <xdr:spPr bwMode="auto">
        <a:xfrm>
          <a:off x="3000375" y="695325"/>
          <a:ext cx="771525" cy="390525"/>
        </a:xfrm>
        <a:prstGeom prst="line">
          <a:avLst/>
        </a:prstGeom>
        <a:noFill/>
        <a:ln w="15875">
          <a:solidFill>
            <a:srgbClr val="0000FF"/>
          </a:solidFill>
          <a:round/>
          <a:headEnd/>
          <a:tailEnd type="triangle" w="med" len="med"/>
        </a:ln>
        <a:effectLst/>
      </xdr:spPr>
    </xdr:sp>
    <xdr:clientData/>
  </xdr:twoCellAnchor>
  <xdr:twoCellAnchor>
    <xdr:from>
      <xdr:col>5</xdr:col>
      <xdr:colOff>295275</xdr:colOff>
      <xdr:row>4</xdr:row>
      <xdr:rowOff>76200</xdr:rowOff>
    </xdr:from>
    <xdr:to>
      <xdr:col>5</xdr:col>
      <xdr:colOff>438150</xdr:colOff>
      <xdr:row>5</xdr:row>
      <xdr:rowOff>38100</xdr:rowOff>
    </xdr:to>
    <xdr:sp macro="[0]!GOTOReach2" textlink="">
      <xdr:nvSpPr>
        <xdr:cNvPr id="201742" name="AutoShape 14"/>
        <xdr:cNvSpPr>
          <a:spLocks noChangeArrowheads="1"/>
        </xdr:cNvSpPr>
      </xdr:nvSpPr>
      <xdr:spPr bwMode="auto">
        <a:xfrm>
          <a:off x="3343275" y="828675"/>
          <a:ext cx="142875" cy="123825"/>
        </a:xfrm>
        <a:prstGeom prst="triangle">
          <a:avLst>
            <a:gd name="adj" fmla="val 53333"/>
          </a:avLst>
        </a:prstGeom>
        <a:solidFill>
          <a:srgbClr val="CCFFCC"/>
        </a:solidFill>
        <a:ln w="9525">
          <a:solidFill>
            <a:srgbClr val="000000"/>
          </a:solidFill>
          <a:miter lim="800000"/>
          <a:headEnd/>
          <a:tailEnd/>
        </a:ln>
        <a:effectLst/>
      </xdr:spPr>
    </xdr:sp>
    <xdr:clientData/>
  </xdr:twoCellAnchor>
  <xdr:twoCellAnchor>
    <xdr:from>
      <xdr:col>6</xdr:col>
      <xdr:colOff>180975</xdr:colOff>
      <xdr:row>6</xdr:row>
      <xdr:rowOff>142875</xdr:rowOff>
    </xdr:from>
    <xdr:to>
      <xdr:col>6</xdr:col>
      <xdr:colOff>333375</xdr:colOff>
      <xdr:row>9</xdr:row>
      <xdr:rowOff>28575</xdr:rowOff>
    </xdr:to>
    <xdr:sp macro="[0]!GOTOReach3" textlink="">
      <xdr:nvSpPr>
        <xdr:cNvPr id="201743" name="Line 15"/>
        <xdr:cNvSpPr>
          <a:spLocks noChangeShapeType="1"/>
        </xdr:cNvSpPr>
      </xdr:nvSpPr>
      <xdr:spPr bwMode="auto">
        <a:xfrm>
          <a:off x="3838575" y="1219200"/>
          <a:ext cx="152400" cy="371475"/>
        </a:xfrm>
        <a:prstGeom prst="line">
          <a:avLst/>
        </a:prstGeom>
        <a:noFill/>
        <a:ln w="15875">
          <a:solidFill>
            <a:srgbClr val="0000FF"/>
          </a:solidFill>
          <a:round/>
          <a:headEnd/>
          <a:tailEnd type="triangle" w="med" len="med"/>
        </a:ln>
        <a:effectLst/>
      </xdr:spPr>
    </xdr:sp>
    <xdr:clientData/>
  </xdr:twoCellAnchor>
  <xdr:twoCellAnchor>
    <xdr:from>
      <xdr:col>6</xdr:col>
      <xdr:colOff>295275</xdr:colOff>
      <xdr:row>9</xdr:row>
      <xdr:rowOff>38100</xdr:rowOff>
    </xdr:from>
    <xdr:to>
      <xdr:col>6</xdr:col>
      <xdr:colOff>400050</xdr:colOff>
      <xdr:row>9</xdr:row>
      <xdr:rowOff>133350</xdr:rowOff>
    </xdr:to>
    <xdr:sp macro="" textlink="">
      <xdr:nvSpPr>
        <xdr:cNvPr id="201744" name="Oval 16"/>
        <xdr:cNvSpPr>
          <a:spLocks noChangeArrowheads="1"/>
        </xdr:cNvSpPr>
      </xdr:nvSpPr>
      <xdr:spPr bwMode="auto">
        <a:xfrm>
          <a:off x="3952875" y="1600200"/>
          <a:ext cx="104775" cy="95250"/>
        </a:xfrm>
        <a:prstGeom prst="ellipse">
          <a:avLst/>
        </a:prstGeom>
        <a:solidFill>
          <a:srgbClr val="CCFFCC"/>
        </a:solidFill>
        <a:ln w="9525">
          <a:solidFill>
            <a:srgbClr val="000000"/>
          </a:solidFill>
          <a:round/>
          <a:headEnd/>
          <a:tailEnd/>
        </a:ln>
        <a:effectLst/>
      </xdr:spPr>
    </xdr:sp>
    <xdr:clientData/>
  </xdr:twoCellAnchor>
  <xdr:twoCellAnchor>
    <xdr:from>
      <xdr:col>6</xdr:col>
      <xdr:colOff>504825</xdr:colOff>
      <xdr:row>12</xdr:row>
      <xdr:rowOff>47625</xdr:rowOff>
    </xdr:from>
    <xdr:to>
      <xdr:col>7</xdr:col>
      <xdr:colOff>0</xdr:colOff>
      <xdr:row>12</xdr:row>
      <xdr:rowOff>142875</xdr:rowOff>
    </xdr:to>
    <xdr:sp macro="" textlink="">
      <xdr:nvSpPr>
        <xdr:cNvPr id="201745" name="Oval 17"/>
        <xdr:cNvSpPr>
          <a:spLocks noChangeArrowheads="1"/>
        </xdr:cNvSpPr>
      </xdr:nvSpPr>
      <xdr:spPr bwMode="auto">
        <a:xfrm>
          <a:off x="4162425" y="2105025"/>
          <a:ext cx="104775" cy="95250"/>
        </a:xfrm>
        <a:prstGeom prst="ellipse">
          <a:avLst/>
        </a:prstGeom>
        <a:solidFill>
          <a:srgbClr val="CCFFCC"/>
        </a:solidFill>
        <a:ln w="9525">
          <a:solidFill>
            <a:srgbClr val="000000"/>
          </a:solidFill>
          <a:round/>
          <a:headEnd/>
          <a:tailEnd/>
        </a:ln>
        <a:effectLst/>
      </xdr:spPr>
    </xdr:sp>
    <xdr:clientData/>
  </xdr:twoCellAnchor>
  <xdr:twoCellAnchor>
    <xdr:from>
      <xdr:col>6</xdr:col>
      <xdr:colOff>390525</xdr:colOff>
      <xdr:row>9</xdr:row>
      <xdr:rowOff>152400</xdr:rowOff>
    </xdr:from>
    <xdr:to>
      <xdr:col>6</xdr:col>
      <xdr:colOff>542925</xdr:colOff>
      <xdr:row>12</xdr:row>
      <xdr:rowOff>28575</xdr:rowOff>
    </xdr:to>
    <xdr:sp macro="[0]!GOTOReach4" textlink="">
      <xdr:nvSpPr>
        <xdr:cNvPr id="201751" name="Line 23"/>
        <xdr:cNvSpPr>
          <a:spLocks noChangeShapeType="1"/>
        </xdr:cNvSpPr>
      </xdr:nvSpPr>
      <xdr:spPr bwMode="auto">
        <a:xfrm>
          <a:off x="4048125" y="1714500"/>
          <a:ext cx="152400" cy="371475"/>
        </a:xfrm>
        <a:prstGeom prst="line">
          <a:avLst/>
        </a:prstGeom>
        <a:noFill/>
        <a:ln w="15875">
          <a:solidFill>
            <a:srgbClr val="0000FF"/>
          </a:solidFill>
          <a:round/>
          <a:headEnd/>
          <a:tailEnd type="triangle" w="med" len="med"/>
        </a:ln>
        <a:effectLst/>
      </xdr:spPr>
    </xdr:sp>
    <xdr:clientData/>
  </xdr:twoCellAnchor>
  <xdr:twoCellAnchor>
    <xdr:from>
      <xdr:col>6</xdr:col>
      <xdr:colOff>561975</xdr:colOff>
      <xdr:row>12</xdr:row>
      <xdr:rowOff>152400</xdr:rowOff>
    </xdr:from>
    <xdr:to>
      <xdr:col>6</xdr:col>
      <xdr:colOff>561975</xdr:colOff>
      <xdr:row>15</xdr:row>
      <xdr:rowOff>38100</xdr:rowOff>
    </xdr:to>
    <xdr:sp macro="[0]!GOTOReach5" textlink="">
      <xdr:nvSpPr>
        <xdr:cNvPr id="201757" name="Line 29"/>
        <xdr:cNvSpPr>
          <a:spLocks noChangeShapeType="1"/>
        </xdr:cNvSpPr>
      </xdr:nvSpPr>
      <xdr:spPr bwMode="auto">
        <a:xfrm>
          <a:off x="4219575" y="2209800"/>
          <a:ext cx="0" cy="371475"/>
        </a:xfrm>
        <a:prstGeom prst="line">
          <a:avLst/>
        </a:prstGeom>
        <a:noFill/>
        <a:ln w="9525">
          <a:solidFill>
            <a:srgbClr val="0000FF"/>
          </a:solidFill>
          <a:round/>
          <a:headEnd/>
          <a:tailEnd type="triangle" w="med" len="med"/>
        </a:ln>
        <a:effectLst/>
      </xdr:spPr>
    </xdr:sp>
    <xdr:clientData/>
  </xdr:twoCellAnchor>
  <xdr:twoCellAnchor>
    <xdr:from>
      <xdr:col>6</xdr:col>
      <xdr:colOff>523875</xdr:colOff>
      <xdr:row>17</xdr:row>
      <xdr:rowOff>152400</xdr:rowOff>
    </xdr:from>
    <xdr:to>
      <xdr:col>7</xdr:col>
      <xdr:colOff>9525</xdr:colOff>
      <xdr:row>18</xdr:row>
      <xdr:rowOff>76200</xdr:rowOff>
    </xdr:to>
    <xdr:sp macro="" textlink="">
      <xdr:nvSpPr>
        <xdr:cNvPr id="201758" name="Oval 30"/>
        <xdr:cNvSpPr>
          <a:spLocks noChangeArrowheads="1"/>
        </xdr:cNvSpPr>
      </xdr:nvSpPr>
      <xdr:spPr bwMode="auto">
        <a:xfrm>
          <a:off x="4181475" y="3019425"/>
          <a:ext cx="95250" cy="85725"/>
        </a:xfrm>
        <a:prstGeom prst="ellipse">
          <a:avLst/>
        </a:prstGeom>
        <a:solidFill>
          <a:srgbClr val="CCFFCC"/>
        </a:solidFill>
        <a:ln w="9525">
          <a:solidFill>
            <a:srgbClr val="000000"/>
          </a:solidFill>
          <a:round/>
          <a:headEnd/>
          <a:tailEnd/>
        </a:ln>
        <a:effectLst/>
      </xdr:spPr>
    </xdr:sp>
    <xdr:clientData/>
  </xdr:twoCellAnchor>
  <xdr:twoCellAnchor>
    <xdr:from>
      <xdr:col>6</xdr:col>
      <xdr:colOff>561975</xdr:colOff>
      <xdr:row>15</xdr:row>
      <xdr:rowOff>123825</xdr:rowOff>
    </xdr:from>
    <xdr:to>
      <xdr:col>6</xdr:col>
      <xdr:colOff>561975</xdr:colOff>
      <xdr:row>18</xdr:row>
      <xdr:rowOff>9525</xdr:rowOff>
    </xdr:to>
    <xdr:sp macro="[0]!GOTOReach6" textlink="">
      <xdr:nvSpPr>
        <xdr:cNvPr id="201767" name="Line 39"/>
        <xdr:cNvSpPr>
          <a:spLocks noChangeShapeType="1"/>
        </xdr:cNvSpPr>
      </xdr:nvSpPr>
      <xdr:spPr bwMode="auto">
        <a:xfrm>
          <a:off x="4219575" y="2667000"/>
          <a:ext cx="0" cy="371475"/>
        </a:xfrm>
        <a:prstGeom prst="line">
          <a:avLst/>
        </a:prstGeom>
        <a:noFill/>
        <a:ln w="9525">
          <a:solidFill>
            <a:srgbClr val="0000FF"/>
          </a:solidFill>
          <a:round/>
          <a:headEnd/>
          <a:tailEnd type="triangle" w="med" len="med"/>
        </a:ln>
        <a:effectLst/>
      </xdr:spPr>
    </xdr:sp>
    <xdr:clientData/>
  </xdr:twoCellAnchor>
  <xdr:twoCellAnchor>
    <xdr:from>
      <xdr:col>6</xdr:col>
      <xdr:colOff>561975</xdr:colOff>
      <xdr:row>21</xdr:row>
      <xdr:rowOff>28575</xdr:rowOff>
    </xdr:from>
    <xdr:to>
      <xdr:col>7</xdr:col>
      <xdr:colOff>304800</xdr:colOff>
      <xdr:row>23</xdr:row>
      <xdr:rowOff>38100</xdr:rowOff>
    </xdr:to>
    <xdr:sp macro="[0]!GOTOReach8" textlink="">
      <xdr:nvSpPr>
        <xdr:cNvPr id="201769" name="Line 41"/>
        <xdr:cNvSpPr>
          <a:spLocks noChangeShapeType="1"/>
        </xdr:cNvSpPr>
      </xdr:nvSpPr>
      <xdr:spPr bwMode="auto">
        <a:xfrm flipH="1">
          <a:off x="4219575" y="3543300"/>
          <a:ext cx="352425" cy="333375"/>
        </a:xfrm>
        <a:prstGeom prst="line">
          <a:avLst/>
        </a:prstGeom>
        <a:noFill/>
        <a:ln w="15875">
          <a:solidFill>
            <a:srgbClr val="3366FF"/>
          </a:solidFill>
          <a:round/>
          <a:headEnd/>
          <a:tailEnd type="triangle" w="med" len="med"/>
        </a:ln>
        <a:effectLst/>
      </xdr:spPr>
    </xdr:sp>
    <xdr:clientData/>
  </xdr:twoCellAnchor>
  <xdr:twoCellAnchor>
    <xdr:from>
      <xdr:col>7</xdr:col>
      <xdr:colOff>447675</xdr:colOff>
      <xdr:row>18</xdr:row>
      <xdr:rowOff>28575</xdr:rowOff>
    </xdr:from>
    <xdr:to>
      <xdr:col>7</xdr:col>
      <xdr:colOff>561975</xdr:colOff>
      <xdr:row>20</xdr:row>
      <xdr:rowOff>142875</xdr:rowOff>
    </xdr:to>
    <xdr:sp macro="[0]!GOTOReach7" textlink="">
      <xdr:nvSpPr>
        <xdr:cNvPr id="201770" name="Line 42"/>
        <xdr:cNvSpPr>
          <a:spLocks noChangeShapeType="1"/>
        </xdr:cNvSpPr>
      </xdr:nvSpPr>
      <xdr:spPr bwMode="auto">
        <a:xfrm flipH="1">
          <a:off x="4714875" y="3057525"/>
          <a:ext cx="114300" cy="438150"/>
        </a:xfrm>
        <a:prstGeom prst="line">
          <a:avLst/>
        </a:prstGeom>
        <a:noFill/>
        <a:ln w="15875">
          <a:solidFill>
            <a:srgbClr val="0000FF"/>
          </a:solidFill>
          <a:round/>
          <a:headEnd/>
          <a:tailEnd type="triangle" w="med" len="med"/>
        </a:ln>
        <a:effectLst/>
      </xdr:spPr>
    </xdr:sp>
    <xdr:clientData/>
  </xdr:twoCellAnchor>
  <xdr:twoCellAnchor>
    <xdr:from>
      <xdr:col>7</xdr:col>
      <xdr:colOff>390525</xdr:colOff>
      <xdr:row>28</xdr:row>
      <xdr:rowOff>66675</xdr:rowOff>
    </xdr:from>
    <xdr:to>
      <xdr:col>7</xdr:col>
      <xdr:colOff>485775</xdr:colOff>
      <xdr:row>28</xdr:row>
      <xdr:rowOff>152400</xdr:rowOff>
    </xdr:to>
    <xdr:sp macro="" textlink="">
      <xdr:nvSpPr>
        <xdr:cNvPr id="201771" name="Oval 43"/>
        <xdr:cNvSpPr>
          <a:spLocks noChangeArrowheads="1"/>
        </xdr:cNvSpPr>
      </xdr:nvSpPr>
      <xdr:spPr bwMode="auto">
        <a:xfrm>
          <a:off x="4657725" y="4714875"/>
          <a:ext cx="95250" cy="85725"/>
        </a:xfrm>
        <a:prstGeom prst="ellipse">
          <a:avLst/>
        </a:prstGeom>
        <a:solidFill>
          <a:srgbClr val="CCFFCC"/>
        </a:solidFill>
        <a:ln w="9525">
          <a:solidFill>
            <a:srgbClr val="000000"/>
          </a:solidFill>
          <a:round/>
          <a:headEnd/>
          <a:tailEnd/>
        </a:ln>
        <a:effectLst/>
      </xdr:spPr>
    </xdr:sp>
    <xdr:clientData/>
  </xdr:twoCellAnchor>
  <xdr:twoCellAnchor>
    <xdr:from>
      <xdr:col>6</xdr:col>
      <xdr:colOff>504825</xdr:colOff>
      <xdr:row>23</xdr:row>
      <xdr:rowOff>76200</xdr:rowOff>
    </xdr:from>
    <xdr:to>
      <xdr:col>6</xdr:col>
      <xdr:colOff>600075</xdr:colOff>
      <xdr:row>24</xdr:row>
      <xdr:rowOff>0</xdr:rowOff>
    </xdr:to>
    <xdr:sp macro="" textlink="">
      <xdr:nvSpPr>
        <xdr:cNvPr id="201774" name="Oval 46"/>
        <xdr:cNvSpPr>
          <a:spLocks noChangeArrowheads="1"/>
        </xdr:cNvSpPr>
      </xdr:nvSpPr>
      <xdr:spPr bwMode="auto">
        <a:xfrm>
          <a:off x="4162425" y="3914775"/>
          <a:ext cx="95250" cy="85725"/>
        </a:xfrm>
        <a:prstGeom prst="ellipse">
          <a:avLst/>
        </a:prstGeom>
        <a:solidFill>
          <a:srgbClr val="CCFFCC"/>
        </a:solidFill>
        <a:ln w="9525">
          <a:solidFill>
            <a:srgbClr val="000000"/>
          </a:solidFill>
          <a:round/>
          <a:headEnd/>
          <a:tailEnd/>
        </a:ln>
        <a:effectLst/>
      </xdr:spPr>
    </xdr:sp>
    <xdr:clientData/>
  </xdr:twoCellAnchor>
  <xdr:twoCellAnchor>
    <xdr:from>
      <xdr:col>6</xdr:col>
      <xdr:colOff>561975</xdr:colOff>
      <xdr:row>24</xdr:row>
      <xdr:rowOff>28575</xdr:rowOff>
    </xdr:from>
    <xdr:to>
      <xdr:col>6</xdr:col>
      <xdr:colOff>561975</xdr:colOff>
      <xdr:row>26</xdr:row>
      <xdr:rowOff>76200</xdr:rowOff>
    </xdr:to>
    <xdr:sp macro="[0]!GOTOReach9" textlink="">
      <xdr:nvSpPr>
        <xdr:cNvPr id="201776" name="Line 48"/>
        <xdr:cNvSpPr>
          <a:spLocks noChangeShapeType="1"/>
        </xdr:cNvSpPr>
      </xdr:nvSpPr>
      <xdr:spPr bwMode="auto">
        <a:xfrm>
          <a:off x="4219575" y="4029075"/>
          <a:ext cx="0" cy="371475"/>
        </a:xfrm>
        <a:prstGeom prst="line">
          <a:avLst/>
        </a:prstGeom>
        <a:noFill/>
        <a:ln w="15875">
          <a:solidFill>
            <a:srgbClr val="0000FF"/>
          </a:solidFill>
          <a:round/>
          <a:headEnd/>
          <a:tailEnd type="triangle" w="med" len="med"/>
        </a:ln>
        <a:effectLst/>
      </xdr:spPr>
    </xdr:sp>
    <xdr:clientData/>
  </xdr:twoCellAnchor>
  <xdr:twoCellAnchor>
    <xdr:from>
      <xdr:col>5</xdr:col>
      <xdr:colOff>104775</xdr:colOff>
      <xdr:row>26</xdr:row>
      <xdr:rowOff>142875</xdr:rowOff>
    </xdr:from>
    <xdr:to>
      <xdr:col>6</xdr:col>
      <xdr:colOff>542925</xdr:colOff>
      <xdr:row>28</xdr:row>
      <xdr:rowOff>66675</xdr:rowOff>
    </xdr:to>
    <xdr:sp macro="[0]!GOTOReach10" textlink="">
      <xdr:nvSpPr>
        <xdr:cNvPr id="201777" name="Line 49"/>
        <xdr:cNvSpPr>
          <a:spLocks noChangeShapeType="1"/>
        </xdr:cNvSpPr>
      </xdr:nvSpPr>
      <xdr:spPr bwMode="auto">
        <a:xfrm flipV="1">
          <a:off x="3152775" y="4467225"/>
          <a:ext cx="1047750" cy="247650"/>
        </a:xfrm>
        <a:prstGeom prst="line">
          <a:avLst/>
        </a:prstGeom>
        <a:noFill/>
        <a:ln w="15875">
          <a:solidFill>
            <a:srgbClr val="0000FF"/>
          </a:solidFill>
          <a:round/>
          <a:headEnd/>
          <a:tailEnd type="triangle" w="med" len="med"/>
        </a:ln>
        <a:effectLst/>
      </xdr:spPr>
    </xdr:sp>
    <xdr:clientData/>
  </xdr:twoCellAnchor>
  <xdr:twoCellAnchor>
    <xdr:from>
      <xdr:col>7</xdr:col>
      <xdr:colOff>342900</xdr:colOff>
      <xdr:row>20</xdr:row>
      <xdr:rowOff>114300</xdr:rowOff>
    </xdr:from>
    <xdr:to>
      <xdr:col>7</xdr:col>
      <xdr:colOff>438150</xdr:colOff>
      <xdr:row>21</xdr:row>
      <xdr:rowOff>38100</xdr:rowOff>
    </xdr:to>
    <xdr:sp macro="" textlink="">
      <xdr:nvSpPr>
        <xdr:cNvPr id="201778" name="Oval 50"/>
        <xdr:cNvSpPr>
          <a:spLocks noChangeArrowheads="1"/>
        </xdr:cNvSpPr>
      </xdr:nvSpPr>
      <xdr:spPr bwMode="auto">
        <a:xfrm>
          <a:off x="4610100" y="3467100"/>
          <a:ext cx="95250" cy="85725"/>
        </a:xfrm>
        <a:prstGeom prst="ellipse">
          <a:avLst/>
        </a:prstGeom>
        <a:solidFill>
          <a:srgbClr val="CCFFCC"/>
        </a:solidFill>
        <a:ln w="9525">
          <a:solidFill>
            <a:srgbClr val="000000"/>
          </a:solidFill>
          <a:round/>
          <a:headEnd/>
          <a:tailEnd/>
        </a:ln>
        <a:effectLst/>
      </xdr:spPr>
    </xdr:sp>
    <xdr:clientData/>
  </xdr:twoCellAnchor>
  <xdr:twoCellAnchor>
    <xdr:from>
      <xdr:col>6</xdr:col>
      <xdr:colOff>523875</xdr:colOff>
      <xdr:row>26</xdr:row>
      <xdr:rowOff>66675</xdr:rowOff>
    </xdr:from>
    <xdr:to>
      <xdr:col>7</xdr:col>
      <xdr:colOff>9525</xdr:colOff>
      <xdr:row>26</xdr:row>
      <xdr:rowOff>152400</xdr:rowOff>
    </xdr:to>
    <xdr:sp macro="" textlink="">
      <xdr:nvSpPr>
        <xdr:cNvPr id="201779" name="Oval 51"/>
        <xdr:cNvSpPr>
          <a:spLocks noChangeArrowheads="1"/>
        </xdr:cNvSpPr>
      </xdr:nvSpPr>
      <xdr:spPr bwMode="auto">
        <a:xfrm>
          <a:off x="4181475" y="4391025"/>
          <a:ext cx="95250" cy="85725"/>
        </a:xfrm>
        <a:prstGeom prst="ellipse">
          <a:avLst/>
        </a:prstGeom>
        <a:solidFill>
          <a:srgbClr val="CCFFCC"/>
        </a:solidFill>
        <a:ln w="9525">
          <a:solidFill>
            <a:srgbClr val="000000"/>
          </a:solidFill>
          <a:round/>
          <a:headEnd/>
          <a:tailEnd/>
        </a:ln>
        <a:effectLst/>
      </xdr:spPr>
    </xdr:sp>
    <xdr:clientData/>
  </xdr:twoCellAnchor>
  <xdr:twoCellAnchor>
    <xdr:from>
      <xdr:col>7</xdr:col>
      <xdr:colOff>9525</xdr:colOff>
      <xdr:row>27</xdr:row>
      <xdr:rowOff>0</xdr:rowOff>
    </xdr:from>
    <xdr:to>
      <xdr:col>7</xdr:col>
      <xdr:colOff>409575</xdr:colOff>
      <xdr:row>28</xdr:row>
      <xdr:rowOff>76200</xdr:rowOff>
    </xdr:to>
    <xdr:sp macro="[0]!GOTOReach11" textlink="">
      <xdr:nvSpPr>
        <xdr:cNvPr id="201783" name="Line 55"/>
        <xdr:cNvSpPr>
          <a:spLocks noChangeShapeType="1"/>
        </xdr:cNvSpPr>
      </xdr:nvSpPr>
      <xdr:spPr bwMode="auto">
        <a:xfrm>
          <a:off x="4276725" y="4486275"/>
          <a:ext cx="400050" cy="238125"/>
        </a:xfrm>
        <a:prstGeom prst="line">
          <a:avLst/>
        </a:prstGeom>
        <a:noFill/>
        <a:ln w="15875">
          <a:solidFill>
            <a:srgbClr val="0000FF"/>
          </a:solidFill>
          <a:round/>
          <a:headEnd/>
          <a:tailEnd type="triangle" w="med" len="med"/>
        </a:ln>
        <a:effectLst/>
      </xdr:spPr>
    </xdr:sp>
    <xdr:clientData/>
  </xdr:twoCellAnchor>
  <xdr:twoCellAnchor>
    <xdr:from>
      <xdr:col>3</xdr:col>
      <xdr:colOff>19050</xdr:colOff>
      <xdr:row>5</xdr:row>
      <xdr:rowOff>28575</xdr:rowOff>
    </xdr:from>
    <xdr:to>
      <xdr:col>5</xdr:col>
      <xdr:colOff>304800</xdr:colOff>
      <xdr:row>6</xdr:row>
      <xdr:rowOff>142875</xdr:rowOff>
    </xdr:to>
    <xdr:sp macro="[0]!GOTOReach2" textlink="">
      <xdr:nvSpPr>
        <xdr:cNvPr id="201784" name="Text Box 56"/>
        <xdr:cNvSpPr txBox="1">
          <a:spLocks noChangeArrowheads="1"/>
        </xdr:cNvSpPr>
      </xdr:nvSpPr>
      <xdr:spPr bwMode="auto">
        <a:xfrm>
          <a:off x="1847850" y="942975"/>
          <a:ext cx="1504950" cy="276225"/>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Sulphur Creek</a:t>
          </a:r>
        </a:p>
      </xdr:txBody>
    </xdr:sp>
    <xdr:clientData/>
  </xdr:twoCellAnchor>
  <xdr:twoCellAnchor>
    <xdr:from>
      <xdr:col>7</xdr:col>
      <xdr:colOff>28575</xdr:colOff>
      <xdr:row>18</xdr:row>
      <xdr:rowOff>28575</xdr:rowOff>
    </xdr:from>
    <xdr:to>
      <xdr:col>7</xdr:col>
      <xdr:colOff>542925</xdr:colOff>
      <xdr:row>18</xdr:row>
      <xdr:rowOff>28575</xdr:rowOff>
    </xdr:to>
    <xdr:sp macro="[0]!GOTOReach7" textlink="">
      <xdr:nvSpPr>
        <xdr:cNvPr id="201789" name="Line 61"/>
        <xdr:cNvSpPr>
          <a:spLocks noChangeShapeType="1"/>
        </xdr:cNvSpPr>
      </xdr:nvSpPr>
      <xdr:spPr bwMode="auto">
        <a:xfrm>
          <a:off x="4295775" y="3057525"/>
          <a:ext cx="514350" cy="0"/>
        </a:xfrm>
        <a:prstGeom prst="line">
          <a:avLst/>
        </a:prstGeom>
        <a:noFill/>
        <a:ln w="15875">
          <a:solidFill>
            <a:srgbClr val="0000FF"/>
          </a:solidFill>
          <a:round/>
          <a:headEnd/>
          <a:tailEnd/>
        </a:ln>
        <a:effectLst/>
      </xdr:spPr>
    </xdr:sp>
    <xdr:clientData/>
  </xdr:twoCellAnchor>
  <xdr:twoCellAnchor>
    <xdr:from>
      <xdr:col>7</xdr:col>
      <xdr:colOff>333375</xdr:colOff>
      <xdr:row>31</xdr:row>
      <xdr:rowOff>123825</xdr:rowOff>
    </xdr:from>
    <xdr:to>
      <xdr:col>9</xdr:col>
      <xdr:colOff>561975</xdr:colOff>
      <xdr:row>31</xdr:row>
      <xdr:rowOff>123825</xdr:rowOff>
    </xdr:to>
    <xdr:sp macro="" textlink="">
      <xdr:nvSpPr>
        <xdr:cNvPr id="201790" name="Line 62"/>
        <xdr:cNvSpPr>
          <a:spLocks noChangeShapeType="1"/>
        </xdr:cNvSpPr>
      </xdr:nvSpPr>
      <xdr:spPr bwMode="auto">
        <a:xfrm>
          <a:off x="4600575" y="5257800"/>
          <a:ext cx="1447800" cy="0"/>
        </a:xfrm>
        <a:prstGeom prst="line">
          <a:avLst/>
        </a:prstGeom>
        <a:noFill/>
        <a:ln w="9525">
          <a:noFill/>
          <a:round/>
          <a:headEnd/>
          <a:tailEnd type="triangle" w="med" len="med"/>
        </a:ln>
        <a:effectLst/>
      </xdr:spPr>
    </xdr:sp>
    <xdr:clientData/>
  </xdr:twoCellAnchor>
  <xdr:twoCellAnchor>
    <xdr:from>
      <xdr:col>7</xdr:col>
      <xdr:colOff>523875</xdr:colOff>
      <xdr:row>28</xdr:row>
      <xdr:rowOff>152400</xdr:rowOff>
    </xdr:from>
    <xdr:to>
      <xdr:col>9</xdr:col>
      <xdr:colOff>28575</xdr:colOff>
      <xdr:row>28</xdr:row>
      <xdr:rowOff>152400</xdr:rowOff>
    </xdr:to>
    <xdr:sp macro="[0]!GOTOReach12" textlink="">
      <xdr:nvSpPr>
        <xdr:cNvPr id="201791" name="Line 63"/>
        <xdr:cNvSpPr>
          <a:spLocks noChangeShapeType="1"/>
        </xdr:cNvSpPr>
      </xdr:nvSpPr>
      <xdr:spPr bwMode="auto">
        <a:xfrm>
          <a:off x="4791075" y="4800600"/>
          <a:ext cx="723900" cy="0"/>
        </a:xfrm>
        <a:prstGeom prst="line">
          <a:avLst/>
        </a:prstGeom>
        <a:noFill/>
        <a:ln w="15875">
          <a:solidFill>
            <a:srgbClr val="3366FF"/>
          </a:solidFill>
          <a:round/>
          <a:headEnd/>
          <a:tailEnd type="triangle" w="med" len="med"/>
        </a:ln>
        <a:effectLst/>
      </xdr:spPr>
    </xdr:sp>
    <xdr:clientData/>
  </xdr:twoCellAnchor>
  <xdr:twoCellAnchor>
    <xdr:from>
      <xdr:col>7</xdr:col>
      <xdr:colOff>104775</xdr:colOff>
      <xdr:row>28</xdr:row>
      <xdr:rowOff>152400</xdr:rowOff>
    </xdr:from>
    <xdr:to>
      <xdr:col>7</xdr:col>
      <xdr:colOff>409575</xdr:colOff>
      <xdr:row>34</xdr:row>
      <xdr:rowOff>76200</xdr:rowOff>
    </xdr:to>
    <xdr:sp macro="" textlink="">
      <xdr:nvSpPr>
        <xdr:cNvPr id="201792" name="Line 64"/>
        <xdr:cNvSpPr>
          <a:spLocks noChangeShapeType="1"/>
        </xdr:cNvSpPr>
      </xdr:nvSpPr>
      <xdr:spPr bwMode="auto">
        <a:xfrm flipV="1">
          <a:off x="4371975" y="4800600"/>
          <a:ext cx="304800" cy="895350"/>
        </a:xfrm>
        <a:prstGeom prst="line">
          <a:avLst/>
        </a:prstGeom>
        <a:noFill/>
        <a:ln w="15875">
          <a:solidFill>
            <a:srgbClr val="3366FF"/>
          </a:solidFill>
          <a:round/>
          <a:headEnd/>
          <a:tailEnd type="triangle" w="med" len="med"/>
        </a:ln>
        <a:effectLst/>
      </xdr:spPr>
    </xdr:sp>
    <xdr:clientData/>
  </xdr:twoCellAnchor>
  <xdr:twoCellAnchor>
    <xdr:from>
      <xdr:col>6</xdr:col>
      <xdr:colOff>504825</xdr:colOff>
      <xdr:row>15</xdr:row>
      <xdr:rowOff>66675</xdr:rowOff>
    </xdr:from>
    <xdr:to>
      <xdr:col>7</xdr:col>
      <xdr:colOff>0</xdr:colOff>
      <xdr:row>16</xdr:row>
      <xdr:rowOff>0</xdr:rowOff>
    </xdr:to>
    <xdr:sp macro="" textlink="">
      <xdr:nvSpPr>
        <xdr:cNvPr id="201793" name="Oval 65"/>
        <xdr:cNvSpPr>
          <a:spLocks noChangeArrowheads="1"/>
        </xdr:cNvSpPr>
      </xdr:nvSpPr>
      <xdr:spPr bwMode="auto">
        <a:xfrm>
          <a:off x="4162425" y="2609850"/>
          <a:ext cx="104775" cy="95250"/>
        </a:xfrm>
        <a:prstGeom prst="ellipse">
          <a:avLst/>
        </a:prstGeom>
        <a:solidFill>
          <a:srgbClr val="CCFFCC"/>
        </a:solidFill>
        <a:ln w="9525">
          <a:solidFill>
            <a:srgbClr val="000000"/>
          </a:solidFill>
          <a:round/>
          <a:headEnd/>
          <a:tailEnd/>
        </a:ln>
        <a:effectLst/>
      </xdr:spPr>
    </xdr:sp>
    <xdr:clientData/>
  </xdr:twoCellAnchor>
  <xdr:twoCellAnchor>
    <xdr:from>
      <xdr:col>4</xdr:col>
      <xdr:colOff>142875</xdr:colOff>
      <xdr:row>30</xdr:row>
      <xdr:rowOff>66675</xdr:rowOff>
    </xdr:from>
    <xdr:to>
      <xdr:col>5</xdr:col>
      <xdr:colOff>428625</xdr:colOff>
      <xdr:row>32</xdr:row>
      <xdr:rowOff>123825</xdr:rowOff>
    </xdr:to>
    <xdr:sp macro="[0]!GOTOReach10" textlink="">
      <xdr:nvSpPr>
        <xdr:cNvPr id="201794" name="Text Box 66"/>
        <xdr:cNvSpPr txBox="1">
          <a:spLocks noChangeArrowheads="1"/>
        </xdr:cNvSpPr>
      </xdr:nvSpPr>
      <xdr:spPr bwMode="auto">
        <a:xfrm>
          <a:off x="2581275" y="5038725"/>
          <a:ext cx="895350" cy="38100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Smiths Fork</a:t>
          </a:r>
        </a:p>
      </xdr:txBody>
    </xdr:sp>
    <xdr:clientData/>
  </xdr:twoCellAnchor>
  <xdr:twoCellAnchor>
    <xdr:from>
      <xdr:col>6</xdr:col>
      <xdr:colOff>66675</xdr:colOff>
      <xdr:row>34</xdr:row>
      <xdr:rowOff>123825</xdr:rowOff>
    </xdr:from>
    <xdr:to>
      <xdr:col>7</xdr:col>
      <xdr:colOff>371475</xdr:colOff>
      <xdr:row>37</xdr:row>
      <xdr:rowOff>66675</xdr:rowOff>
    </xdr:to>
    <xdr:sp macro="" textlink="">
      <xdr:nvSpPr>
        <xdr:cNvPr id="201795" name="Text Box 67"/>
        <xdr:cNvSpPr txBox="1">
          <a:spLocks noChangeArrowheads="1"/>
        </xdr:cNvSpPr>
      </xdr:nvSpPr>
      <xdr:spPr bwMode="auto">
        <a:xfrm>
          <a:off x="3724275" y="5743575"/>
          <a:ext cx="914400" cy="428625"/>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Thomas Fork</a:t>
          </a:r>
        </a:p>
      </xdr:txBody>
    </xdr:sp>
    <xdr:clientData/>
  </xdr:twoCellAnchor>
  <xdr:twoCellAnchor>
    <xdr:from>
      <xdr:col>6</xdr:col>
      <xdr:colOff>590550</xdr:colOff>
      <xdr:row>8</xdr:row>
      <xdr:rowOff>9525</xdr:rowOff>
    </xdr:from>
    <xdr:to>
      <xdr:col>7</xdr:col>
      <xdr:colOff>457200</xdr:colOff>
      <xdr:row>12</xdr:row>
      <xdr:rowOff>47625</xdr:rowOff>
    </xdr:to>
    <xdr:sp macro="" textlink="">
      <xdr:nvSpPr>
        <xdr:cNvPr id="201796" name="Line 68"/>
        <xdr:cNvSpPr>
          <a:spLocks noChangeShapeType="1"/>
        </xdr:cNvSpPr>
      </xdr:nvSpPr>
      <xdr:spPr bwMode="auto">
        <a:xfrm flipH="1">
          <a:off x="4248150" y="1409700"/>
          <a:ext cx="476250" cy="695325"/>
        </a:xfrm>
        <a:prstGeom prst="line">
          <a:avLst/>
        </a:prstGeom>
        <a:noFill/>
        <a:ln w="15875">
          <a:solidFill>
            <a:srgbClr val="0000FF"/>
          </a:solidFill>
          <a:round/>
          <a:headEnd/>
          <a:tailEnd type="triangle" w="med" len="med"/>
        </a:ln>
        <a:effectLst/>
      </xdr:spPr>
    </xdr:sp>
    <xdr:clientData/>
  </xdr:twoCellAnchor>
  <xdr:twoCellAnchor>
    <xdr:from>
      <xdr:col>7</xdr:col>
      <xdr:colOff>447675</xdr:colOff>
      <xdr:row>6</xdr:row>
      <xdr:rowOff>104775</xdr:rowOff>
    </xdr:from>
    <xdr:to>
      <xdr:col>9</xdr:col>
      <xdr:colOff>180975</xdr:colOff>
      <xdr:row>9</xdr:row>
      <xdr:rowOff>19050</xdr:rowOff>
    </xdr:to>
    <xdr:sp macro="[0]!GOTOReach5" textlink="">
      <xdr:nvSpPr>
        <xdr:cNvPr id="201797" name="Text Box 69"/>
        <xdr:cNvSpPr txBox="1">
          <a:spLocks noChangeArrowheads="1"/>
        </xdr:cNvSpPr>
      </xdr:nvSpPr>
      <xdr:spPr bwMode="auto">
        <a:xfrm>
          <a:off x="4714875" y="1181100"/>
          <a:ext cx="952500" cy="4000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Yellow Creek</a:t>
          </a:r>
        </a:p>
      </xdr:txBody>
    </xdr:sp>
    <xdr:clientData/>
  </xdr:twoCellAnchor>
  <xdr:twoCellAnchor>
    <xdr:from>
      <xdr:col>6</xdr:col>
      <xdr:colOff>161925</xdr:colOff>
      <xdr:row>3</xdr:row>
      <xdr:rowOff>104775</xdr:rowOff>
    </xdr:from>
    <xdr:to>
      <xdr:col>8</xdr:col>
      <xdr:colOff>219075</xdr:colOff>
      <xdr:row>5</xdr:row>
      <xdr:rowOff>76200</xdr:rowOff>
    </xdr:to>
    <xdr:sp macro="[0]!GOTOReach1" textlink="">
      <xdr:nvSpPr>
        <xdr:cNvPr id="201798" name="Text Box 70"/>
        <xdr:cNvSpPr txBox="1">
          <a:spLocks noChangeArrowheads="1"/>
        </xdr:cNvSpPr>
      </xdr:nvSpPr>
      <xdr:spPr bwMode="auto">
        <a:xfrm>
          <a:off x="3819525" y="685800"/>
          <a:ext cx="1276350" cy="30480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Bear River</a:t>
          </a:r>
        </a:p>
      </xdr:txBody>
    </xdr:sp>
    <xdr:clientData/>
  </xdr:twoCellAnchor>
  <xdr:twoCellAnchor>
    <xdr:from>
      <xdr:col>3</xdr:col>
      <xdr:colOff>57150</xdr:colOff>
      <xdr:row>3</xdr:row>
      <xdr:rowOff>19050</xdr:rowOff>
    </xdr:from>
    <xdr:to>
      <xdr:col>7</xdr:col>
      <xdr:colOff>361950</xdr:colOff>
      <xdr:row>3</xdr:row>
      <xdr:rowOff>19050</xdr:rowOff>
    </xdr:to>
    <xdr:sp macro="" textlink="">
      <xdr:nvSpPr>
        <xdr:cNvPr id="201799" name="Line 71"/>
        <xdr:cNvSpPr>
          <a:spLocks noChangeShapeType="1"/>
        </xdr:cNvSpPr>
      </xdr:nvSpPr>
      <xdr:spPr bwMode="auto">
        <a:xfrm>
          <a:off x="1885950" y="600075"/>
          <a:ext cx="2743200" cy="0"/>
        </a:xfrm>
        <a:prstGeom prst="line">
          <a:avLst/>
        </a:prstGeom>
        <a:noFill/>
        <a:ln w="25400">
          <a:solidFill>
            <a:srgbClr val="424242"/>
          </a:solidFill>
          <a:round/>
          <a:headEnd/>
          <a:tailEnd/>
        </a:ln>
        <a:effectLst/>
      </xdr:spPr>
    </xdr:sp>
    <xdr:clientData/>
  </xdr:twoCellAnchor>
  <xdr:twoCellAnchor>
    <xdr:from>
      <xdr:col>7</xdr:col>
      <xdr:colOff>371475</xdr:colOff>
      <xdr:row>3</xdr:row>
      <xdr:rowOff>9525</xdr:rowOff>
    </xdr:from>
    <xdr:to>
      <xdr:col>7</xdr:col>
      <xdr:colOff>371475</xdr:colOff>
      <xdr:row>36</xdr:row>
      <xdr:rowOff>28575</xdr:rowOff>
    </xdr:to>
    <xdr:sp macro="" textlink="">
      <xdr:nvSpPr>
        <xdr:cNvPr id="201800" name="Line 72"/>
        <xdr:cNvSpPr>
          <a:spLocks noChangeShapeType="1"/>
        </xdr:cNvSpPr>
      </xdr:nvSpPr>
      <xdr:spPr bwMode="auto">
        <a:xfrm>
          <a:off x="4638675" y="590550"/>
          <a:ext cx="0" cy="5381625"/>
        </a:xfrm>
        <a:prstGeom prst="line">
          <a:avLst/>
        </a:prstGeom>
        <a:noFill/>
        <a:ln w="25400">
          <a:solidFill>
            <a:srgbClr val="424242"/>
          </a:solidFill>
          <a:round/>
          <a:headEnd/>
          <a:tailEnd/>
        </a:ln>
        <a:effectLst/>
      </xdr:spPr>
    </xdr:sp>
    <xdr:clientData/>
  </xdr:twoCellAnchor>
  <xdr:twoCellAnchor>
    <xdr:from>
      <xdr:col>6</xdr:col>
      <xdr:colOff>485775</xdr:colOff>
      <xdr:row>16</xdr:row>
      <xdr:rowOff>28575</xdr:rowOff>
    </xdr:from>
    <xdr:to>
      <xdr:col>7</xdr:col>
      <xdr:colOff>19050</xdr:colOff>
      <xdr:row>16</xdr:row>
      <xdr:rowOff>152400</xdr:rowOff>
    </xdr:to>
    <xdr:sp macro="" textlink="">
      <xdr:nvSpPr>
        <xdr:cNvPr id="201801" name="AutoShape 73"/>
        <xdr:cNvSpPr>
          <a:spLocks noChangeArrowheads="1"/>
        </xdr:cNvSpPr>
      </xdr:nvSpPr>
      <xdr:spPr bwMode="auto">
        <a:xfrm>
          <a:off x="4143375" y="2733675"/>
          <a:ext cx="142875" cy="123825"/>
        </a:xfrm>
        <a:prstGeom prst="triangle">
          <a:avLst>
            <a:gd name="adj" fmla="val 45454"/>
          </a:avLst>
        </a:prstGeom>
        <a:solidFill>
          <a:srgbClr val="CCFFCC"/>
        </a:solidFill>
        <a:ln w="9525">
          <a:solidFill>
            <a:srgbClr val="000000"/>
          </a:solidFill>
          <a:miter lim="800000"/>
          <a:headEnd/>
          <a:tailEnd/>
        </a:ln>
        <a:effectLst/>
      </xdr:spPr>
    </xdr:sp>
    <xdr:clientData/>
  </xdr:twoCellAnchor>
  <xdr:twoCellAnchor>
    <xdr:from>
      <xdr:col>9</xdr:col>
      <xdr:colOff>428625</xdr:colOff>
      <xdr:row>20</xdr:row>
      <xdr:rowOff>114300</xdr:rowOff>
    </xdr:from>
    <xdr:to>
      <xdr:col>11</xdr:col>
      <xdr:colOff>371475</xdr:colOff>
      <xdr:row>23</xdr:row>
      <xdr:rowOff>104775</xdr:rowOff>
    </xdr:to>
    <xdr:sp macro="" textlink="">
      <xdr:nvSpPr>
        <xdr:cNvPr id="201802" name="Text Box 74"/>
        <xdr:cNvSpPr txBox="1">
          <a:spLocks noChangeArrowheads="1"/>
        </xdr:cNvSpPr>
      </xdr:nvSpPr>
      <xdr:spPr bwMode="auto">
        <a:xfrm>
          <a:off x="5915025" y="3467100"/>
          <a:ext cx="1162050" cy="476250"/>
        </a:xfrm>
        <a:prstGeom prst="rect">
          <a:avLst/>
        </a:prstGeom>
        <a:solidFill>
          <a:srgbClr val="FFFFFF"/>
        </a:solidFill>
        <a:ln w="9525">
          <a:noFill/>
          <a:miter lim="800000"/>
          <a:headEnd/>
          <a:tailEnd/>
        </a:ln>
        <a:effectLst/>
      </xdr:spPr>
      <xdr:txBody>
        <a:bodyPr vertOverflow="clip" wrap="square" lIns="36576" tIns="32004" rIns="0" bIns="0" anchor="t" upright="1"/>
        <a:lstStyle/>
        <a:p>
          <a:pPr algn="l" rtl="0">
            <a:defRPr sz="1000"/>
          </a:pPr>
          <a:r>
            <a:rPr lang="en-US" sz="2000" b="1" i="0" u="none" strike="noStrike" baseline="0">
              <a:solidFill>
                <a:srgbClr val="0000FF"/>
              </a:solidFill>
              <a:latin typeface="Arial"/>
              <a:cs typeface="Arial"/>
            </a:rPr>
            <a:t>UTAH</a:t>
          </a:r>
        </a:p>
      </xdr:txBody>
    </xdr:sp>
    <xdr:clientData/>
  </xdr:twoCellAnchor>
  <xdr:twoCellAnchor>
    <xdr:from>
      <xdr:col>1</xdr:col>
      <xdr:colOff>466725</xdr:colOff>
      <xdr:row>9</xdr:row>
      <xdr:rowOff>104775</xdr:rowOff>
    </xdr:from>
    <xdr:to>
      <xdr:col>4</xdr:col>
      <xdr:colOff>304800</xdr:colOff>
      <xdr:row>13</xdr:row>
      <xdr:rowOff>114300</xdr:rowOff>
    </xdr:to>
    <xdr:sp macro="" textlink="">
      <xdr:nvSpPr>
        <xdr:cNvPr id="201803" name="Text Box 75"/>
        <xdr:cNvSpPr txBox="1">
          <a:spLocks noChangeArrowheads="1"/>
        </xdr:cNvSpPr>
      </xdr:nvSpPr>
      <xdr:spPr bwMode="auto">
        <a:xfrm>
          <a:off x="1076325" y="1666875"/>
          <a:ext cx="1666875" cy="666750"/>
        </a:xfrm>
        <a:prstGeom prst="rect">
          <a:avLst/>
        </a:prstGeom>
        <a:solidFill>
          <a:srgbClr val="FFFFFF"/>
        </a:solidFill>
        <a:ln w="9525">
          <a:noFill/>
          <a:miter lim="800000"/>
          <a:headEnd/>
          <a:tailEnd/>
        </a:ln>
        <a:effectLst/>
      </xdr:spPr>
      <xdr:txBody>
        <a:bodyPr vertOverflow="clip" wrap="square" lIns="36576" tIns="32004" rIns="0" bIns="0" anchor="t" upright="1"/>
        <a:lstStyle/>
        <a:p>
          <a:pPr algn="l" rtl="0">
            <a:defRPr sz="1000"/>
          </a:pPr>
          <a:r>
            <a:rPr lang="en-US" sz="2000" b="1" i="0" u="none" strike="noStrike" baseline="0">
              <a:solidFill>
                <a:srgbClr val="0000FF"/>
              </a:solidFill>
              <a:latin typeface="Arial"/>
              <a:cs typeface="Arial"/>
            </a:rPr>
            <a:t>WYOMING</a:t>
          </a:r>
        </a:p>
      </xdr:txBody>
    </xdr:sp>
    <xdr:clientData/>
  </xdr:twoCellAnchor>
  <xdr:twoCellAnchor>
    <xdr:from>
      <xdr:col>7</xdr:col>
      <xdr:colOff>390525</xdr:colOff>
      <xdr:row>25</xdr:row>
      <xdr:rowOff>28575</xdr:rowOff>
    </xdr:from>
    <xdr:to>
      <xdr:col>12</xdr:col>
      <xdr:colOff>333375</xdr:colOff>
      <xdr:row>25</xdr:row>
      <xdr:rowOff>28575</xdr:rowOff>
    </xdr:to>
    <xdr:sp macro="" textlink="">
      <xdr:nvSpPr>
        <xdr:cNvPr id="201804" name="Line 76"/>
        <xdr:cNvSpPr>
          <a:spLocks noChangeShapeType="1"/>
        </xdr:cNvSpPr>
      </xdr:nvSpPr>
      <xdr:spPr bwMode="auto">
        <a:xfrm>
          <a:off x="4657725" y="4191000"/>
          <a:ext cx="2990850" cy="0"/>
        </a:xfrm>
        <a:prstGeom prst="line">
          <a:avLst/>
        </a:prstGeom>
        <a:noFill/>
        <a:ln w="25400">
          <a:solidFill>
            <a:srgbClr val="424242"/>
          </a:solidFill>
          <a:round/>
          <a:headEnd/>
          <a:tailEnd/>
        </a:ln>
        <a:effectLst/>
      </xdr:spPr>
    </xdr:sp>
    <xdr:clientData/>
  </xdr:twoCellAnchor>
  <xdr:twoCellAnchor>
    <xdr:from>
      <xdr:col>9</xdr:col>
      <xdr:colOff>409575</xdr:colOff>
      <xdr:row>25</xdr:row>
      <xdr:rowOff>142875</xdr:rowOff>
    </xdr:from>
    <xdr:to>
      <xdr:col>12</xdr:col>
      <xdr:colOff>390525</xdr:colOff>
      <xdr:row>29</xdr:row>
      <xdr:rowOff>19050</xdr:rowOff>
    </xdr:to>
    <xdr:sp macro="" textlink="">
      <xdr:nvSpPr>
        <xdr:cNvPr id="201805" name="Text Box 77"/>
        <xdr:cNvSpPr txBox="1">
          <a:spLocks noChangeArrowheads="1"/>
        </xdr:cNvSpPr>
      </xdr:nvSpPr>
      <xdr:spPr bwMode="auto">
        <a:xfrm>
          <a:off x="5895975" y="4305300"/>
          <a:ext cx="1809750" cy="523875"/>
        </a:xfrm>
        <a:prstGeom prst="rect">
          <a:avLst/>
        </a:prstGeom>
        <a:solidFill>
          <a:srgbClr val="FFFFFF"/>
        </a:solidFill>
        <a:ln w="9525">
          <a:noFill/>
          <a:miter lim="800000"/>
          <a:headEnd/>
          <a:tailEnd/>
        </a:ln>
        <a:effectLst/>
      </xdr:spPr>
      <xdr:txBody>
        <a:bodyPr vertOverflow="clip" wrap="square" lIns="36576" tIns="32004" rIns="0" bIns="0" anchor="t" upright="1"/>
        <a:lstStyle/>
        <a:p>
          <a:pPr algn="l" rtl="0">
            <a:defRPr sz="1000"/>
          </a:pPr>
          <a:r>
            <a:rPr lang="en-US" sz="2000" b="1" i="0" u="none" strike="noStrike" baseline="0">
              <a:solidFill>
                <a:srgbClr val="0000FF"/>
              </a:solidFill>
              <a:latin typeface="Arial"/>
              <a:cs typeface="Arial"/>
            </a:rPr>
            <a:t>IDAHO</a:t>
          </a:r>
        </a:p>
      </xdr:txBody>
    </xdr:sp>
    <xdr:clientData/>
  </xdr:twoCellAnchor>
  <xdr:twoCellAnchor>
    <xdr:from>
      <xdr:col>3</xdr:col>
      <xdr:colOff>142875</xdr:colOff>
      <xdr:row>3</xdr:row>
      <xdr:rowOff>114300</xdr:rowOff>
    </xdr:from>
    <xdr:to>
      <xdr:col>4</xdr:col>
      <xdr:colOff>361950</xdr:colOff>
      <xdr:row>4</xdr:row>
      <xdr:rowOff>123825</xdr:rowOff>
    </xdr:to>
    <xdr:sp macro="[0]!GOTOReach2" textlink="">
      <xdr:nvSpPr>
        <xdr:cNvPr id="201806" name="Text Box 78"/>
        <xdr:cNvSpPr txBox="1">
          <a:spLocks noChangeArrowheads="1"/>
        </xdr:cNvSpPr>
      </xdr:nvSpPr>
      <xdr:spPr bwMode="auto">
        <a:xfrm>
          <a:off x="1971675" y="695325"/>
          <a:ext cx="828675" cy="180975"/>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2</a:t>
          </a:r>
        </a:p>
      </xdr:txBody>
    </xdr:sp>
    <xdr:clientData/>
  </xdr:twoCellAnchor>
  <xdr:twoCellAnchor>
    <xdr:from>
      <xdr:col>6</xdr:col>
      <xdr:colOff>209550</xdr:colOff>
      <xdr:row>1</xdr:row>
      <xdr:rowOff>114300</xdr:rowOff>
    </xdr:from>
    <xdr:to>
      <xdr:col>7</xdr:col>
      <xdr:colOff>428625</xdr:colOff>
      <xdr:row>2</xdr:row>
      <xdr:rowOff>123825</xdr:rowOff>
    </xdr:to>
    <xdr:sp macro="[0]!GOTOReach1" textlink="">
      <xdr:nvSpPr>
        <xdr:cNvPr id="201807" name="Text Box 79"/>
        <xdr:cNvSpPr txBox="1">
          <a:spLocks noChangeArrowheads="1"/>
        </xdr:cNvSpPr>
      </xdr:nvSpPr>
      <xdr:spPr bwMode="auto">
        <a:xfrm>
          <a:off x="3867150" y="276225"/>
          <a:ext cx="828675" cy="26670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1</a:t>
          </a:r>
        </a:p>
      </xdr:txBody>
    </xdr:sp>
    <xdr:clientData/>
  </xdr:twoCellAnchor>
  <xdr:twoCellAnchor>
    <xdr:from>
      <xdr:col>4</xdr:col>
      <xdr:colOff>571500</xdr:colOff>
      <xdr:row>7</xdr:row>
      <xdr:rowOff>133350</xdr:rowOff>
    </xdr:from>
    <xdr:to>
      <xdr:col>6</xdr:col>
      <xdr:colOff>180975</xdr:colOff>
      <xdr:row>8</xdr:row>
      <xdr:rowOff>142875</xdr:rowOff>
    </xdr:to>
    <xdr:sp macro="[0]!GOTOReach3" textlink="">
      <xdr:nvSpPr>
        <xdr:cNvPr id="201808" name="Text Box 80"/>
        <xdr:cNvSpPr txBox="1">
          <a:spLocks noChangeArrowheads="1"/>
        </xdr:cNvSpPr>
      </xdr:nvSpPr>
      <xdr:spPr bwMode="auto">
        <a:xfrm>
          <a:off x="3009900" y="1371600"/>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3</a:t>
          </a:r>
        </a:p>
      </xdr:txBody>
    </xdr:sp>
    <xdr:clientData/>
  </xdr:twoCellAnchor>
  <xdr:twoCellAnchor>
    <xdr:from>
      <xdr:col>5</xdr:col>
      <xdr:colOff>161925</xdr:colOff>
      <xdr:row>10</xdr:row>
      <xdr:rowOff>142875</xdr:rowOff>
    </xdr:from>
    <xdr:to>
      <xdr:col>6</xdr:col>
      <xdr:colOff>381000</xdr:colOff>
      <xdr:row>11</xdr:row>
      <xdr:rowOff>152400</xdr:rowOff>
    </xdr:to>
    <xdr:sp macro="[0]!GOTOReach4" textlink="">
      <xdr:nvSpPr>
        <xdr:cNvPr id="201809" name="Text Box 81"/>
        <xdr:cNvSpPr txBox="1">
          <a:spLocks noChangeArrowheads="1"/>
        </xdr:cNvSpPr>
      </xdr:nvSpPr>
      <xdr:spPr bwMode="auto">
        <a:xfrm>
          <a:off x="3209925" y="1876425"/>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4</a:t>
          </a:r>
        </a:p>
      </xdr:txBody>
    </xdr:sp>
    <xdr:clientData/>
  </xdr:twoCellAnchor>
  <xdr:twoCellAnchor>
    <xdr:from>
      <xdr:col>5</xdr:col>
      <xdr:colOff>266700</xdr:colOff>
      <xdr:row>13</xdr:row>
      <xdr:rowOff>133350</xdr:rowOff>
    </xdr:from>
    <xdr:to>
      <xdr:col>6</xdr:col>
      <xdr:colOff>485775</xdr:colOff>
      <xdr:row>14</xdr:row>
      <xdr:rowOff>142875</xdr:rowOff>
    </xdr:to>
    <xdr:sp macro="[0]!GOTOReach5" textlink="">
      <xdr:nvSpPr>
        <xdr:cNvPr id="201810" name="Text Box 82"/>
        <xdr:cNvSpPr txBox="1">
          <a:spLocks noChangeArrowheads="1"/>
        </xdr:cNvSpPr>
      </xdr:nvSpPr>
      <xdr:spPr bwMode="auto">
        <a:xfrm>
          <a:off x="3314700" y="2352675"/>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5</a:t>
          </a:r>
        </a:p>
      </xdr:txBody>
    </xdr:sp>
    <xdr:clientData/>
  </xdr:twoCellAnchor>
  <xdr:twoCellAnchor>
    <xdr:from>
      <xdr:col>5</xdr:col>
      <xdr:colOff>219075</xdr:colOff>
      <xdr:row>16</xdr:row>
      <xdr:rowOff>133350</xdr:rowOff>
    </xdr:from>
    <xdr:to>
      <xdr:col>6</xdr:col>
      <xdr:colOff>438150</xdr:colOff>
      <xdr:row>17</xdr:row>
      <xdr:rowOff>142875</xdr:rowOff>
    </xdr:to>
    <xdr:sp macro="[0]!GOTOReach6" textlink="">
      <xdr:nvSpPr>
        <xdr:cNvPr id="201812" name="Text Box 84"/>
        <xdr:cNvSpPr txBox="1">
          <a:spLocks noChangeArrowheads="1"/>
        </xdr:cNvSpPr>
      </xdr:nvSpPr>
      <xdr:spPr bwMode="auto">
        <a:xfrm>
          <a:off x="3267075" y="2838450"/>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6</a:t>
          </a:r>
        </a:p>
      </xdr:txBody>
    </xdr:sp>
    <xdr:clientData/>
  </xdr:twoCellAnchor>
  <xdr:twoCellAnchor>
    <xdr:from>
      <xdr:col>8</xdr:col>
      <xdr:colOff>19050</xdr:colOff>
      <xdr:row>17</xdr:row>
      <xdr:rowOff>76200</xdr:rowOff>
    </xdr:from>
    <xdr:to>
      <xdr:col>9</xdr:col>
      <xdr:colOff>238125</xdr:colOff>
      <xdr:row>18</xdr:row>
      <xdr:rowOff>85725</xdr:rowOff>
    </xdr:to>
    <xdr:sp macro="[0]!GOTOReach7" textlink="">
      <xdr:nvSpPr>
        <xdr:cNvPr id="201813" name="Text Box 85"/>
        <xdr:cNvSpPr txBox="1">
          <a:spLocks noChangeArrowheads="1"/>
        </xdr:cNvSpPr>
      </xdr:nvSpPr>
      <xdr:spPr bwMode="auto">
        <a:xfrm>
          <a:off x="4895850" y="2943225"/>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7</a:t>
          </a:r>
        </a:p>
      </xdr:txBody>
    </xdr:sp>
    <xdr:clientData/>
  </xdr:twoCellAnchor>
  <xdr:twoCellAnchor>
    <xdr:from>
      <xdr:col>5</xdr:col>
      <xdr:colOff>485775</xdr:colOff>
      <xdr:row>21</xdr:row>
      <xdr:rowOff>0</xdr:rowOff>
    </xdr:from>
    <xdr:to>
      <xdr:col>7</xdr:col>
      <xdr:colOff>95250</xdr:colOff>
      <xdr:row>22</xdr:row>
      <xdr:rowOff>9525</xdr:rowOff>
    </xdr:to>
    <xdr:sp macro="[0]!GOTOReach8" textlink="">
      <xdr:nvSpPr>
        <xdr:cNvPr id="201814" name="Text Box 86"/>
        <xdr:cNvSpPr txBox="1">
          <a:spLocks noChangeArrowheads="1"/>
        </xdr:cNvSpPr>
      </xdr:nvSpPr>
      <xdr:spPr bwMode="auto">
        <a:xfrm>
          <a:off x="3533775" y="3514725"/>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8</a:t>
          </a:r>
        </a:p>
      </xdr:txBody>
    </xdr:sp>
    <xdr:clientData/>
  </xdr:twoCellAnchor>
  <xdr:twoCellAnchor>
    <xdr:from>
      <xdr:col>5</xdr:col>
      <xdr:colOff>209550</xdr:colOff>
      <xdr:row>24</xdr:row>
      <xdr:rowOff>133350</xdr:rowOff>
    </xdr:from>
    <xdr:to>
      <xdr:col>6</xdr:col>
      <xdr:colOff>428625</xdr:colOff>
      <xdr:row>25</xdr:row>
      <xdr:rowOff>142875</xdr:rowOff>
    </xdr:to>
    <xdr:sp macro="[0]!GOTOReach9" textlink="">
      <xdr:nvSpPr>
        <xdr:cNvPr id="201815" name="Text Box 87"/>
        <xdr:cNvSpPr txBox="1">
          <a:spLocks noChangeArrowheads="1"/>
        </xdr:cNvSpPr>
      </xdr:nvSpPr>
      <xdr:spPr bwMode="auto">
        <a:xfrm>
          <a:off x="3257550" y="4133850"/>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9</a:t>
          </a:r>
        </a:p>
      </xdr:txBody>
    </xdr:sp>
    <xdr:clientData/>
  </xdr:twoCellAnchor>
  <xdr:twoCellAnchor>
    <xdr:from>
      <xdr:col>4</xdr:col>
      <xdr:colOff>276225</xdr:colOff>
      <xdr:row>28</xdr:row>
      <xdr:rowOff>142875</xdr:rowOff>
    </xdr:from>
    <xdr:to>
      <xdr:col>5</xdr:col>
      <xdr:colOff>495300</xdr:colOff>
      <xdr:row>29</xdr:row>
      <xdr:rowOff>152400</xdr:rowOff>
    </xdr:to>
    <xdr:sp macro="[0]!GOTOReach10" textlink="">
      <xdr:nvSpPr>
        <xdr:cNvPr id="201816" name="Text Box 88"/>
        <xdr:cNvSpPr txBox="1">
          <a:spLocks noChangeArrowheads="1"/>
        </xdr:cNvSpPr>
      </xdr:nvSpPr>
      <xdr:spPr bwMode="auto">
        <a:xfrm>
          <a:off x="2714625" y="4791075"/>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10</a:t>
          </a:r>
        </a:p>
      </xdr:txBody>
    </xdr:sp>
    <xdr:clientData/>
  </xdr:twoCellAnchor>
  <xdr:twoCellAnchor>
    <xdr:from>
      <xdr:col>7</xdr:col>
      <xdr:colOff>209550</xdr:colOff>
      <xdr:row>26</xdr:row>
      <xdr:rowOff>19050</xdr:rowOff>
    </xdr:from>
    <xdr:to>
      <xdr:col>8</xdr:col>
      <xdr:colOff>428625</xdr:colOff>
      <xdr:row>27</xdr:row>
      <xdr:rowOff>28575</xdr:rowOff>
    </xdr:to>
    <xdr:sp macro="[0]!GOTOReach11" textlink="">
      <xdr:nvSpPr>
        <xdr:cNvPr id="201817" name="Text Box 89"/>
        <xdr:cNvSpPr txBox="1">
          <a:spLocks noChangeArrowheads="1"/>
        </xdr:cNvSpPr>
      </xdr:nvSpPr>
      <xdr:spPr bwMode="auto">
        <a:xfrm>
          <a:off x="4476750" y="4343400"/>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11</a:t>
          </a:r>
        </a:p>
      </xdr:txBody>
    </xdr:sp>
    <xdr:clientData/>
  </xdr:twoCellAnchor>
  <xdr:twoCellAnchor>
    <xdr:from>
      <xdr:col>8</xdr:col>
      <xdr:colOff>209550</xdr:colOff>
      <xdr:row>29</xdr:row>
      <xdr:rowOff>19050</xdr:rowOff>
    </xdr:from>
    <xdr:to>
      <xdr:col>9</xdr:col>
      <xdr:colOff>428625</xdr:colOff>
      <xdr:row>30</xdr:row>
      <xdr:rowOff>28575</xdr:rowOff>
    </xdr:to>
    <xdr:sp macro="[0]!GOTOReach12" textlink="">
      <xdr:nvSpPr>
        <xdr:cNvPr id="201818" name="Text Box 90"/>
        <xdr:cNvSpPr txBox="1">
          <a:spLocks noChangeArrowheads="1"/>
        </xdr:cNvSpPr>
      </xdr:nvSpPr>
      <xdr:spPr bwMode="auto">
        <a:xfrm>
          <a:off x="5086350" y="4829175"/>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12</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23</xdr:col>
      <xdr:colOff>28575</xdr:colOff>
      <xdr:row>2</xdr:row>
      <xdr:rowOff>104775</xdr:rowOff>
    </xdr:from>
    <xdr:to>
      <xdr:col>24</xdr:col>
      <xdr:colOff>1323975</xdr:colOff>
      <xdr:row>3</xdr:row>
      <xdr:rowOff>142875</xdr:rowOff>
    </xdr:to>
    <xdr:sp macro="[0]!HELPScreen" textlink="">
      <xdr:nvSpPr>
        <xdr:cNvPr id="197711" name="Text Box 79"/>
        <xdr:cNvSpPr txBox="1">
          <a:spLocks noChangeArrowheads="1"/>
        </xdr:cNvSpPr>
      </xdr:nvSpPr>
      <xdr:spPr bwMode="auto">
        <a:xfrm>
          <a:off x="15287625" y="933450"/>
          <a:ext cx="2276475" cy="276225"/>
        </a:xfrm>
        <a:prstGeom prst="rect">
          <a:avLst/>
        </a:prstGeom>
        <a:noFill/>
        <a:ln w="9525">
          <a:noFill/>
          <a:miter lim="800000"/>
          <a:headEnd/>
          <a:tailEnd/>
        </a:ln>
        <a:effectLst/>
      </xdr:spPr>
      <xdr:txBody>
        <a:bodyPr vertOverflow="clip" wrap="square" lIns="27432" tIns="22860" rIns="0" bIns="0" anchor="t" upright="1"/>
        <a:lstStyle/>
        <a:p>
          <a:pPr algn="l" rtl="0">
            <a:defRPr sz="1000"/>
          </a:pPr>
          <a:r>
            <a:rPr lang="en-US" sz="1000" b="0" i="0" u="sng" strike="noStrike" baseline="0">
              <a:solidFill>
                <a:srgbClr val="0000FF"/>
              </a:solidFill>
              <a:latin typeface="Arial"/>
              <a:cs typeface="Arial"/>
            </a:rPr>
            <a:t>Return to Model Overview</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nal%20Models/Bear%20II%20Normal%20Year%20Model%20ARCHIVE.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Navigation"/>
      <sheetName val="BasinMap"/>
      <sheetName val="NodeList"/>
      <sheetName val="Reach 1"/>
      <sheetName val="Reach 2"/>
      <sheetName val="Reach 3"/>
      <sheetName val="Reach 4"/>
      <sheetName val="Reach 5"/>
      <sheetName val="Reach 6"/>
      <sheetName val="Reach 7"/>
      <sheetName val="Reach 8"/>
      <sheetName val="Reach 9"/>
      <sheetName val="Reach 10"/>
      <sheetName val="Reach 11"/>
      <sheetName val="Reach 12"/>
      <sheetName val="Irrigation Returns"/>
      <sheetName val="Evaporation"/>
      <sheetName val="Option Tables"/>
      <sheetName val="Diversion Data"/>
      <sheetName val="GainLoss"/>
      <sheetName val="GainLossCalcs"/>
      <sheetName val="ImportExport"/>
      <sheetName val="USGS Gages"/>
      <sheetName val="Summary Navigator"/>
      <sheetName val="Outflow Summary"/>
      <sheetName val="Diversion Summary"/>
      <sheetName val="Upper Division"/>
      <sheetName val="Central Division"/>
    </sheetNames>
    <sheetDataSet>
      <sheetData sheetId="0"/>
      <sheetData sheetId="1"/>
      <sheetData sheetId="2">
        <row r="5">
          <cell r="D5" t="str">
            <v>Node 1.00</v>
          </cell>
          <cell r="E5" t="str">
            <v>USGS 10011500:  Bear River near UT-WY State Line</v>
          </cell>
        </row>
        <row r="6">
          <cell r="D6" t="str">
            <v>Node 1.01</v>
          </cell>
          <cell r="E6" t="str">
            <v>Lannon &amp; Lone Mountain</v>
          </cell>
        </row>
        <row r="7">
          <cell r="D7" t="str">
            <v>Node 1.02</v>
          </cell>
          <cell r="E7" t="str">
            <v>Hilliard West Side</v>
          </cell>
        </row>
        <row r="8">
          <cell r="D8" t="str">
            <v>Node 1.03</v>
          </cell>
          <cell r="E8" t="str">
            <v>Bear Canal</v>
          </cell>
        </row>
        <row r="9">
          <cell r="D9" t="str">
            <v>Node 1.04</v>
          </cell>
          <cell r="E9" t="str">
            <v>Crown &amp; Pine Grove</v>
          </cell>
        </row>
        <row r="10">
          <cell r="D10" t="str">
            <v>Node 1.05</v>
          </cell>
          <cell r="E10" t="str">
            <v>McGraw &amp; Big Bend</v>
          </cell>
        </row>
        <row r="11">
          <cell r="D11" t="str">
            <v>Node 1.06</v>
          </cell>
          <cell r="E11" t="str">
            <v>Lewis</v>
          </cell>
        </row>
        <row r="12">
          <cell r="D12" t="str">
            <v>Node 1.07</v>
          </cell>
          <cell r="E12" t="str">
            <v>Meyers No. 2</v>
          </cell>
        </row>
        <row r="13">
          <cell r="D13" t="str">
            <v>Node 1.08</v>
          </cell>
          <cell r="E13" t="str">
            <v>Meyers No. 1</v>
          </cell>
        </row>
        <row r="14">
          <cell r="D14" t="str">
            <v>Node 1.09</v>
          </cell>
          <cell r="E14" t="str">
            <v>Meyers Irrigation</v>
          </cell>
        </row>
        <row r="15">
          <cell r="D15" t="str">
            <v>Node 1.10</v>
          </cell>
          <cell r="E15" t="str">
            <v>Evanston Pipeline</v>
          </cell>
        </row>
        <row r="16">
          <cell r="D16" t="str">
            <v>Node 1.11</v>
          </cell>
          <cell r="E16" t="str">
            <v>Booth</v>
          </cell>
        </row>
        <row r="17">
          <cell r="D17" t="str">
            <v>Node 1.12</v>
          </cell>
          <cell r="E17" t="str">
            <v>Anel</v>
          </cell>
        </row>
        <row r="18">
          <cell r="D18" t="str">
            <v>Node 1.13</v>
          </cell>
          <cell r="E18" t="str">
            <v>Evanston Water Supply</v>
          </cell>
        </row>
        <row r="19">
          <cell r="D19" t="str">
            <v>Node 1.15</v>
          </cell>
          <cell r="E19" t="str">
            <v>AggDiv BR-1</v>
          </cell>
        </row>
        <row r="20">
          <cell r="D20" t="str">
            <v>Node 1.18</v>
          </cell>
          <cell r="E20" t="str">
            <v>Confluence Mill Cr.</v>
          </cell>
        </row>
        <row r="21">
          <cell r="D21" t="str">
            <v>Node 2.00</v>
          </cell>
          <cell r="E21" t="str">
            <v>USGS 10015700:  Sulphur Cr. ab Res.Bl.La Chapelle Cr.Nr.Evanston,WY</v>
          </cell>
        </row>
        <row r="22">
          <cell r="D22" t="str">
            <v>Node 2.01</v>
          </cell>
          <cell r="E22" t="str">
            <v>AggDiv SC-1/Broadbent</v>
          </cell>
        </row>
        <row r="23">
          <cell r="D23" t="str">
            <v>Node 2.02</v>
          </cell>
          <cell r="E23" t="str">
            <v>Sulphur Creek Reservoir</v>
          </cell>
        </row>
        <row r="24">
          <cell r="D24" t="str">
            <v>Node 2.03</v>
          </cell>
          <cell r="E24" t="str">
            <v>AggDiv SC-2</v>
          </cell>
        </row>
        <row r="25">
          <cell r="D25" t="str">
            <v>Node 3.00</v>
          </cell>
          <cell r="E25" t="str">
            <v>Confluence Sulphur Creek / Bear River</v>
          </cell>
        </row>
        <row r="26">
          <cell r="D26" t="str">
            <v>Node 3.01</v>
          </cell>
          <cell r="E26" t="str">
            <v>Evanston Water Ditch</v>
          </cell>
        </row>
        <row r="27">
          <cell r="D27" t="str">
            <v>Node 3.02</v>
          </cell>
          <cell r="E27" t="str">
            <v>Rocky Mtn &amp; Blyth</v>
          </cell>
        </row>
        <row r="28">
          <cell r="D28" t="str">
            <v>Node 4.00</v>
          </cell>
          <cell r="E28" t="str">
            <v>USGS 10016900: Bear R. at Evanston, WY</v>
          </cell>
        </row>
        <row r="29">
          <cell r="D29" t="str">
            <v>Node 4.01</v>
          </cell>
          <cell r="E29" t="str">
            <v>John Simms</v>
          </cell>
        </row>
        <row r="30">
          <cell r="D30" t="str">
            <v>Node 4.02</v>
          </cell>
          <cell r="E30" t="str">
            <v>S P Ramsey</v>
          </cell>
        </row>
        <row r="31">
          <cell r="D31" t="str">
            <v>Node 4.03</v>
          </cell>
          <cell r="E31" t="str">
            <v>AggDiv BR-2</v>
          </cell>
        </row>
        <row r="32">
          <cell r="D32" t="str">
            <v>Node 5.00</v>
          </cell>
          <cell r="E32" t="str">
            <v>Confluence Yellow Creek / Bear River</v>
          </cell>
        </row>
        <row r="33">
          <cell r="D33" t="str">
            <v>Node 5.01</v>
          </cell>
          <cell r="E33" t="str">
            <v>Chapman Canal</v>
          </cell>
        </row>
        <row r="34">
          <cell r="D34" t="str">
            <v>Node 5.02</v>
          </cell>
          <cell r="E34" t="str">
            <v>Morris Bros (Lower)</v>
          </cell>
        </row>
        <row r="35">
          <cell r="D35" t="str">
            <v>Node 5.03</v>
          </cell>
          <cell r="E35" t="str">
            <v>AggDiv BR-3</v>
          </cell>
        </row>
        <row r="36">
          <cell r="D36" t="str">
            <v>Node 5.04</v>
          </cell>
          <cell r="E36" t="str">
            <v>Tunnel</v>
          </cell>
        </row>
        <row r="37">
          <cell r="D37" t="str">
            <v>Node 6.00</v>
          </cell>
          <cell r="E37" t="str">
            <v>USGS 10020100:  Bear R. ab res. nr Woodruff, UT</v>
          </cell>
        </row>
        <row r="38">
          <cell r="D38" t="str">
            <v>Node 6.01</v>
          </cell>
          <cell r="E38" t="str">
            <v>Woodruff Narrows Reservoir</v>
          </cell>
        </row>
        <row r="39">
          <cell r="D39" t="str">
            <v>Node 7.00</v>
          </cell>
          <cell r="E39" t="str">
            <v>USGS 10020300:  Bear R. bel res. nr Woodruff, UT</v>
          </cell>
        </row>
        <row r="40">
          <cell r="D40" t="str">
            <v>Node 7.01</v>
          </cell>
          <cell r="E40" t="str">
            <v>Francis Lee</v>
          </cell>
        </row>
        <row r="41">
          <cell r="D41" t="str">
            <v>Node 7.02</v>
          </cell>
          <cell r="E41" t="str">
            <v>Bear River Canal</v>
          </cell>
        </row>
        <row r="42">
          <cell r="D42" t="str">
            <v>Node 7.03</v>
          </cell>
          <cell r="E42" t="str">
            <v>Aggregate Utah Diversions</v>
          </cell>
        </row>
        <row r="43">
          <cell r="D43" t="str">
            <v>Node 7.04</v>
          </cell>
          <cell r="E43" t="str">
            <v>Partial Returns from Aggregate Utah Diversions</v>
          </cell>
        </row>
        <row r="44">
          <cell r="D44" t="str">
            <v>Node 8.00</v>
          </cell>
          <cell r="E44" t="str">
            <v>USGS 10026500:  Bear R. nr Randolph, UT</v>
          </cell>
        </row>
        <row r="45">
          <cell r="D45" t="str">
            <v>Node 8.01</v>
          </cell>
          <cell r="E45" t="str">
            <v>Pixley Dam</v>
          </cell>
        </row>
        <row r="46">
          <cell r="D46" t="str">
            <v>Node 8.02</v>
          </cell>
          <cell r="E46" t="str">
            <v>BQ Dam</v>
          </cell>
        </row>
        <row r="47">
          <cell r="D47" t="str">
            <v>Node 9.00</v>
          </cell>
          <cell r="E47" t="str">
            <v>USGS 10028500:  Bear R. bel Pixley Dam, near Cokeville, WY</v>
          </cell>
        </row>
        <row r="48">
          <cell r="D48" t="str">
            <v>Node 9.01</v>
          </cell>
          <cell r="E48" t="str">
            <v>Confluence Smiths Fork / Bear</v>
          </cell>
        </row>
        <row r="49">
          <cell r="D49" t="str">
            <v>Node 9.02</v>
          </cell>
          <cell r="E49" t="str">
            <v>AggDiv BR-4</v>
          </cell>
        </row>
        <row r="50">
          <cell r="D50" t="str">
            <v>Node 10.01</v>
          </cell>
          <cell r="E50" t="str">
            <v>USGS 10032000:  Smiths Fork nr Border,WY</v>
          </cell>
        </row>
        <row r="51">
          <cell r="D51" t="str">
            <v>Node 10.02</v>
          </cell>
          <cell r="E51" t="str">
            <v>Button Flat</v>
          </cell>
        </row>
        <row r="52">
          <cell r="D52" t="str">
            <v>Node 10.03</v>
          </cell>
          <cell r="E52" t="str">
            <v>Emelle</v>
          </cell>
        </row>
        <row r="53">
          <cell r="D53" t="str">
            <v>Node 10.04</v>
          </cell>
          <cell r="E53" t="str">
            <v>Cooper</v>
          </cell>
        </row>
        <row r="54">
          <cell r="D54" t="str">
            <v>Node 10.05</v>
          </cell>
          <cell r="E54" t="str">
            <v>Covey</v>
          </cell>
        </row>
        <row r="55">
          <cell r="D55" t="str">
            <v>Node 10.06</v>
          </cell>
          <cell r="E55" t="str">
            <v>VH Canal</v>
          </cell>
        </row>
        <row r="56">
          <cell r="D56" t="str">
            <v>Node 10.07</v>
          </cell>
          <cell r="E56" t="str">
            <v>Goodell</v>
          </cell>
        </row>
        <row r="57">
          <cell r="D57" t="str">
            <v>Node 10.08</v>
          </cell>
          <cell r="E57" t="str">
            <v>Whites Water</v>
          </cell>
        </row>
        <row r="58">
          <cell r="D58" t="str">
            <v>Node 10.09</v>
          </cell>
          <cell r="E58" t="str">
            <v>S Branch Irrigating</v>
          </cell>
        </row>
        <row r="59">
          <cell r="D59" t="str">
            <v>Node 10.10</v>
          </cell>
          <cell r="E59" t="str">
            <v>AggDiv SF-1</v>
          </cell>
        </row>
        <row r="60">
          <cell r="D60" t="str">
            <v>Node 11.00</v>
          </cell>
          <cell r="E60" t="str">
            <v>USGS 10038000:  Bear R. bel Smiths Fork, nr Cokeville, WY</v>
          </cell>
        </row>
        <row r="61">
          <cell r="D61" t="str">
            <v>Node 11.01</v>
          </cell>
          <cell r="E61" t="str">
            <v>AggDiv BR-5</v>
          </cell>
        </row>
        <row r="62">
          <cell r="D62" t="str">
            <v>Node 11.02</v>
          </cell>
          <cell r="E62" t="str">
            <v>Alonzo F. Sights</v>
          </cell>
        </row>
        <row r="63">
          <cell r="D63" t="str">
            <v>Node 11.03</v>
          </cell>
          <cell r="E63" t="str">
            <v>Oscar E. Snyder</v>
          </cell>
        </row>
        <row r="64">
          <cell r="D64" t="str">
            <v>Node 11.04</v>
          </cell>
          <cell r="E64" t="str">
            <v>Cook Brothers</v>
          </cell>
        </row>
        <row r="65">
          <cell r="D65" t="str">
            <v>Node 12.00</v>
          </cell>
          <cell r="E65" t="str">
            <v>USGS 10039500:  Bear R. at Border, WY</v>
          </cell>
        </row>
        <row r="66">
          <cell r="D66" t="str">
            <v>Node 12.01</v>
          </cell>
          <cell r="E66" t="str">
            <v>Confluence Thomas Fork</v>
          </cell>
        </row>
        <row r="67">
          <cell r="D67" t="str">
            <v>Node 12.02</v>
          </cell>
          <cell r="E67" t="str">
            <v>Aggregate Idaho Diversions</v>
          </cell>
        </row>
        <row r="68">
          <cell r="D68" t="str">
            <v>Node 12.03</v>
          </cell>
          <cell r="E68" t="str">
            <v>Rainbow Inlet</v>
          </cell>
        </row>
        <row r="69">
          <cell r="D69" t="str">
            <v>Node 12.04</v>
          </cell>
          <cell r="E69" t="str">
            <v>Stewart Dam</v>
          </cell>
        </row>
        <row r="70">
          <cell r="D70" t="str">
            <v>-</v>
          </cell>
          <cell r="E70" t="str">
            <v>-</v>
          </cell>
        </row>
        <row r="71">
          <cell r="D71" t="str">
            <v xml:space="preserve"> </v>
          </cell>
          <cell r="E71">
            <v>0</v>
          </cell>
        </row>
        <row r="72">
          <cell r="D72" t="str">
            <v xml:space="preserve"> </v>
          </cell>
          <cell r="E72">
            <v>0</v>
          </cell>
        </row>
        <row r="74">
          <cell r="D74" t="str">
            <v>Insert new nodes</v>
          </cell>
          <cell r="E74">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sheetPr codeName="Sheet18">
    <pageSetUpPr autoPageBreaks="0"/>
  </sheetPr>
  <dimension ref="A1:AY560"/>
  <sheetViews>
    <sheetView showGridLines="0" showRowColHeaders="0" zoomScale="75" zoomScaleNormal="75" workbookViewId="0">
      <pane ySplit="1" topLeftCell="A2" activePane="bottomLeft" state="frozen"/>
      <selection activeCell="B20" sqref="B20"/>
      <selection pane="bottomLeft" activeCell="A2" sqref="A2"/>
    </sheetView>
  </sheetViews>
  <sheetFormatPr defaultRowHeight="12.75"/>
  <cols>
    <col min="7" max="7" width="1.5703125" customWidth="1"/>
    <col min="8" max="8" width="13.140625" customWidth="1"/>
    <col min="10" max="10" width="9.7109375" customWidth="1"/>
    <col min="11" max="11" width="30.7109375" customWidth="1"/>
    <col min="19" max="19" width="10.28515625" bestFit="1" customWidth="1"/>
    <col min="20" max="20" width="10.28515625" customWidth="1"/>
    <col min="21" max="21" width="13.28515625" bestFit="1" customWidth="1"/>
    <col min="22" max="22" width="13.28515625" customWidth="1"/>
    <col min="23" max="23" width="13" customWidth="1"/>
    <col min="24" max="24" width="10.28515625" bestFit="1" customWidth="1"/>
    <col min="25" max="25" width="10.28515625" customWidth="1"/>
    <col min="26" max="27" width="10.28515625" bestFit="1" customWidth="1"/>
  </cols>
  <sheetData>
    <row r="1" spans="1:35" ht="60.75" customHeight="1" thickBot="1">
      <c r="A1" s="236"/>
      <c r="B1" s="236"/>
      <c r="C1" s="647" t="s">
        <v>248</v>
      </c>
      <c r="D1" s="647"/>
      <c r="E1" s="647"/>
      <c r="F1" s="647"/>
      <c r="G1" s="647"/>
      <c r="H1" s="647"/>
      <c r="I1" s="647"/>
      <c r="J1" s="236"/>
      <c r="K1" s="407" t="s">
        <v>537</v>
      </c>
      <c r="L1" s="47"/>
      <c r="M1" s="47"/>
      <c r="N1" s="47"/>
      <c r="O1" s="47"/>
      <c r="P1" s="47"/>
      <c r="Q1" s="47"/>
      <c r="R1" s="379" t="s">
        <v>509</v>
      </c>
      <c r="S1" s="47"/>
      <c r="T1" s="47"/>
      <c r="U1" s="47"/>
      <c r="V1" s="47"/>
      <c r="W1" s="47"/>
      <c r="X1" s="47"/>
      <c r="Y1" s="51"/>
      <c r="Z1" s="51"/>
      <c r="AA1" s="51"/>
      <c r="AB1" s="51"/>
      <c r="AC1" s="51"/>
      <c r="AD1" s="51"/>
      <c r="AE1" s="51"/>
      <c r="AF1" s="51"/>
      <c r="AG1" s="51"/>
      <c r="AH1" s="51"/>
      <c r="AI1" s="51"/>
    </row>
    <row r="2" spans="1:35" ht="27" thickTop="1" thickBot="1">
      <c r="A2" s="236"/>
      <c r="B2" s="49"/>
      <c r="C2" s="48"/>
      <c r="D2" s="48"/>
      <c r="E2" s="48"/>
      <c r="F2" s="48"/>
      <c r="G2" s="48"/>
      <c r="H2" s="48"/>
      <c r="I2" s="47"/>
      <c r="J2" s="47"/>
      <c r="K2" s="47"/>
      <c r="L2" s="47"/>
      <c r="M2" s="47"/>
      <c r="N2" s="47"/>
      <c r="O2" s="47"/>
      <c r="P2" s="47"/>
      <c r="Q2" s="47"/>
      <c r="R2" s="29"/>
      <c r="S2" s="640" t="s">
        <v>512</v>
      </c>
      <c r="T2" s="640"/>
      <c r="U2" s="640"/>
      <c r="V2" s="640"/>
      <c r="W2" s="640"/>
      <c r="X2" s="640"/>
      <c r="Y2" s="640"/>
      <c r="Z2" s="381"/>
      <c r="AA2" s="381"/>
      <c r="AB2" s="381"/>
      <c r="AC2" s="381"/>
      <c r="AD2" s="381"/>
      <c r="AE2" s="30"/>
      <c r="AF2" s="30"/>
      <c r="AG2" s="30"/>
      <c r="AH2" s="30"/>
      <c r="AI2" s="31"/>
    </row>
    <row r="3" spans="1:35" ht="12.75" customHeight="1">
      <c r="A3" s="49"/>
      <c r="B3" s="160" t="s">
        <v>91</v>
      </c>
      <c r="C3" s="147"/>
      <c r="D3" s="147"/>
      <c r="E3" s="147"/>
      <c r="F3" s="148"/>
      <c r="G3" s="50"/>
      <c r="H3" s="430" t="s">
        <v>35</v>
      </c>
      <c r="I3" s="431"/>
      <c r="J3" s="431"/>
      <c r="K3" s="432"/>
      <c r="L3" s="433"/>
      <c r="M3" s="433"/>
      <c r="N3" s="433"/>
      <c r="O3" s="433"/>
      <c r="P3" s="433"/>
      <c r="Q3" s="433"/>
      <c r="R3" s="382">
        <v>1</v>
      </c>
      <c r="S3" s="641" t="s">
        <v>508</v>
      </c>
      <c r="T3" s="641"/>
      <c r="U3" s="641"/>
      <c r="V3" s="641"/>
      <c r="W3" s="641"/>
      <c r="X3" s="641"/>
      <c r="Y3" s="641"/>
      <c r="Z3" s="641"/>
      <c r="AA3" s="641"/>
      <c r="AB3" s="641"/>
      <c r="AC3" s="641"/>
      <c r="AD3" s="641"/>
      <c r="AE3" s="34"/>
      <c r="AF3" s="34"/>
      <c r="AG3" s="34"/>
      <c r="AH3" s="34"/>
      <c r="AI3" s="35"/>
    </row>
    <row r="4" spans="1:35" ht="15" customHeight="1">
      <c r="A4" s="47"/>
      <c r="B4" s="149"/>
      <c r="C4" s="33"/>
      <c r="D4" s="33"/>
      <c r="E4" s="33"/>
      <c r="F4" s="150"/>
      <c r="G4" s="51"/>
      <c r="H4" s="642" t="str">
        <f>VLOOKUP(S18,R24:V48,5)</f>
        <v>Reach 1:  Wyoming/Utah State Line to Confluence with Sulphur Creek</v>
      </c>
      <c r="I4" s="643"/>
      <c r="J4" s="643"/>
      <c r="K4" s="644"/>
      <c r="L4" s="51"/>
      <c r="M4" s="47"/>
      <c r="N4" s="47"/>
      <c r="O4" s="47"/>
      <c r="P4" s="47"/>
      <c r="Q4" s="47"/>
      <c r="R4" s="32"/>
      <c r="S4" s="641"/>
      <c r="T4" s="641"/>
      <c r="U4" s="641"/>
      <c r="V4" s="641"/>
      <c r="W4" s="641"/>
      <c r="X4" s="641"/>
      <c r="Y4" s="641"/>
      <c r="Z4" s="641"/>
      <c r="AA4" s="641"/>
      <c r="AB4" s="641"/>
      <c r="AC4" s="641"/>
      <c r="AD4" s="641"/>
      <c r="AE4" s="34"/>
      <c r="AF4" s="34"/>
      <c r="AG4" s="34"/>
      <c r="AH4" s="34"/>
      <c r="AI4" s="35"/>
    </row>
    <row r="5" spans="1:35" ht="13.5" customHeight="1">
      <c r="A5" s="47"/>
      <c r="B5" s="149"/>
      <c r="C5" s="33"/>
      <c r="D5" s="33"/>
      <c r="E5" s="33"/>
      <c r="F5" s="150"/>
      <c r="G5" s="51"/>
      <c r="H5" s="642"/>
      <c r="I5" s="643"/>
      <c r="J5" s="643"/>
      <c r="K5" s="644"/>
      <c r="L5" s="51"/>
      <c r="M5" s="47"/>
      <c r="N5" s="47"/>
      <c r="O5" s="47"/>
      <c r="P5" s="47"/>
      <c r="Q5" s="47"/>
      <c r="R5" s="32"/>
      <c r="S5" s="641"/>
      <c r="T5" s="641"/>
      <c r="U5" s="641"/>
      <c r="V5" s="641"/>
      <c r="W5" s="641"/>
      <c r="X5" s="641"/>
      <c r="Y5" s="641"/>
      <c r="Z5" s="641"/>
      <c r="AA5" s="641"/>
      <c r="AB5" s="641"/>
      <c r="AC5" s="641"/>
      <c r="AD5" s="641"/>
      <c r="AE5" s="34"/>
      <c r="AF5" s="34"/>
      <c r="AG5" s="34"/>
      <c r="AH5" s="34"/>
      <c r="AI5" s="35"/>
    </row>
    <row r="6" spans="1:35" ht="15" customHeight="1">
      <c r="A6" s="47"/>
      <c r="B6" s="149"/>
      <c r="C6" s="33"/>
      <c r="D6" s="33"/>
      <c r="E6" s="33"/>
      <c r="F6" s="150"/>
      <c r="G6" s="51"/>
      <c r="H6" s="642"/>
      <c r="I6" s="643"/>
      <c r="J6" s="643"/>
      <c r="K6" s="644"/>
      <c r="L6" s="51"/>
      <c r="M6" s="47"/>
      <c r="N6" s="47"/>
      <c r="O6" s="47"/>
      <c r="P6" s="47"/>
      <c r="Q6" s="47"/>
      <c r="R6" s="32"/>
      <c r="S6" s="641"/>
      <c r="T6" s="641"/>
      <c r="U6" s="641"/>
      <c r="V6" s="641"/>
      <c r="W6" s="641"/>
      <c r="X6" s="641"/>
      <c r="Y6" s="641"/>
      <c r="Z6" s="641"/>
      <c r="AA6" s="641"/>
      <c r="AB6" s="641"/>
      <c r="AC6" s="641"/>
      <c r="AD6" s="641"/>
      <c r="AE6" s="34"/>
      <c r="AF6" s="34"/>
      <c r="AG6" s="34"/>
      <c r="AH6" s="34"/>
      <c r="AI6" s="35"/>
    </row>
    <row r="7" spans="1:35" ht="15" customHeight="1">
      <c r="A7" s="47"/>
      <c r="B7" s="149"/>
      <c r="C7" s="33"/>
      <c r="D7" s="33"/>
      <c r="E7" s="33"/>
      <c r="F7" s="150"/>
      <c r="G7" s="51"/>
      <c r="H7" s="642"/>
      <c r="I7" s="643"/>
      <c r="J7" s="643"/>
      <c r="K7" s="644"/>
      <c r="L7" s="51"/>
      <c r="M7" s="47"/>
      <c r="N7" s="47"/>
      <c r="O7" s="47"/>
      <c r="P7" s="47"/>
      <c r="Q7" s="47"/>
      <c r="R7" s="32"/>
      <c r="S7" s="641"/>
      <c r="T7" s="641"/>
      <c r="U7" s="641"/>
      <c r="V7" s="641"/>
      <c r="W7" s="641"/>
      <c r="X7" s="641"/>
      <c r="Y7" s="641"/>
      <c r="Z7" s="641"/>
      <c r="AA7" s="641"/>
      <c r="AB7" s="641"/>
      <c r="AC7" s="641"/>
      <c r="AD7" s="641"/>
      <c r="AE7" s="34"/>
      <c r="AF7" s="34"/>
      <c r="AG7" s="34"/>
      <c r="AH7" s="34"/>
      <c r="AI7" s="35"/>
    </row>
    <row r="8" spans="1:35" ht="15" customHeight="1">
      <c r="A8" s="47"/>
      <c r="B8" s="149"/>
      <c r="C8" s="33"/>
      <c r="D8" s="33"/>
      <c r="E8" s="33"/>
      <c r="F8" s="150"/>
      <c r="G8" s="51"/>
      <c r="H8" s="383"/>
      <c r="I8" s="384"/>
      <c r="J8" s="384"/>
      <c r="K8" s="385"/>
      <c r="L8" s="51"/>
      <c r="M8" s="47"/>
      <c r="N8" s="47"/>
      <c r="O8" s="47"/>
      <c r="P8" s="47"/>
      <c r="Q8" s="47"/>
      <c r="R8" s="32"/>
      <c r="S8" s="641"/>
      <c r="T8" s="641"/>
      <c r="U8" s="641"/>
      <c r="V8" s="641"/>
      <c r="W8" s="641"/>
      <c r="X8" s="641"/>
      <c r="Y8" s="641"/>
      <c r="Z8" s="641"/>
      <c r="AA8" s="641"/>
      <c r="AB8" s="641"/>
      <c r="AC8" s="641"/>
      <c r="AD8" s="641"/>
      <c r="AE8" s="33"/>
      <c r="AF8" s="33"/>
      <c r="AG8" s="33"/>
      <c r="AH8" s="33"/>
      <c r="AI8" s="33"/>
    </row>
    <row r="9" spans="1:35" ht="15.75" customHeight="1" thickBot="1">
      <c r="A9" s="47"/>
      <c r="B9" s="151"/>
      <c r="C9" s="152"/>
      <c r="D9" s="152"/>
      <c r="E9" s="152"/>
      <c r="F9" s="153"/>
      <c r="G9" s="51"/>
      <c r="H9" s="173" t="s">
        <v>190</v>
      </c>
      <c r="I9" s="174"/>
      <c r="J9" s="174"/>
      <c r="K9" s="209"/>
      <c r="L9" s="51"/>
      <c r="M9" s="47"/>
      <c r="N9" s="47"/>
      <c r="O9" s="47"/>
      <c r="P9" s="47"/>
      <c r="Q9" s="47"/>
      <c r="R9" s="32"/>
      <c r="S9" s="33"/>
      <c r="T9" s="33"/>
      <c r="U9" s="33"/>
      <c r="V9" s="33"/>
      <c r="W9" s="33"/>
      <c r="X9" s="33"/>
      <c r="Y9" s="33"/>
      <c r="Z9" s="33"/>
      <c r="AA9" s="33"/>
      <c r="AB9" s="33"/>
      <c r="AC9" s="33"/>
      <c r="AD9" s="33"/>
      <c r="AE9" s="33"/>
      <c r="AF9" s="33"/>
      <c r="AG9" s="33"/>
      <c r="AH9" s="33"/>
      <c r="AI9" s="33"/>
    </row>
    <row r="10" spans="1:35" ht="15.75" customHeight="1" thickBot="1">
      <c r="A10" s="47"/>
      <c r="B10" s="33"/>
      <c r="C10" s="33"/>
      <c r="D10" s="33"/>
      <c r="E10" s="33"/>
      <c r="F10" s="33"/>
      <c r="G10" s="51"/>
      <c r="H10" s="213" t="str">
        <f t="shared" ref="H10:H30" si="0">+S24</f>
        <v>Node 1.00</v>
      </c>
      <c r="I10" s="207" t="str">
        <f>VLOOKUP(H10,NodeList!$D$4:$E$121,2,FALSE)</f>
        <v>USGS 10011500:  Bear River near UT-WY State Line</v>
      </c>
      <c r="J10" s="174"/>
      <c r="K10" s="209"/>
      <c r="L10" s="51"/>
      <c r="M10" s="501"/>
      <c r="N10" s="47"/>
      <c r="O10" s="47"/>
      <c r="P10" s="47"/>
      <c r="Q10" s="47"/>
      <c r="R10" s="382">
        <v>2</v>
      </c>
      <c r="S10" s="641" t="s">
        <v>510</v>
      </c>
      <c r="T10" s="641"/>
      <c r="U10" s="641"/>
      <c r="V10" s="641"/>
      <c r="W10" s="641"/>
      <c r="X10" s="641"/>
      <c r="Y10" s="641"/>
      <c r="Z10" s="641"/>
      <c r="AA10" s="641"/>
      <c r="AB10" s="641"/>
      <c r="AC10" s="641"/>
      <c r="AD10" s="641"/>
      <c r="AE10" s="34"/>
      <c r="AF10" s="34"/>
      <c r="AG10" s="34"/>
      <c r="AH10" s="34"/>
      <c r="AI10" s="35"/>
    </row>
    <row r="11" spans="1:35" ht="15" customHeight="1">
      <c r="A11" s="47"/>
      <c r="B11" s="161" t="s">
        <v>191</v>
      </c>
      <c r="C11" s="156"/>
      <c r="D11" s="156"/>
      <c r="E11" s="156"/>
      <c r="F11" s="157"/>
      <c r="G11" s="51"/>
      <c r="H11" s="213" t="str">
        <f t="shared" si="0"/>
        <v>Node 1.01</v>
      </c>
      <c r="I11" s="207" t="str">
        <f>VLOOKUP(H11,NodeList!$D$4:$E$121,2,FALSE)</f>
        <v>Lannon &amp; Lone Mountain</v>
      </c>
      <c r="J11" s="174"/>
      <c r="K11" s="209"/>
      <c r="L11" s="51"/>
      <c r="M11" s="47"/>
      <c r="N11" s="47"/>
      <c r="O11" s="47"/>
      <c r="P11" s="47"/>
      <c r="Q11" s="47"/>
      <c r="R11" s="32"/>
      <c r="S11" s="641"/>
      <c r="T11" s="641"/>
      <c r="U11" s="641"/>
      <c r="V11" s="641"/>
      <c r="W11" s="641"/>
      <c r="X11" s="641"/>
      <c r="Y11" s="641"/>
      <c r="Z11" s="641"/>
      <c r="AA11" s="641"/>
      <c r="AB11" s="641"/>
      <c r="AC11" s="641"/>
      <c r="AD11" s="641"/>
      <c r="AE11" s="34"/>
      <c r="AF11" s="34"/>
      <c r="AG11" s="34"/>
      <c r="AH11" s="34"/>
      <c r="AI11" s="35"/>
    </row>
    <row r="12" spans="1:35" ht="15" customHeight="1">
      <c r="A12" s="47"/>
      <c r="B12" s="154"/>
      <c r="C12" s="33"/>
      <c r="D12" s="33"/>
      <c r="E12" s="33"/>
      <c r="F12" s="150"/>
      <c r="G12" s="51"/>
      <c r="H12" s="213" t="str">
        <f t="shared" si="0"/>
        <v>Node 1.02</v>
      </c>
      <c r="I12" s="207" t="str">
        <f>VLOOKUP(H12,NodeList!$D$4:$E$121,2,FALSE)</f>
        <v>Hilliard West Side</v>
      </c>
      <c r="J12" s="174"/>
      <c r="K12" s="209"/>
      <c r="L12" s="51"/>
      <c r="M12" s="47"/>
      <c r="N12" s="47"/>
      <c r="O12" s="47"/>
      <c r="P12" s="47"/>
      <c r="Q12" s="47"/>
      <c r="R12" s="32"/>
      <c r="S12" s="33"/>
      <c r="T12" s="33"/>
      <c r="U12" s="34"/>
      <c r="V12" s="34"/>
      <c r="W12" s="34"/>
      <c r="X12" s="34"/>
      <c r="Y12" s="34"/>
      <c r="Z12" s="34"/>
      <c r="AA12" s="34"/>
      <c r="AB12" s="34"/>
      <c r="AC12" s="34"/>
      <c r="AD12" s="34"/>
      <c r="AE12" s="34"/>
      <c r="AF12" s="34"/>
      <c r="AG12" s="34"/>
      <c r="AH12" s="34"/>
      <c r="AI12" s="35"/>
    </row>
    <row r="13" spans="1:35" ht="12.75" customHeight="1">
      <c r="A13" s="47"/>
      <c r="B13" s="149"/>
      <c r="C13" s="33"/>
      <c r="D13" s="33"/>
      <c r="E13" s="33"/>
      <c r="F13" s="150"/>
      <c r="G13" s="51"/>
      <c r="H13" s="213" t="str">
        <f t="shared" si="0"/>
        <v>Node 1.03</v>
      </c>
      <c r="I13" s="207" t="str">
        <f>VLOOKUP(H13,NodeList!$D$4:$E$121,2,FALSE)</f>
        <v>Bear Canal</v>
      </c>
      <c r="J13" s="174"/>
      <c r="K13" s="209"/>
      <c r="L13" s="51"/>
      <c r="M13" s="47"/>
      <c r="N13" s="47"/>
      <c r="O13" s="47"/>
      <c r="P13" s="47"/>
      <c r="Q13" s="47"/>
      <c r="R13" s="382">
        <v>3</v>
      </c>
      <c r="S13" s="641" t="s">
        <v>511</v>
      </c>
      <c r="T13" s="641"/>
      <c r="U13" s="641"/>
      <c r="V13" s="641"/>
      <c r="W13" s="641"/>
      <c r="X13" s="641"/>
      <c r="Y13" s="641"/>
      <c r="Z13" s="641"/>
      <c r="AA13" s="641"/>
      <c r="AB13" s="641"/>
      <c r="AC13" s="641"/>
      <c r="AD13" s="641"/>
      <c r="AE13" s="34"/>
      <c r="AF13" s="34"/>
      <c r="AG13" s="34"/>
      <c r="AH13" s="34"/>
      <c r="AI13" s="35"/>
    </row>
    <row r="14" spans="1:35" ht="12.75" customHeight="1">
      <c r="A14" s="47"/>
      <c r="B14" s="149"/>
      <c r="C14" s="33"/>
      <c r="D14" s="33"/>
      <c r="E14" s="33"/>
      <c r="F14" s="150"/>
      <c r="G14" s="51"/>
      <c r="H14" s="213" t="str">
        <f t="shared" si="0"/>
        <v>Node 1.04</v>
      </c>
      <c r="I14" s="207" t="str">
        <f>VLOOKUP(H14,NodeList!$D$4:$E$121,2,FALSE)</f>
        <v>Crown &amp; Pine Grove</v>
      </c>
      <c r="J14" s="174"/>
      <c r="K14" s="209"/>
      <c r="L14" s="51"/>
      <c r="M14" s="47"/>
      <c r="N14" s="47"/>
      <c r="O14" s="47"/>
      <c r="P14" s="47"/>
      <c r="Q14" s="47"/>
      <c r="R14" s="32"/>
      <c r="S14" s="641"/>
      <c r="T14" s="641"/>
      <c r="U14" s="641"/>
      <c r="V14" s="641"/>
      <c r="W14" s="641"/>
      <c r="X14" s="641"/>
      <c r="Y14" s="641"/>
      <c r="Z14" s="641"/>
      <c r="AA14" s="641"/>
      <c r="AB14" s="641"/>
      <c r="AC14" s="641"/>
      <c r="AD14" s="641"/>
      <c r="AE14" s="34"/>
      <c r="AF14" s="34"/>
      <c r="AG14" s="34"/>
      <c r="AH14" s="34"/>
      <c r="AI14" s="35"/>
    </row>
    <row r="15" spans="1:35" ht="15" customHeight="1">
      <c r="A15" s="47"/>
      <c r="B15" s="149"/>
      <c r="C15" s="33"/>
      <c r="D15" s="33"/>
      <c r="E15" s="33"/>
      <c r="F15" s="150"/>
      <c r="G15" s="51"/>
      <c r="H15" s="213" t="str">
        <f t="shared" si="0"/>
        <v>Node 1.05</v>
      </c>
      <c r="I15" s="207" t="str">
        <f>VLOOKUP(H15,NodeList!$D$4:$E$121,2,FALSE)</f>
        <v>McGraw &amp; Big Bend</v>
      </c>
      <c r="J15" s="174"/>
      <c r="K15" s="209"/>
      <c r="L15" s="51"/>
      <c r="M15" s="47"/>
      <c r="N15" s="47"/>
      <c r="O15" s="47"/>
      <c r="P15" s="47"/>
      <c r="Q15" s="47"/>
      <c r="R15" s="32"/>
      <c r="S15" s="641"/>
      <c r="T15" s="641"/>
      <c r="U15" s="641"/>
      <c r="V15" s="641"/>
      <c r="W15" s="641"/>
      <c r="X15" s="641"/>
      <c r="Y15" s="641"/>
      <c r="Z15" s="641"/>
      <c r="AA15" s="641"/>
      <c r="AB15" s="641"/>
      <c r="AC15" s="641"/>
      <c r="AD15" s="641"/>
      <c r="AE15" s="34"/>
      <c r="AF15" s="34"/>
      <c r="AG15" s="34"/>
      <c r="AH15" s="34"/>
      <c r="AI15" s="35"/>
    </row>
    <row r="16" spans="1:35" ht="14.25" customHeight="1">
      <c r="A16" s="47"/>
      <c r="B16" s="149"/>
      <c r="C16" s="33"/>
      <c r="D16" s="33"/>
      <c r="E16" s="33"/>
      <c r="F16" s="150"/>
      <c r="G16" s="51"/>
      <c r="H16" s="213" t="str">
        <f t="shared" si="0"/>
        <v>Node 1.06</v>
      </c>
      <c r="I16" s="207" t="str">
        <f>VLOOKUP(H16,NodeList!$D$4:$E$121,2,FALSE)</f>
        <v>Lewis</v>
      </c>
      <c r="J16" s="174"/>
      <c r="K16" s="209"/>
      <c r="L16" s="51"/>
      <c r="M16" s="47"/>
      <c r="N16" s="47"/>
      <c r="O16" s="47"/>
      <c r="P16" s="47"/>
      <c r="Q16" s="47"/>
      <c r="R16" s="32"/>
      <c r="S16" s="641"/>
      <c r="T16" s="641"/>
      <c r="U16" s="641"/>
      <c r="V16" s="641"/>
      <c r="W16" s="641"/>
      <c r="X16" s="641"/>
      <c r="Y16" s="641"/>
      <c r="Z16" s="641"/>
      <c r="AA16" s="641"/>
      <c r="AB16" s="641"/>
      <c r="AC16" s="641"/>
      <c r="AD16" s="641"/>
      <c r="AE16" s="34"/>
      <c r="AF16" s="34"/>
      <c r="AG16" s="34"/>
      <c r="AH16" s="34"/>
      <c r="AI16" s="35"/>
    </row>
    <row r="17" spans="1:37" ht="14.25">
      <c r="A17" s="47"/>
      <c r="B17" s="158"/>
      <c r="C17" s="33"/>
      <c r="D17" s="33"/>
      <c r="E17" s="33"/>
      <c r="F17" s="150"/>
      <c r="G17" s="51"/>
      <c r="H17" s="213" t="str">
        <f t="shared" si="0"/>
        <v>Node 1.07</v>
      </c>
      <c r="I17" s="207" t="str">
        <f>VLOOKUP(H17,NodeList!$D$4:$E$121,2,FALSE)</f>
        <v>Meyers No. 2</v>
      </c>
      <c r="J17" s="174"/>
      <c r="K17" s="209"/>
      <c r="L17" s="47"/>
      <c r="M17" s="47"/>
      <c r="N17" s="47"/>
      <c r="O17" s="47"/>
      <c r="P17" s="47"/>
      <c r="Q17" s="47"/>
      <c r="R17" s="32"/>
      <c r="S17" s="33"/>
      <c r="T17" s="380"/>
      <c r="U17" s="380"/>
      <c r="V17" s="33"/>
      <c r="W17" s="34"/>
      <c r="X17" s="33"/>
      <c r="Y17" s="33"/>
      <c r="Z17" s="33"/>
      <c r="AA17" s="33"/>
      <c r="AB17" s="33"/>
      <c r="AC17" s="33"/>
      <c r="AD17" s="33"/>
      <c r="AE17" s="33"/>
      <c r="AF17" s="33"/>
      <c r="AG17" s="33"/>
      <c r="AH17" s="33"/>
      <c r="AI17" s="35"/>
    </row>
    <row r="18" spans="1:37" ht="14.25">
      <c r="A18" s="47"/>
      <c r="B18" s="149"/>
      <c r="C18" s="33"/>
      <c r="D18" s="33"/>
      <c r="E18" s="33"/>
      <c r="F18" s="150"/>
      <c r="G18" s="51"/>
      <c r="H18" s="213" t="str">
        <f t="shared" si="0"/>
        <v>Node 1.08</v>
      </c>
      <c r="I18" s="207" t="str">
        <f>VLOOKUP(H18,NodeList!$D$4:$E$121,2,FALSE)</f>
        <v>Meyers No. 1</v>
      </c>
      <c r="J18" s="174"/>
      <c r="K18" s="209"/>
      <c r="L18" s="47"/>
      <c r="M18" s="47"/>
      <c r="N18" s="47"/>
      <c r="O18" s="47"/>
      <c r="P18" s="47"/>
      <c r="Q18" s="47"/>
      <c r="R18" s="32"/>
      <c r="S18" s="378">
        <v>1</v>
      </c>
      <c r="T18" s="380" t="s">
        <v>507</v>
      </c>
      <c r="U18" s="34"/>
      <c r="V18" s="34"/>
      <c r="W18" s="34"/>
      <c r="X18" s="33"/>
      <c r="Y18" s="33"/>
      <c r="Z18" s="33"/>
      <c r="AA18" s="33"/>
      <c r="AB18" s="33"/>
      <c r="AC18" s="33"/>
      <c r="AD18" s="33"/>
      <c r="AE18" s="33"/>
      <c r="AF18" s="33"/>
      <c r="AG18" s="33"/>
      <c r="AH18" s="33"/>
      <c r="AI18" s="35"/>
    </row>
    <row r="19" spans="1:37" ht="14.25">
      <c r="A19" s="47"/>
      <c r="B19" s="159"/>
      <c r="C19" s="34"/>
      <c r="D19" s="34"/>
      <c r="E19" s="34"/>
      <c r="F19" s="155"/>
      <c r="G19" s="47"/>
      <c r="H19" s="213" t="str">
        <f t="shared" si="0"/>
        <v>Node 1.09</v>
      </c>
      <c r="I19" s="207" t="str">
        <f>VLOOKUP(H19,NodeList!$D$4:$E$121,2,FALSE)</f>
        <v>Meyers Irrigation</v>
      </c>
      <c r="J19" s="174"/>
      <c r="K19" s="209"/>
      <c r="L19" s="47"/>
      <c r="M19" s="47"/>
      <c r="N19" s="47"/>
      <c r="O19" s="47"/>
      <c r="P19" s="47"/>
      <c r="Q19" s="47"/>
      <c r="R19" s="32"/>
      <c r="S19" s="33"/>
      <c r="T19" s="33"/>
      <c r="U19" s="33"/>
      <c r="V19" s="33"/>
      <c r="W19" s="33"/>
      <c r="X19" s="33"/>
      <c r="Y19" s="33"/>
      <c r="Z19" s="33"/>
      <c r="AA19" s="33"/>
      <c r="AB19" s="33"/>
      <c r="AC19" s="33"/>
      <c r="AD19" s="33"/>
      <c r="AE19" s="33"/>
      <c r="AF19" s="33"/>
      <c r="AG19" s="33"/>
      <c r="AH19" s="33"/>
      <c r="AI19" s="35"/>
    </row>
    <row r="20" spans="1:37" ht="14.25" customHeight="1">
      <c r="A20" s="47"/>
      <c r="B20" s="159"/>
      <c r="C20" s="34"/>
      <c r="D20" s="34"/>
      <c r="E20" s="34"/>
      <c r="F20" s="155"/>
      <c r="G20" s="47"/>
      <c r="H20" s="213" t="str">
        <f t="shared" si="0"/>
        <v>Node 1.10</v>
      </c>
      <c r="I20" s="207" t="str">
        <f>VLOOKUP(H20,NodeList!$D$4:$E$121,2,FALSE)</f>
        <v>Evanston Pipeline</v>
      </c>
      <c r="J20" s="174"/>
      <c r="K20" s="209"/>
      <c r="L20" s="47"/>
      <c r="M20" s="47"/>
      <c r="N20" s="47"/>
      <c r="O20" s="47"/>
      <c r="P20" s="47"/>
      <c r="Q20" s="47"/>
      <c r="R20" s="32"/>
      <c r="S20" s="33"/>
      <c r="T20" s="33"/>
      <c r="U20" s="165" t="s">
        <v>31</v>
      </c>
      <c r="V20" s="165" t="s">
        <v>34</v>
      </c>
      <c r="W20" s="34"/>
      <c r="X20" s="34"/>
      <c r="Y20" s="34"/>
      <c r="Z20" s="34"/>
      <c r="AA20" s="34"/>
      <c r="AB20" s="34"/>
      <c r="AC20" s="34"/>
      <c r="AD20" s="34"/>
      <c r="AE20" s="34"/>
      <c r="AF20" s="34"/>
      <c r="AG20" s="34"/>
      <c r="AH20" s="34"/>
      <c r="AI20" s="35"/>
      <c r="AK20" s="187"/>
    </row>
    <row r="21" spans="1:37" ht="14.25" customHeight="1">
      <c r="A21" s="47"/>
      <c r="B21" s="159"/>
      <c r="C21" s="34"/>
      <c r="D21" s="34"/>
      <c r="E21" s="34"/>
      <c r="F21" s="155"/>
      <c r="G21" s="150"/>
      <c r="H21" s="213" t="str">
        <f t="shared" si="0"/>
        <v>Node 1.11</v>
      </c>
      <c r="I21" s="207" t="str">
        <f>VLOOKUP(H21,NodeList!$D$4:$E$121,2,FALSE)</f>
        <v>Booth</v>
      </c>
      <c r="J21" s="174"/>
      <c r="K21" s="209"/>
      <c r="L21" s="47"/>
      <c r="M21" s="47"/>
      <c r="N21" s="47"/>
      <c r="O21" s="47"/>
      <c r="P21" s="47"/>
      <c r="Q21" s="47"/>
      <c r="R21" s="32"/>
      <c r="S21" s="33"/>
      <c r="T21" s="33"/>
      <c r="U21" s="165"/>
      <c r="V21" s="165"/>
      <c r="W21" s="34"/>
      <c r="X21" s="34"/>
      <c r="Y21" s="34"/>
      <c r="Z21" s="34"/>
      <c r="AA21" s="34"/>
      <c r="AB21" s="34"/>
      <c r="AC21" s="34"/>
      <c r="AD21" s="34"/>
      <c r="AE21" s="34"/>
      <c r="AF21" s="34"/>
      <c r="AG21" s="34"/>
      <c r="AH21" s="34"/>
      <c r="AI21" s="35"/>
      <c r="AK21" s="187"/>
    </row>
    <row r="22" spans="1:37" ht="14.25" customHeight="1">
      <c r="A22" s="47"/>
      <c r="B22" s="159"/>
      <c r="C22" s="51"/>
      <c r="D22" s="51"/>
      <c r="E22" s="51"/>
      <c r="F22" s="155"/>
      <c r="G22" s="150"/>
      <c r="H22" s="213" t="str">
        <f t="shared" si="0"/>
        <v>Node 1.12</v>
      </c>
      <c r="I22" s="207" t="str">
        <f>VLOOKUP(H22,NodeList!$D$4:$E$121,2,FALSE)</f>
        <v>Anel</v>
      </c>
      <c r="J22" s="174"/>
      <c r="K22" s="209"/>
      <c r="L22" s="47"/>
      <c r="M22" s="47"/>
      <c r="N22" s="47"/>
      <c r="O22" s="47"/>
      <c r="P22" s="47"/>
      <c r="Q22" s="47"/>
      <c r="R22" s="32"/>
      <c r="S22" s="165" t="s">
        <v>33</v>
      </c>
      <c r="T22" s="165"/>
      <c r="U22" s="165"/>
      <c r="V22" s="165"/>
      <c r="W22" s="36" t="s">
        <v>32</v>
      </c>
      <c r="X22" s="34"/>
      <c r="Y22" s="34"/>
      <c r="Z22" s="34"/>
      <c r="AA22" s="34"/>
      <c r="AB22" s="34"/>
      <c r="AC22" s="34"/>
      <c r="AD22" s="34"/>
      <c r="AE22" s="34"/>
      <c r="AF22" s="34"/>
      <c r="AG22" s="34"/>
      <c r="AH22" s="34"/>
      <c r="AI22" s="35"/>
      <c r="AK22" s="187"/>
    </row>
    <row r="23" spans="1:37" ht="14.25">
      <c r="A23" s="47"/>
      <c r="B23" s="159"/>
      <c r="C23" s="51"/>
      <c r="D23" s="51"/>
      <c r="E23" s="51"/>
      <c r="F23" s="155"/>
      <c r="G23" s="150"/>
      <c r="H23" s="213" t="str">
        <f t="shared" si="0"/>
        <v>Node 1.13</v>
      </c>
      <c r="I23" s="207" t="str">
        <f>VLOOKUP(H23,NodeList!$D$4:$E$121,2,FALSE)</f>
        <v>Evanston Water Supply</v>
      </c>
      <c r="J23" s="174"/>
      <c r="K23" s="209"/>
      <c r="L23" s="47"/>
      <c r="M23" s="47"/>
      <c r="N23" s="47"/>
      <c r="O23" s="47"/>
      <c r="P23" s="47"/>
      <c r="Q23" s="47"/>
      <c r="R23" s="32"/>
      <c r="S23" s="166"/>
      <c r="T23" s="166"/>
      <c r="U23" s="166"/>
      <c r="V23" s="166"/>
      <c r="W23" s="37">
        <v>1</v>
      </c>
      <c r="X23" s="37">
        <v>2</v>
      </c>
      <c r="Y23" s="37">
        <v>3</v>
      </c>
      <c r="Z23" s="37">
        <v>4</v>
      </c>
      <c r="AA23" s="37">
        <v>5</v>
      </c>
      <c r="AB23" s="37">
        <v>6</v>
      </c>
      <c r="AC23" s="37">
        <v>7</v>
      </c>
      <c r="AD23" s="37">
        <v>8</v>
      </c>
      <c r="AE23" s="37">
        <v>9</v>
      </c>
      <c r="AF23" s="37">
        <v>10</v>
      </c>
      <c r="AG23" s="37">
        <v>11</v>
      </c>
      <c r="AH23" s="37">
        <v>12</v>
      </c>
      <c r="AI23" s="35"/>
      <c r="AK23" s="187"/>
    </row>
    <row r="24" spans="1:37" ht="15" thickBot="1">
      <c r="A24" s="47"/>
      <c r="B24" s="151"/>
      <c r="C24" s="152"/>
      <c r="D24" s="152"/>
      <c r="E24" s="152"/>
      <c r="F24" s="153"/>
      <c r="G24" s="150"/>
      <c r="H24" s="213" t="str">
        <f t="shared" si="0"/>
        <v>Node 1.15</v>
      </c>
      <c r="I24" s="207" t="str">
        <f>VLOOKUP(H24,NodeList!$D$4:$E$121,2,FALSE)</f>
        <v>AggDiv BR-1</v>
      </c>
      <c r="J24" s="174"/>
      <c r="K24" s="209"/>
      <c r="L24" s="47"/>
      <c r="M24" s="47"/>
      <c r="N24" s="47"/>
      <c r="O24" s="47"/>
      <c r="P24" s="47"/>
      <c r="Q24" s="47"/>
      <c r="R24" s="32">
        <v>1</v>
      </c>
      <c r="S24" s="38" t="str">
        <f t="shared" ref="S24:S39" si="1">IF(HLOOKUP($S$18,$W$23:$AH$51,R24+1,TRUE)&lt;&gt;"",(HLOOKUP($S$18,$W$23:$AH$51,R24+1,)),"")</f>
        <v>Node 1.00</v>
      </c>
      <c r="T24" s="38"/>
      <c r="U24" s="39" t="s">
        <v>19</v>
      </c>
      <c r="V24" s="39" t="s">
        <v>542</v>
      </c>
      <c r="W24" s="230" t="s">
        <v>76</v>
      </c>
      <c r="X24" s="217" t="s">
        <v>77</v>
      </c>
      <c r="Y24" s="217" t="s">
        <v>79</v>
      </c>
      <c r="Z24" s="217" t="s">
        <v>119</v>
      </c>
      <c r="AA24" s="217" t="s">
        <v>167</v>
      </c>
      <c r="AB24" s="217" t="s">
        <v>120</v>
      </c>
      <c r="AC24" s="217" t="s">
        <v>121</v>
      </c>
      <c r="AD24" s="217" t="s">
        <v>122</v>
      </c>
      <c r="AE24" s="217" t="s">
        <v>123</v>
      </c>
      <c r="AF24" s="217" t="s">
        <v>147</v>
      </c>
      <c r="AG24" s="217" t="s">
        <v>124</v>
      </c>
      <c r="AH24" s="41" t="s">
        <v>125</v>
      </c>
      <c r="AI24" s="35"/>
      <c r="AK24" s="187"/>
    </row>
    <row r="25" spans="1:37" ht="14.25">
      <c r="A25" s="47"/>
      <c r="B25" s="47"/>
      <c r="C25" s="47"/>
      <c r="D25" s="47"/>
      <c r="E25" s="47"/>
      <c r="F25" s="47"/>
      <c r="G25" s="47"/>
      <c r="H25" s="213" t="str">
        <f t="shared" si="0"/>
        <v>-</v>
      </c>
      <c r="I25" s="207" t="str">
        <f>VLOOKUP(H25,NodeList!$D$4:$E$121,2,FALSE)</f>
        <v>-</v>
      </c>
      <c r="J25" s="174"/>
      <c r="K25" s="209"/>
      <c r="L25" s="47"/>
      <c r="M25" s="47"/>
      <c r="N25" s="47"/>
      <c r="O25" s="47"/>
      <c r="P25" s="47"/>
      <c r="Q25" s="47"/>
      <c r="R25" s="32">
        <v>2</v>
      </c>
      <c r="S25" s="33" t="str">
        <f t="shared" si="1"/>
        <v>Node 1.01</v>
      </c>
      <c r="T25" s="33"/>
      <c r="U25" s="40" t="s">
        <v>20</v>
      </c>
      <c r="V25" s="40" t="s">
        <v>227</v>
      </c>
      <c r="W25" s="217" t="s">
        <v>58</v>
      </c>
      <c r="X25" s="217" t="s">
        <v>78</v>
      </c>
      <c r="Y25" s="217" t="s">
        <v>71</v>
      </c>
      <c r="Z25" s="217" t="s">
        <v>141</v>
      </c>
      <c r="AA25" s="217" t="s">
        <v>134</v>
      </c>
      <c r="AB25" s="217" t="s">
        <v>162</v>
      </c>
      <c r="AC25" s="217" t="s">
        <v>139</v>
      </c>
      <c r="AD25" s="217" t="s">
        <v>164</v>
      </c>
      <c r="AE25" s="217" t="s">
        <v>166</v>
      </c>
      <c r="AF25" s="217" t="s">
        <v>132</v>
      </c>
      <c r="AG25" s="217" t="s">
        <v>127</v>
      </c>
      <c r="AH25" s="41" t="s">
        <v>238</v>
      </c>
      <c r="AI25" s="35"/>
      <c r="AK25" s="187"/>
    </row>
    <row r="26" spans="1:37" ht="14.25">
      <c r="A26" s="47"/>
      <c r="B26" s="47"/>
      <c r="C26" s="47"/>
      <c r="D26" s="47"/>
      <c r="E26" s="47"/>
      <c r="F26" s="47"/>
      <c r="G26" s="47"/>
      <c r="H26" s="213" t="str">
        <f t="shared" si="0"/>
        <v>-</v>
      </c>
      <c r="I26" s="207" t="str">
        <f>VLOOKUP(H26,NodeList!$D$4:$E$121,2,FALSE)</f>
        <v>-</v>
      </c>
      <c r="J26" s="174"/>
      <c r="K26" s="209"/>
      <c r="L26" s="47"/>
      <c r="M26" s="47"/>
      <c r="N26" s="47"/>
      <c r="O26" s="47"/>
      <c r="P26" s="47"/>
      <c r="Q26" s="47"/>
      <c r="R26" s="32">
        <v>3</v>
      </c>
      <c r="S26" s="33" t="str">
        <f t="shared" si="1"/>
        <v>Node 1.02</v>
      </c>
      <c r="T26" s="33"/>
      <c r="U26" s="40" t="s">
        <v>21</v>
      </c>
      <c r="V26" s="40" t="s">
        <v>241</v>
      </c>
      <c r="W26" s="217" t="s">
        <v>59</v>
      </c>
      <c r="X26" s="217" t="s">
        <v>161</v>
      </c>
      <c r="Y26" s="217" t="s">
        <v>149</v>
      </c>
      <c r="Z26" s="217" t="s">
        <v>153</v>
      </c>
      <c r="AA26" s="217" t="s">
        <v>143</v>
      </c>
      <c r="AB26" s="288" t="s">
        <v>255</v>
      </c>
      <c r="AC26" s="217" t="s">
        <v>130</v>
      </c>
      <c r="AD26" s="217" t="s">
        <v>270</v>
      </c>
      <c r="AE26" s="217" t="s">
        <v>327</v>
      </c>
      <c r="AF26" s="217" t="s">
        <v>138</v>
      </c>
      <c r="AG26" s="217" t="s">
        <v>145</v>
      </c>
      <c r="AH26" s="41" t="s">
        <v>239</v>
      </c>
      <c r="AI26" s="35"/>
      <c r="AK26" s="187"/>
    </row>
    <row r="27" spans="1:37" ht="14.25">
      <c r="A27" s="47"/>
      <c r="B27" s="47"/>
      <c r="C27" s="47"/>
      <c r="D27" s="47"/>
      <c r="E27" s="47"/>
      <c r="F27" s="47"/>
      <c r="G27" s="47"/>
      <c r="H27" s="213" t="str">
        <f t="shared" si="0"/>
        <v>-</v>
      </c>
      <c r="I27" s="207" t="str">
        <f>VLOOKUP(H27,NodeList!$D$4:$E$121,2,FALSE)</f>
        <v>-</v>
      </c>
      <c r="J27" s="174"/>
      <c r="K27" s="209"/>
      <c r="L27" s="47"/>
      <c r="M27" s="47"/>
      <c r="N27" s="47"/>
      <c r="O27" s="47"/>
      <c r="P27" s="47"/>
      <c r="Q27" s="47"/>
      <c r="R27" s="42">
        <v>4</v>
      </c>
      <c r="S27" s="33" t="str">
        <f t="shared" si="1"/>
        <v>Node 1.03</v>
      </c>
      <c r="T27" s="33"/>
      <c r="U27" s="40" t="s">
        <v>22</v>
      </c>
      <c r="V27" s="40" t="s">
        <v>225</v>
      </c>
      <c r="W27" s="217" t="s">
        <v>60</v>
      </c>
      <c r="X27" s="217" t="s">
        <v>189</v>
      </c>
      <c r="Y27" s="288" t="s">
        <v>255</v>
      </c>
      <c r="Z27" s="396" t="s">
        <v>262</v>
      </c>
      <c r="AA27" s="217" t="s">
        <v>155</v>
      </c>
      <c r="AB27" s="288" t="s">
        <v>255</v>
      </c>
      <c r="AC27" s="396" t="s">
        <v>230</v>
      </c>
      <c r="AD27" s="288" t="s">
        <v>255</v>
      </c>
      <c r="AE27" s="288" t="s">
        <v>255</v>
      </c>
      <c r="AF27" s="217" t="s">
        <v>136</v>
      </c>
      <c r="AG27" s="217" t="s">
        <v>135</v>
      </c>
      <c r="AH27" s="41" t="s">
        <v>240</v>
      </c>
      <c r="AI27" s="35"/>
      <c r="AK27" s="187"/>
    </row>
    <row r="28" spans="1:37" ht="14.25">
      <c r="A28" s="47"/>
      <c r="B28" s="47"/>
      <c r="C28" s="47"/>
      <c r="D28" s="47"/>
      <c r="E28" s="47"/>
      <c r="F28" s="47"/>
      <c r="G28" s="47"/>
      <c r="H28" s="213" t="str">
        <f t="shared" si="0"/>
        <v>-</v>
      </c>
      <c r="I28" s="207" t="str">
        <f>VLOOKUP(H28,NodeList!$D$4:$E$121,2,FALSE)</f>
        <v>-</v>
      </c>
      <c r="J28" s="174"/>
      <c r="K28" s="209"/>
      <c r="L28" s="47"/>
      <c r="M28" s="47"/>
      <c r="N28" s="47"/>
      <c r="O28" s="47"/>
      <c r="P28" s="47"/>
      <c r="Q28" s="47"/>
      <c r="R28" s="42">
        <v>5</v>
      </c>
      <c r="S28" s="33" t="str">
        <f t="shared" si="1"/>
        <v>Node 1.04</v>
      </c>
      <c r="T28" s="33"/>
      <c r="U28" s="40" t="s">
        <v>23</v>
      </c>
      <c r="V28" s="40" t="s">
        <v>226</v>
      </c>
      <c r="W28" s="217" t="s">
        <v>61</v>
      </c>
      <c r="X28" s="288" t="s">
        <v>255</v>
      </c>
      <c r="Y28" s="288" t="s">
        <v>255</v>
      </c>
      <c r="Z28" s="288" t="s">
        <v>255</v>
      </c>
      <c r="AA28" s="217" t="s">
        <v>265</v>
      </c>
      <c r="AB28" s="288" t="s">
        <v>255</v>
      </c>
      <c r="AC28" s="40" t="s">
        <v>556</v>
      </c>
      <c r="AD28" s="288" t="s">
        <v>255</v>
      </c>
      <c r="AE28" s="288" t="s">
        <v>255</v>
      </c>
      <c r="AF28" s="217" t="s">
        <v>137</v>
      </c>
      <c r="AG28" s="217" t="s">
        <v>274</v>
      </c>
      <c r="AH28" s="41" t="s">
        <v>324</v>
      </c>
      <c r="AI28" s="35"/>
      <c r="AK28" s="187"/>
    </row>
    <row r="29" spans="1:37" ht="14.25">
      <c r="A29" s="47"/>
      <c r="B29" s="47"/>
      <c r="C29" s="47"/>
      <c r="D29" s="47"/>
      <c r="E29" s="47"/>
      <c r="F29" s="47"/>
      <c r="G29" s="47"/>
      <c r="H29" s="213" t="str">
        <f t="shared" si="0"/>
        <v>-</v>
      </c>
      <c r="I29" s="207" t="str">
        <f>VLOOKUP(H29,NodeList!$D$4:$E$121,2,FALSE)</f>
        <v>-</v>
      </c>
      <c r="J29" s="174"/>
      <c r="K29" s="209"/>
      <c r="L29" s="47"/>
      <c r="M29" s="47"/>
      <c r="N29" s="47"/>
      <c r="O29" s="47"/>
      <c r="P29" s="47"/>
      <c r="Q29" s="47"/>
      <c r="R29" s="42">
        <v>6</v>
      </c>
      <c r="S29" s="33" t="str">
        <f t="shared" si="1"/>
        <v>Node 1.05</v>
      </c>
      <c r="T29" s="33"/>
      <c r="U29" s="40" t="s">
        <v>24</v>
      </c>
      <c r="V29" s="40" t="s">
        <v>228</v>
      </c>
      <c r="W29" s="217" t="s">
        <v>62</v>
      </c>
      <c r="X29" s="288" t="s">
        <v>255</v>
      </c>
      <c r="Y29" s="288" t="s">
        <v>255</v>
      </c>
      <c r="Z29" s="288" t="s">
        <v>255</v>
      </c>
      <c r="AA29" s="288" t="s">
        <v>255</v>
      </c>
      <c r="AB29" s="288" t="s">
        <v>255</v>
      </c>
      <c r="AC29" s="288" t="s">
        <v>255</v>
      </c>
      <c r="AD29" s="288" t="s">
        <v>255</v>
      </c>
      <c r="AE29" s="288" t="s">
        <v>255</v>
      </c>
      <c r="AF29" s="217" t="s">
        <v>157</v>
      </c>
      <c r="AG29" s="288" t="s">
        <v>255</v>
      </c>
      <c r="AH29" s="288" t="s">
        <v>255</v>
      </c>
      <c r="AI29" s="35"/>
      <c r="AK29" s="187"/>
    </row>
    <row r="30" spans="1:37" ht="14.25">
      <c r="A30" s="47"/>
      <c r="B30" s="47"/>
      <c r="C30" s="47"/>
      <c r="D30" s="47"/>
      <c r="E30" s="47"/>
      <c r="F30" s="47"/>
      <c r="G30" s="47"/>
      <c r="H30" s="213" t="str">
        <f t="shared" si="0"/>
        <v>-</v>
      </c>
      <c r="I30" s="207" t="str">
        <f>VLOOKUP(H30,NodeList!$D$4:$E$121,2,FALSE)</f>
        <v>-</v>
      </c>
      <c r="J30" s="174"/>
      <c r="K30" s="209"/>
      <c r="L30" s="47"/>
      <c r="M30" s="47"/>
      <c r="N30" s="47"/>
      <c r="O30" s="47"/>
      <c r="P30" s="47"/>
      <c r="Q30" s="47"/>
      <c r="R30" s="42">
        <v>7</v>
      </c>
      <c r="S30" s="33" t="str">
        <f t="shared" si="1"/>
        <v>Node 1.06</v>
      </c>
      <c r="T30" s="33"/>
      <c r="U30" s="40" t="s">
        <v>25</v>
      </c>
      <c r="V30" s="40" t="s">
        <v>233</v>
      </c>
      <c r="W30" s="217" t="s">
        <v>63</v>
      </c>
      <c r="X30" s="288" t="s">
        <v>255</v>
      </c>
      <c r="Y30" s="288" t="s">
        <v>255</v>
      </c>
      <c r="Z30" s="288" t="s">
        <v>255</v>
      </c>
      <c r="AA30" s="288" t="s">
        <v>255</v>
      </c>
      <c r="AB30" s="288" t="s">
        <v>255</v>
      </c>
      <c r="AC30" s="288" t="s">
        <v>255</v>
      </c>
      <c r="AD30" s="288" t="s">
        <v>255</v>
      </c>
      <c r="AE30" s="288" t="s">
        <v>255</v>
      </c>
      <c r="AF30" s="217" t="s">
        <v>140</v>
      </c>
      <c r="AG30" s="288" t="s">
        <v>255</v>
      </c>
      <c r="AH30" s="288" t="s">
        <v>255</v>
      </c>
      <c r="AI30" s="35"/>
      <c r="AK30" s="187"/>
    </row>
    <row r="31" spans="1:37" ht="15" thickBot="1">
      <c r="A31" s="47"/>
      <c r="B31" s="47"/>
      <c r="C31" s="47"/>
      <c r="D31" s="47"/>
      <c r="E31" s="47"/>
      <c r="F31" s="47"/>
      <c r="G31" s="47"/>
      <c r="H31" s="214" t="str">
        <f>+S48</f>
        <v>-</v>
      </c>
      <c r="I31" s="208" t="str">
        <f>VLOOKUP(H31,NodeList!$D$4:$E$121,2,FALSE)</f>
        <v>-</v>
      </c>
      <c r="J31" s="215"/>
      <c r="K31" s="216"/>
      <c r="L31" s="47"/>
      <c r="M31" s="47"/>
      <c r="N31" s="47"/>
      <c r="O31" s="47"/>
      <c r="P31" s="47"/>
      <c r="Q31" s="47"/>
      <c r="R31" s="42">
        <v>8</v>
      </c>
      <c r="S31" s="33" t="str">
        <f t="shared" si="1"/>
        <v>Node 1.07</v>
      </c>
      <c r="T31" s="33"/>
      <c r="U31" s="40" t="s">
        <v>26</v>
      </c>
      <c r="V31" s="40" t="s">
        <v>234</v>
      </c>
      <c r="W31" s="217" t="s">
        <v>64</v>
      </c>
      <c r="X31" s="288" t="s">
        <v>255</v>
      </c>
      <c r="Y31" s="288" t="s">
        <v>255</v>
      </c>
      <c r="Z31" s="288" t="s">
        <v>255</v>
      </c>
      <c r="AA31" s="288" t="s">
        <v>255</v>
      </c>
      <c r="AB31" s="288" t="s">
        <v>255</v>
      </c>
      <c r="AC31" s="288" t="s">
        <v>255</v>
      </c>
      <c r="AD31" s="288" t="s">
        <v>255</v>
      </c>
      <c r="AE31" s="288" t="s">
        <v>255</v>
      </c>
      <c r="AF31" s="217" t="s">
        <v>159</v>
      </c>
      <c r="AG31" s="288" t="s">
        <v>255</v>
      </c>
      <c r="AH31" s="288" t="s">
        <v>255</v>
      </c>
      <c r="AI31" s="35"/>
      <c r="AK31" s="187"/>
    </row>
    <row r="32" spans="1:37" ht="14.25">
      <c r="A32" s="47"/>
      <c r="B32" s="47"/>
      <c r="C32" s="47"/>
      <c r="D32" s="47"/>
      <c r="E32" s="47"/>
      <c r="F32" s="47"/>
      <c r="G32" s="47"/>
      <c r="H32" s="34"/>
      <c r="I32" s="34"/>
      <c r="J32" s="34"/>
      <c r="K32" s="34"/>
      <c r="L32" s="47"/>
      <c r="M32" s="47"/>
      <c r="N32" s="47"/>
      <c r="O32" s="47"/>
      <c r="P32" s="47"/>
      <c r="Q32" s="47"/>
      <c r="R32" s="42">
        <v>9</v>
      </c>
      <c r="S32" s="33" t="str">
        <f t="shared" si="1"/>
        <v>Node 1.08</v>
      </c>
      <c r="T32" s="33"/>
      <c r="U32" s="40" t="s">
        <v>27</v>
      </c>
      <c r="V32" s="40" t="s">
        <v>235</v>
      </c>
      <c r="W32" s="217" t="s">
        <v>65</v>
      </c>
      <c r="X32" s="288" t="s">
        <v>255</v>
      </c>
      <c r="Y32" s="288" t="s">
        <v>255</v>
      </c>
      <c r="Z32" s="288" t="s">
        <v>255</v>
      </c>
      <c r="AA32" s="288" t="s">
        <v>255</v>
      </c>
      <c r="AB32" s="288" t="s">
        <v>255</v>
      </c>
      <c r="AC32" s="288" t="s">
        <v>255</v>
      </c>
      <c r="AD32" s="288" t="s">
        <v>255</v>
      </c>
      <c r="AE32" s="288" t="s">
        <v>255</v>
      </c>
      <c r="AF32" s="217" t="s">
        <v>151</v>
      </c>
      <c r="AG32" s="288" t="s">
        <v>255</v>
      </c>
      <c r="AH32" s="288" t="s">
        <v>255</v>
      </c>
      <c r="AI32" s="35"/>
      <c r="AK32" s="187"/>
    </row>
    <row r="33" spans="1:37" ht="14.25">
      <c r="A33" s="47"/>
      <c r="B33" s="47"/>
      <c r="C33" s="47"/>
      <c r="D33" s="47"/>
      <c r="E33" s="47"/>
      <c r="F33" s="47"/>
      <c r="G33" s="47"/>
      <c r="H33" s="34"/>
      <c r="I33" s="34"/>
      <c r="J33" s="34"/>
      <c r="K33" s="34"/>
      <c r="L33" s="47"/>
      <c r="M33" s="47"/>
      <c r="N33" s="47"/>
      <c r="O33" s="47"/>
      <c r="P33" s="47"/>
      <c r="Q33" s="47"/>
      <c r="R33" s="42">
        <v>10</v>
      </c>
      <c r="S33" s="33" t="str">
        <f t="shared" si="1"/>
        <v>Node 1.09</v>
      </c>
      <c r="T33" s="33"/>
      <c r="U33" s="40" t="s">
        <v>28</v>
      </c>
      <c r="V33" s="40" t="s">
        <v>236</v>
      </c>
      <c r="W33" s="217" t="s">
        <v>66</v>
      </c>
      <c r="X33" s="288" t="s">
        <v>255</v>
      </c>
      <c r="Y33" s="288" t="s">
        <v>255</v>
      </c>
      <c r="Z33" s="288" t="s">
        <v>255</v>
      </c>
      <c r="AA33" s="288" t="s">
        <v>255</v>
      </c>
      <c r="AB33" s="288" t="s">
        <v>255</v>
      </c>
      <c r="AC33" s="288" t="s">
        <v>255</v>
      </c>
      <c r="AD33" s="288" t="s">
        <v>255</v>
      </c>
      <c r="AE33" s="288" t="s">
        <v>255</v>
      </c>
      <c r="AF33" s="217" t="s">
        <v>312</v>
      </c>
      <c r="AG33" s="288" t="s">
        <v>255</v>
      </c>
      <c r="AH33" s="288" t="s">
        <v>255</v>
      </c>
      <c r="AI33" s="35"/>
      <c r="AK33" s="187"/>
    </row>
    <row r="34" spans="1:37" ht="14.25">
      <c r="A34" s="47"/>
      <c r="B34" s="47"/>
      <c r="C34" s="47"/>
      <c r="D34" s="47"/>
      <c r="E34" s="47"/>
      <c r="F34" s="47"/>
      <c r="G34" s="47"/>
      <c r="H34" s="34"/>
      <c r="I34" s="33"/>
      <c r="J34" s="33"/>
      <c r="K34" s="33"/>
      <c r="L34" s="47"/>
      <c r="M34" s="47"/>
      <c r="N34" s="47"/>
      <c r="O34" s="47"/>
      <c r="P34" s="47"/>
      <c r="Q34" s="47"/>
      <c r="R34" s="42">
        <v>11</v>
      </c>
      <c r="S34" s="33" t="str">
        <f t="shared" si="1"/>
        <v>Node 1.10</v>
      </c>
      <c r="T34" s="33"/>
      <c r="U34" s="40" t="s">
        <v>29</v>
      </c>
      <c r="V34" s="40" t="s">
        <v>237</v>
      </c>
      <c r="W34" s="217" t="s">
        <v>67</v>
      </c>
      <c r="X34" s="288" t="s">
        <v>255</v>
      </c>
      <c r="Y34" s="288" t="s">
        <v>255</v>
      </c>
      <c r="Z34" s="288" t="s">
        <v>255</v>
      </c>
      <c r="AA34" s="288" t="s">
        <v>255</v>
      </c>
      <c r="AB34" s="288" t="s">
        <v>255</v>
      </c>
      <c r="AC34" s="288" t="s">
        <v>255</v>
      </c>
      <c r="AD34" s="288" t="s">
        <v>255</v>
      </c>
      <c r="AE34" s="288" t="s">
        <v>255</v>
      </c>
      <c r="AF34" s="288" t="s">
        <v>255</v>
      </c>
      <c r="AG34" s="288" t="s">
        <v>255</v>
      </c>
      <c r="AH34" s="288" t="s">
        <v>255</v>
      </c>
      <c r="AI34" s="35"/>
      <c r="AK34" s="187"/>
    </row>
    <row r="35" spans="1:37" ht="14.25">
      <c r="A35" s="47"/>
      <c r="B35" s="47"/>
      <c r="C35" s="47"/>
      <c r="D35" s="47"/>
      <c r="E35" s="47"/>
      <c r="F35" s="47"/>
      <c r="G35" s="47"/>
      <c r="H35" s="34"/>
      <c r="I35" s="33"/>
      <c r="J35" s="33"/>
      <c r="K35" s="33"/>
      <c r="L35" s="47"/>
      <c r="M35" s="47"/>
      <c r="N35" s="47"/>
      <c r="O35" s="47"/>
      <c r="P35" s="47"/>
      <c r="Q35" s="47"/>
      <c r="R35" s="42">
        <v>12</v>
      </c>
      <c r="S35" s="33" t="str">
        <f t="shared" si="1"/>
        <v>Node 1.11</v>
      </c>
      <c r="T35" s="33"/>
      <c r="U35" s="40" t="s">
        <v>30</v>
      </c>
      <c r="V35" s="40" t="s">
        <v>506</v>
      </c>
      <c r="W35" s="217" t="s">
        <v>68</v>
      </c>
      <c r="X35" s="288" t="s">
        <v>255</v>
      </c>
      <c r="Y35" s="288" t="s">
        <v>255</v>
      </c>
      <c r="Z35" s="288" t="s">
        <v>255</v>
      </c>
      <c r="AA35" s="288" t="s">
        <v>255</v>
      </c>
      <c r="AB35" s="288" t="s">
        <v>255</v>
      </c>
      <c r="AC35" s="288" t="s">
        <v>255</v>
      </c>
      <c r="AD35" s="288" t="s">
        <v>255</v>
      </c>
      <c r="AE35" s="288" t="s">
        <v>255</v>
      </c>
      <c r="AF35" s="288" t="s">
        <v>255</v>
      </c>
      <c r="AG35" s="288" t="s">
        <v>255</v>
      </c>
      <c r="AH35" s="288" t="s">
        <v>255</v>
      </c>
      <c r="AI35" s="35"/>
      <c r="AK35" s="187"/>
    </row>
    <row r="36" spans="1:37" ht="14.25">
      <c r="A36" s="47"/>
      <c r="B36" s="47"/>
      <c r="C36" s="47"/>
      <c r="D36" s="47"/>
      <c r="E36" s="47"/>
      <c r="F36" s="47"/>
      <c r="G36" s="47"/>
      <c r="H36" s="34"/>
      <c r="I36" s="33"/>
      <c r="J36" s="33"/>
      <c r="K36" s="33"/>
      <c r="L36" s="47"/>
      <c r="M36" s="47"/>
      <c r="N36" s="47"/>
      <c r="O36" s="47"/>
      <c r="P36" s="47"/>
      <c r="Q36" s="47"/>
      <c r="R36" s="42">
        <v>13</v>
      </c>
      <c r="S36" s="33" t="str">
        <f t="shared" si="1"/>
        <v>Node 1.12</v>
      </c>
      <c r="T36" s="33"/>
      <c r="U36" s="288" t="s">
        <v>255</v>
      </c>
      <c r="V36" s="41"/>
      <c r="W36" s="217" t="s">
        <v>69</v>
      </c>
      <c r="X36" s="288" t="s">
        <v>255</v>
      </c>
      <c r="Y36" s="288" t="s">
        <v>255</v>
      </c>
      <c r="Z36" s="288" t="s">
        <v>255</v>
      </c>
      <c r="AA36" s="288" t="s">
        <v>255</v>
      </c>
      <c r="AB36" s="288" t="s">
        <v>255</v>
      </c>
      <c r="AC36" s="288" t="s">
        <v>255</v>
      </c>
      <c r="AD36" s="288" t="s">
        <v>255</v>
      </c>
      <c r="AE36" s="288" t="s">
        <v>255</v>
      </c>
      <c r="AF36" s="288" t="s">
        <v>255</v>
      </c>
      <c r="AG36" s="288" t="s">
        <v>255</v>
      </c>
      <c r="AH36" s="288" t="s">
        <v>255</v>
      </c>
      <c r="AI36" s="35"/>
      <c r="AK36" s="187"/>
    </row>
    <row r="37" spans="1:37" ht="14.25">
      <c r="A37" s="47"/>
      <c r="B37" s="47"/>
      <c r="C37" s="47"/>
      <c r="D37" s="47"/>
      <c r="E37" s="47"/>
      <c r="F37" s="47"/>
      <c r="G37" s="47"/>
      <c r="H37" s="34"/>
      <c r="I37" s="33"/>
      <c r="J37" s="33"/>
      <c r="K37" s="33"/>
      <c r="L37" s="47"/>
      <c r="M37" s="47"/>
      <c r="N37" s="47"/>
      <c r="O37" s="47"/>
      <c r="P37" s="47"/>
      <c r="Q37" s="47"/>
      <c r="R37" s="42">
        <v>14</v>
      </c>
      <c r="S37" s="33" t="str">
        <f t="shared" si="1"/>
        <v>Node 1.13</v>
      </c>
      <c r="T37" s="33"/>
      <c r="U37" s="288" t="s">
        <v>255</v>
      </c>
      <c r="V37" s="41"/>
      <c r="W37" s="217" t="s">
        <v>70</v>
      </c>
      <c r="X37" s="288" t="s">
        <v>255</v>
      </c>
      <c r="Y37" s="288" t="s">
        <v>255</v>
      </c>
      <c r="Z37" s="288" t="s">
        <v>255</v>
      </c>
      <c r="AA37" s="288" t="s">
        <v>255</v>
      </c>
      <c r="AB37" s="288" t="s">
        <v>255</v>
      </c>
      <c r="AC37" s="288" t="s">
        <v>255</v>
      </c>
      <c r="AD37" s="288" t="s">
        <v>255</v>
      </c>
      <c r="AE37" s="288" t="s">
        <v>255</v>
      </c>
      <c r="AF37" s="288" t="s">
        <v>255</v>
      </c>
      <c r="AG37" s="288" t="s">
        <v>255</v>
      </c>
      <c r="AH37" s="288" t="s">
        <v>255</v>
      </c>
      <c r="AI37" s="35"/>
      <c r="AK37" s="187"/>
    </row>
    <row r="38" spans="1:37" ht="14.25">
      <c r="A38" s="47"/>
      <c r="B38" s="47"/>
      <c r="C38" s="47"/>
      <c r="D38" s="47"/>
      <c r="E38" s="47"/>
      <c r="F38" s="47"/>
      <c r="G38" s="47"/>
      <c r="H38" s="34"/>
      <c r="I38" s="33"/>
      <c r="J38" s="33"/>
      <c r="K38" s="33"/>
      <c r="L38" s="47"/>
      <c r="M38" s="47"/>
      <c r="N38" s="47"/>
      <c r="O38" s="47"/>
      <c r="P38" s="47"/>
      <c r="Q38" s="47"/>
      <c r="R38" s="42">
        <v>15</v>
      </c>
      <c r="S38" s="33" t="str">
        <f t="shared" si="1"/>
        <v>Node 1.15</v>
      </c>
      <c r="T38" s="33"/>
      <c r="U38" s="288" t="s">
        <v>255</v>
      </c>
      <c r="V38" s="41"/>
      <c r="W38" s="217" t="s">
        <v>315</v>
      </c>
      <c r="X38" s="288" t="s">
        <v>255</v>
      </c>
      <c r="Y38" s="288" t="s">
        <v>255</v>
      </c>
      <c r="Z38" s="288" t="s">
        <v>255</v>
      </c>
      <c r="AA38" s="288" t="s">
        <v>255</v>
      </c>
      <c r="AB38" s="288" t="s">
        <v>255</v>
      </c>
      <c r="AC38" s="288" t="s">
        <v>255</v>
      </c>
      <c r="AD38" s="288" t="s">
        <v>255</v>
      </c>
      <c r="AE38" s="288" t="s">
        <v>255</v>
      </c>
      <c r="AF38" s="288" t="s">
        <v>255</v>
      </c>
      <c r="AG38" s="288" t="s">
        <v>255</v>
      </c>
      <c r="AH38" s="288" t="s">
        <v>255</v>
      </c>
      <c r="AI38" s="35"/>
      <c r="AK38" s="187"/>
    </row>
    <row r="39" spans="1:37" ht="14.25">
      <c r="A39" s="47"/>
      <c r="B39" s="47"/>
      <c r="C39" s="47"/>
      <c r="D39" s="47"/>
      <c r="E39" s="47"/>
      <c r="F39" s="47"/>
      <c r="G39" s="47"/>
      <c r="H39" s="34"/>
      <c r="I39" s="33"/>
      <c r="J39" s="33"/>
      <c r="K39" s="33"/>
      <c r="L39" s="47"/>
      <c r="M39" s="47"/>
      <c r="N39" s="47"/>
      <c r="O39" s="47"/>
      <c r="P39" s="47"/>
      <c r="Q39" s="47"/>
      <c r="R39" s="42">
        <v>16</v>
      </c>
      <c r="S39" s="33" t="str">
        <f t="shared" si="1"/>
        <v>-</v>
      </c>
      <c r="T39" s="33"/>
      <c r="U39" s="288" t="s">
        <v>255</v>
      </c>
      <c r="V39" s="41"/>
      <c r="W39" s="288" t="s">
        <v>255</v>
      </c>
      <c r="X39" s="288" t="s">
        <v>255</v>
      </c>
      <c r="Y39" s="288" t="s">
        <v>255</v>
      </c>
      <c r="Z39" s="288" t="s">
        <v>255</v>
      </c>
      <c r="AA39" s="288" t="s">
        <v>255</v>
      </c>
      <c r="AB39" s="288" t="s">
        <v>255</v>
      </c>
      <c r="AC39" s="288" t="s">
        <v>255</v>
      </c>
      <c r="AD39" s="288" t="s">
        <v>255</v>
      </c>
      <c r="AE39" s="288" t="s">
        <v>255</v>
      </c>
      <c r="AF39" s="288" t="s">
        <v>255</v>
      </c>
      <c r="AG39" s="288" t="s">
        <v>255</v>
      </c>
      <c r="AH39" s="288" t="s">
        <v>255</v>
      </c>
      <c r="AI39" s="35"/>
      <c r="AK39" s="187"/>
    </row>
    <row r="40" spans="1:37" ht="14.25">
      <c r="A40" s="47"/>
      <c r="B40" s="47"/>
      <c r="C40" s="47"/>
      <c r="D40" s="47"/>
      <c r="E40" s="47"/>
      <c r="F40" s="47"/>
      <c r="G40" s="47"/>
      <c r="H40" s="34"/>
      <c r="I40" s="33"/>
      <c r="J40" s="33"/>
      <c r="K40" s="33"/>
      <c r="L40" s="47"/>
      <c r="M40" s="47"/>
      <c r="N40" s="47"/>
      <c r="O40" s="47"/>
      <c r="P40" s="47"/>
      <c r="Q40" s="47"/>
      <c r="R40" s="42">
        <v>17</v>
      </c>
      <c r="S40" s="33" t="str">
        <f t="shared" ref="S40:S48" si="2">IF(HLOOKUP($S$18,$W$23:$AH$51,R40+1,FALSE)&lt;&gt;"",(HLOOKUP($S$18,$W$23:$AH$51,R40+1,)),"")</f>
        <v>-</v>
      </c>
      <c r="T40" s="33"/>
      <c r="U40" s="288" t="s">
        <v>255</v>
      </c>
      <c r="V40" s="41"/>
      <c r="W40" s="288" t="s">
        <v>255</v>
      </c>
      <c r="X40" s="288" t="s">
        <v>255</v>
      </c>
      <c r="Y40" s="288" t="s">
        <v>255</v>
      </c>
      <c r="Z40" s="288" t="s">
        <v>255</v>
      </c>
      <c r="AA40" s="288" t="s">
        <v>255</v>
      </c>
      <c r="AB40" s="288" t="s">
        <v>255</v>
      </c>
      <c r="AC40" s="288" t="s">
        <v>255</v>
      </c>
      <c r="AD40" s="288" t="s">
        <v>255</v>
      </c>
      <c r="AE40" s="288" t="s">
        <v>255</v>
      </c>
      <c r="AF40" s="288" t="s">
        <v>255</v>
      </c>
      <c r="AG40" s="288" t="s">
        <v>255</v>
      </c>
      <c r="AH40" s="288" t="s">
        <v>255</v>
      </c>
      <c r="AI40" s="35"/>
      <c r="AK40" s="187"/>
    </row>
    <row r="41" spans="1:37" ht="14.25">
      <c r="A41" s="47"/>
      <c r="B41" s="47"/>
      <c r="C41" s="47"/>
      <c r="D41" s="47"/>
      <c r="E41" s="47"/>
      <c r="F41" s="47"/>
      <c r="G41" s="47"/>
      <c r="H41" s="33"/>
      <c r="I41" s="33"/>
      <c r="J41" s="33"/>
      <c r="K41" s="33"/>
      <c r="L41" s="47"/>
      <c r="M41" s="47"/>
      <c r="N41" s="47"/>
      <c r="O41" s="47"/>
      <c r="P41" s="47"/>
      <c r="Q41" s="47"/>
      <c r="R41" s="42">
        <v>18</v>
      </c>
      <c r="S41" s="33" t="str">
        <f t="shared" si="2"/>
        <v>-</v>
      </c>
      <c r="T41" s="33"/>
      <c r="U41" s="288" t="s">
        <v>255</v>
      </c>
      <c r="V41" s="41"/>
      <c r="W41" s="288" t="s">
        <v>255</v>
      </c>
      <c r="X41" s="288" t="s">
        <v>255</v>
      </c>
      <c r="Y41" s="288" t="s">
        <v>255</v>
      </c>
      <c r="Z41" s="288" t="s">
        <v>255</v>
      </c>
      <c r="AA41" s="288" t="s">
        <v>255</v>
      </c>
      <c r="AB41" s="288" t="s">
        <v>255</v>
      </c>
      <c r="AC41" s="288" t="s">
        <v>255</v>
      </c>
      <c r="AD41" s="288" t="s">
        <v>255</v>
      </c>
      <c r="AE41" s="288" t="s">
        <v>255</v>
      </c>
      <c r="AF41" s="288" t="s">
        <v>255</v>
      </c>
      <c r="AG41" s="288" t="s">
        <v>255</v>
      </c>
      <c r="AH41" s="288" t="s">
        <v>255</v>
      </c>
      <c r="AI41" s="35"/>
      <c r="AK41" s="187"/>
    </row>
    <row r="42" spans="1:37" ht="14.25">
      <c r="A42" s="47"/>
      <c r="B42" s="47"/>
      <c r="C42" s="47"/>
      <c r="D42" s="47"/>
      <c r="E42" s="47"/>
      <c r="F42" s="47"/>
      <c r="G42" s="47"/>
      <c r="H42" s="33"/>
      <c r="I42" s="33"/>
      <c r="J42" s="33"/>
      <c r="K42" s="33"/>
      <c r="L42" s="47"/>
      <c r="M42" s="47"/>
      <c r="N42" s="47"/>
      <c r="O42" s="47"/>
      <c r="P42" s="47"/>
      <c r="Q42" s="47"/>
      <c r="R42" s="42">
        <v>19</v>
      </c>
      <c r="S42" s="33" t="str">
        <f t="shared" si="2"/>
        <v>-</v>
      </c>
      <c r="T42" s="33"/>
      <c r="U42" s="288" t="s">
        <v>255</v>
      </c>
      <c r="V42" s="41"/>
      <c r="W42" s="288" t="s">
        <v>255</v>
      </c>
      <c r="X42" s="288" t="s">
        <v>255</v>
      </c>
      <c r="Y42" s="288" t="s">
        <v>255</v>
      </c>
      <c r="Z42" s="288" t="s">
        <v>255</v>
      </c>
      <c r="AA42" s="288" t="s">
        <v>255</v>
      </c>
      <c r="AB42" s="288" t="s">
        <v>255</v>
      </c>
      <c r="AC42" s="288" t="s">
        <v>255</v>
      </c>
      <c r="AD42" s="288" t="s">
        <v>255</v>
      </c>
      <c r="AE42" s="288" t="s">
        <v>255</v>
      </c>
      <c r="AF42" s="288" t="s">
        <v>255</v>
      </c>
      <c r="AG42" s="288" t="s">
        <v>255</v>
      </c>
      <c r="AH42" s="288" t="s">
        <v>255</v>
      </c>
      <c r="AI42" s="35"/>
      <c r="AK42" s="187"/>
    </row>
    <row r="43" spans="1:37" ht="14.25">
      <c r="A43" s="47"/>
      <c r="B43" s="47"/>
      <c r="C43" s="47"/>
      <c r="D43" s="47"/>
      <c r="E43" s="47"/>
      <c r="F43" s="47"/>
      <c r="G43" s="47"/>
      <c r="H43" s="33"/>
      <c r="I43" s="33"/>
      <c r="J43" s="33"/>
      <c r="K43" s="33"/>
      <c r="L43" s="47"/>
      <c r="M43" s="47"/>
      <c r="N43" s="47"/>
      <c r="O43" s="47"/>
      <c r="P43" s="47"/>
      <c r="Q43" s="47"/>
      <c r="R43" s="42">
        <v>20</v>
      </c>
      <c r="S43" s="33" t="str">
        <f t="shared" si="2"/>
        <v>-</v>
      </c>
      <c r="T43" s="33"/>
      <c r="U43" s="288" t="s">
        <v>255</v>
      </c>
      <c r="V43" s="41"/>
      <c r="W43" s="288" t="s">
        <v>255</v>
      </c>
      <c r="X43" s="288" t="s">
        <v>255</v>
      </c>
      <c r="Y43" s="288" t="s">
        <v>255</v>
      </c>
      <c r="Z43" s="288" t="s">
        <v>255</v>
      </c>
      <c r="AA43" s="288" t="s">
        <v>255</v>
      </c>
      <c r="AB43" s="288" t="s">
        <v>255</v>
      </c>
      <c r="AC43" s="288" t="s">
        <v>255</v>
      </c>
      <c r="AD43" s="288" t="s">
        <v>255</v>
      </c>
      <c r="AE43" s="288" t="s">
        <v>255</v>
      </c>
      <c r="AF43" s="288" t="s">
        <v>255</v>
      </c>
      <c r="AG43" s="288" t="s">
        <v>255</v>
      </c>
      <c r="AH43" s="288" t="s">
        <v>255</v>
      </c>
      <c r="AI43" s="35"/>
      <c r="AK43" s="187"/>
    </row>
    <row r="44" spans="1:37" ht="14.25">
      <c r="A44" s="51"/>
      <c r="B44" s="51"/>
      <c r="C44" s="51"/>
      <c r="D44" s="51"/>
      <c r="E44" s="51"/>
      <c r="F44" s="51"/>
      <c r="G44" s="51"/>
      <c r="H44" s="51"/>
      <c r="I44" s="51"/>
      <c r="J44" s="51"/>
      <c r="K44" s="51"/>
      <c r="L44" s="51"/>
      <c r="M44" s="51"/>
      <c r="N44" s="51"/>
      <c r="O44" s="51"/>
      <c r="P44" s="51"/>
      <c r="Q44" s="51"/>
      <c r="R44" s="42">
        <v>21</v>
      </c>
      <c r="S44" s="33" t="str">
        <f t="shared" si="2"/>
        <v>-</v>
      </c>
      <c r="T44" s="33"/>
      <c r="U44" s="288" t="s">
        <v>255</v>
      </c>
      <c r="V44" s="41"/>
      <c r="W44" s="288" t="s">
        <v>255</v>
      </c>
      <c r="X44" s="288" t="s">
        <v>255</v>
      </c>
      <c r="Y44" s="288" t="s">
        <v>255</v>
      </c>
      <c r="Z44" s="288" t="s">
        <v>255</v>
      </c>
      <c r="AA44" s="288" t="s">
        <v>255</v>
      </c>
      <c r="AB44" s="288" t="s">
        <v>255</v>
      </c>
      <c r="AC44" s="288" t="s">
        <v>255</v>
      </c>
      <c r="AD44" s="288" t="s">
        <v>255</v>
      </c>
      <c r="AE44" s="288" t="s">
        <v>255</v>
      </c>
      <c r="AF44" s="288" t="s">
        <v>255</v>
      </c>
      <c r="AG44" s="288" t="s">
        <v>255</v>
      </c>
      <c r="AH44" s="288" t="s">
        <v>255</v>
      </c>
      <c r="AI44" s="35"/>
      <c r="AK44" s="187"/>
    </row>
    <row r="45" spans="1:37" ht="14.25">
      <c r="A45" s="51"/>
      <c r="B45" s="51"/>
      <c r="C45" s="51"/>
      <c r="D45" s="51"/>
      <c r="E45" s="51"/>
      <c r="F45" s="51"/>
      <c r="G45" s="51"/>
      <c r="H45" s="51"/>
      <c r="I45" s="51"/>
      <c r="J45" s="51"/>
      <c r="K45" s="51"/>
      <c r="L45" s="51"/>
      <c r="M45" s="51"/>
      <c r="N45" s="51"/>
      <c r="O45" s="51"/>
      <c r="P45" s="51"/>
      <c r="Q45" s="51"/>
      <c r="R45" s="42">
        <v>22</v>
      </c>
      <c r="S45" s="33" t="str">
        <f t="shared" si="2"/>
        <v>-</v>
      </c>
      <c r="T45" s="33"/>
      <c r="U45" s="288" t="s">
        <v>255</v>
      </c>
      <c r="V45" s="41"/>
      <c r="W45" s="288" t="s">
        <v>255</v>
      </c>
      <c r="X45" s="288" t="s">
        <v>255</v>
      </c>
      <c r="Y45" s="288" t="s">
        <v>255</v>
      </c>
      <c r="Z45" s="288" t="s">
        <v>255</v>
      </c>
      <c r="AA45" s="288" t="s">
        <v>255</v>
      </c>
      <c r="AB45" s="288" t="s">
        <v>255</v>
      </c>
      <c r="AC45" s="288" t="s">
        <v>255</v>
      </c>
      <c r="AD45" s="288" t="s">
        <v>255</v>
      </c>
      <c r="AE45" s="288" t="s">
        <v>255</v>
      </c>
      <c r="AF45" s="288" t="s">
        <v>255</v>
      </c>
      <c r="AG45" s="288" t="s">
        <v>255</v>
      </c>
      <c r="AH45" s="288" t="s">
        <v>255</v>
      </c>
      <c r="AI45" s="35"/>
      <c r="AK45" s="187"/>
    </row>
    <row r="46" spans="1:37" ht="14.25">
      <c r="A46" s="51"/>
      <c r="B46" s="51"/>
      <c r="C46" s="51"/>
      <c r="D46" s="51"/>
      <c r="E46" s="51"/>
      <c r="F46" s="51"/>
      <c r="G46" s="51"/>
      <c r="H46" s="51"/>
      <c r="I46" s="51"/>
      <c r="J46" s="51"/>
      <c r="K46" s="51"/>
      <c r="L46" s="51"/>
      <c r="M46" s="51"/>
      <c r="N46" s="51"/>
      <c r="O46" s="51"/>
      <c r="P46" s="51"/>
      <c r="Q46" s="51"/>
      <c r="R46" s="42">
        <v>23</v>
      </c>
      <c r="S46" s="33" t="str">
        <f t="shared" si="2"/>
        <v>-</v>
      </c>
      <c r="T46" s="33"/>
      <c r="U46" s="288" t="s">
        <v>255</v>
      </c>
      <c r="V46" s="41"/>
      <c r="W46" s="288" t="s">
        <v>255</v>
      </c>
      <c r="X46" s="288" t="s">
        <v>255</v>
      </c>
      <c r="Y46" s="288" t="s">
        <v>255</v>
      </c>
      <c r="Z46" s="288" t="s">
        <v>255</v>
      </c>
      <c r="AA46" s="288" t="s">
        <v>255</v>
      </c>
      <c r="AB46" s="288" t="s">
        <v>255</v>
      </c>
      <c r="AC46" s="288" t="s">
        <v>255</v>
      </c>
      <c r="AD46" s="288" t="s">
        <v>255</v>
      </c>
      <c r="AE46" s="288" t="s">
        <v>255</v>
      </c>
      <c r="AF46" s="288" t="s">
        <v>255</v>
      </c>
      <c r="AG46" s="288" t="s">
        <v>255</v>
      </c>
      <c r="AH46" s="288" t="s">
        <v>255</v>
      </c>
      <c r="AI46" s="35"/>
      <c r="AK46" s="187"/>
    </row>
    <row r="47" spans="1:37" ht="14.25">
      <c r="A47" s="51"/>
      <c r="B47" s="51"/>
      <c r="C47" s="51"/>
      <c r="D47" s="51"/>
      <c r="E47" s="51"/>
      <c r="F47" s="51"/>
      <c r="G47" s="51"/>
      <c r="H47" s="51"/>
      <c r="I47" s="51"/>
      <c r="J47" s="51"/>
      <c r="K47" s="51"/>
      <c r="L47" s="51"/>
      <c r="M47" s="51"/>
      <c r="N47" s="51"/>
      <c r="O47" s="51"/>
      <c r="P47" s="51"/>
      <c r="Q47" s="51"/>
      <c r="R47" s="42">
        <v>24</v>
      </c>
      <c r="S47" s="33" t="str">
        <f t="shared" si="2"/>
        <v>-</v>
      </c>
      <c r="T47" s="33"/>
      <c r="U47" s="288" t="s">
        <v>255</v>
      </c>
      <c r="V47" s="41"/>
      <c r="W47" s="288" t="s">
        <v>255</v>
      </c>
      <c r="X47" s="288" t="s">
        <v>255</v>
      </c>
      <c r="Y47" s="288" t="s">
        <v>255</v>
      </c>
      <c r="Z47" s="288" t="s">
        <v>255</v>
      </c>
      <c r="AA47" s="288" t="s">
        <v>255</v>
      </c>
      <c r="AB47" s="288" t="s">
        <v>255</v>
      </c>
      <c r="AC47" s="288" t="s">
        <v>255</v>
      </c>
      <c r="AD47" s="288" t="s">
        <v>255</v>
      </c>
      <c r="AE47" s="288" t="s">
        <v>255</v>
      </c>
      <c r="AF47" s="288" t="s">
        <v>255</v>
      </c>
      <c r="AG47" s="288" t="s">
        <v>255</v>
      </c>
      <c r="AH47" s="288" t="s">
        <v>255</v>
      </c>
      <c r="AI47" s="35"/>
      <c r="AK47" s="187"/>
    </row>
    <row r="48" spans="1:37" ht="14.25">
      <c r="A48" s="51"/>
      <c r="B48" s="51"/>
      <c r="C48" s="51"/>
      <c r="D48" s="51"/>
      <c r="E48" s="51"/>
      <c r="F48" s="51"/>
      <c r="G48" s="51"/>
      <c r="H48" s="51"/>
      <c r="I48" s="51"/>
      <c r="J48" s="51"/>
      <c r="K48" s="51"/>
      <c r="L48" s="51"/>
      <c r="M48" s="51"/>
      <c r="N48" s="51"/>
      <c r="O48" s="51"/>
      <c r="P48" s="51"/>
      <c r="Q48" s="51"/>
      <c r="R48" s="42">
        <v>25</v>
      </c>
      <c r="S48" s="33" t="str">
        <f t="shared" si="2"/>
        <v>-</v>
      </c>
      <c r="T48" s="33"/>
      <c r="U48" s="288" t="s">
        <v>255</v>
      </c>
      <c r="V48" s="43"/>
      <c r="W48" s="288" t="s">
        <v>255</v>
      </c>
      <c r="X48" s="288" t="s">
        <v>255</v>
      </c>
      <c r="Y48" s="288" t="s">
        <v>255</v>
      </c>
      <c r="Z48" s="288" t="s">
        <v>255</v>
      </c>
      <c r="AA48" s="288" t="s">
        <v>255</v>
      </c>
      <c r="AB48" s="288" t="s">
        <v>255</v>
      </c>
      <c r="AC48" s="288" t="s">
        <v>255</v>
      </c>
      <c r="AD48" s="288" t="s">
        <v>255</v>
      </c>
      <c r="AE48" s="288" t="s">
        <v>255</v>
      </c>
      <c r="AF48" s="288" t="s">
        <v>255</v>
      </c>
      <c r="AG48" s="288" t="s">
        <v>255</v>
      </c>
      <c r="AH48" s="288" t="s">
        <v>255</v>
      </c>
      <c r="AI48" s="35"/>
      <c r="AK48" s="187"/>
    </row>
    <row r="49" spans="1:37" ht="14.25">
      <c r="A49" s="51"/>
      <c r="B49" s="51"/>
      <c r="C49" s="51"/>
      <c r="D49" s="51"/>
      <c r="E49" s="51"/>
      <c r="F49" s="51"/>
      <c r="G49" s="51"/>
      <c r="H49" s="51"/>
      <c r="I49" s="51"/>
      <c r="J49" s="51"/>
      <c r="K49" s="51"/>
      <c r="L49" s="51"/>
      <c r="M49" s="51"/>
      <c r="N49" s="51"/>
      <c r="O49" s="51"/>
      <c r="P49" s="51"/>
      <c r="Q49" s="51"/>
      <c r="R49" s="42"/>
      <c r="S49" s="33"/>
      <c r="T49" s="33"/>
      <c r="U49" s="33"/>
      <c r="V49" s="33"/>
      <c r="W49" s="33" t="s">
        <v>188</v>
      </c>
      <c r="X49" s="33"/>
      <c r="Y49" s="34"/>
      <c r="Z49" s="34"/>
      <c r="AA49" s="34"/>
      <c r="AB49" s="34"/>
      <c r="AC49" s="34"/>
      <c r="AD49" s="218" t="s">
        <v>188</v>
      </c>
      <c r="AE49" s="218" t="s">
        <v>188</v>
      </c>
      <c r="AF49" s="218" t="s">
        <v>188</v>
      </c>
      <c r="AG49" s="218" t="s">
        <v>188</v>
      </c>
      <c r="AH49" s="218" t="s">
        <v>188</v>
      </c>
      <c r="AI49" s="35"/>
      <c r="AK49" s="187"/>
    </row>
    <row r="50" spans="1:37" ht="14.25">
      <c r="A50" s="51"/>
      <c r="B50" s="51"/>
      <c r="C50" s="51"/>
      <c r="D50" s="51"/>
      <c r="E50" s="51"/>
      <c r="F50" s="51"/>
      <c r="G50" s="51"/>
      <c r="H50" s="51"/>
      <c r="I50" s="51"/>
      <c r="J50" s="51"/>
      <c r="K50" s="51"/>
      <c r="L50" s="51"/>
      <c r="M50" s="51"/>
      <c r="N50" s="51"/>
      <c r="O50" s="51"/>
      <c r="P50" s="51"/>
      <c r="Q50" s="51"/>
      <c r="R50" s="32"/>
      <c r="S50" s="33"/>
      <c r="T50" s="33"/>
      <c r="U50" s="33"/>
      <c r="V50" s="33"/>
      <c r="W50" s="33"/>
      <c r="X50" s="33"/>
      <c r="Y50" s="34"/>
      <c r="Z50" s="34"/>
      <c r="AA50" s="34"/>
      <c r="AB50" s="34"/>
      <c r="AC50" s="34"/>
      <c r="AD50" s="218" t="s">
        <v>188</v>
      </c>
      <c r="AE50" s="218" t="s">
        <v>188</v>
      </c>
      <c r="AF50" s="218" t="s">
        <v>188</v>
      </c>
      <c r="AG50" s="218" t="s">
        <v>188</v>
      </c>
      <c r="AH50" s="218" t="s">
        <v>188</v>
      </c>
      <c r="AI50" s="35"/>
      <c r="AK50" s="187"/>
    </row>
    <row r="51" spans="1:37" ht="14.25">
      <c r="A51" s="51"/>
      <c r="B51" s="51"/>
      <c r="C51" s="51"/>
      <c r="D51" s="51"/>
      <c r="E51" s="51"/>
      <c r="F51" s="51"/>
      <c r="G51" s="51"/>
      <c r="H51" s="51"/>
      <c r="I51" s="51"/>
      <c r="J51" s="51"/>
      <c r="K51" s="51"/>
      <c r="L51" s="51"/>
      <c r="M51" s="51"/>
      <c r="N51" s="51"/>
      <c r="O51" s="51"/>
      <c r="P51" s="51"/>
      <c r="Q51" s="51"/>
      <c r="R51" s="32"/>
      <c r="S51" s="33"/>
      <c r="T51" s="33"/>
      <c r="U51" s="33"/>
      <c r="V51" s="33"/>
      <c r="W51" s="33"/>
      <c r="X51" s="33"/>
      <c r="Y51" s="34"/>
      <c r="Z51" s="34"/>
      <c r="AA51" s="34"/>
      <c r="AB51" s="34"/>
      <c r="AC51" s="34"/>
      <c r="AD51" s="218" t="s">
        <v>188</v>
      </c>
      <c r="AE51" s="218" t="s">
        <v>188</v>
      </c>
      <c r="AF51" s="218" t="s">
        <v>188</v>
      </c>
      <c r="AG51" s="218" t="s">
        <v>188</v>
      </c>
      <c r="AH51" s="218" t="s">
        <v>188</v>
      </c>
      <c r="AI51" s="35"/>
      <c r="AK51" s="187"/>
    </row>
    <row r="52" spans="1:37" ht="13.5" thickBot="1">
      <c r="A52" s="51"/>
      <c r="B52" s="51"/>
      <c r="C52" s="51"/>
      <c r="D52" s="51"/>
      <c r="E52" s="51"/>
      <c r="F52" s="51"/>
      <c r="G52" s="51"/>
      <c r="H52" s="51"/>
      <c r="I52" s="51"/>
      <c r="J52" s="51"/>
      <c r="K52" s="51"/>
      <c r="L52" s="51"/>
      <c r="M52" s="51"/>
      <c r="N52" s="51"/>
      <c r="O52" s="51"/>
      <c r="P52" s="51"/>
      <c r="Q52" s="51"/>
      <c r="R52" s="44"/>
      <c r="S52" s="45"/>
      <c r="T52" s="45"/>
      <c r="U52" s="45"/>
      <c r="V52" s="45"/>
      <c r="W52" s="45"/>
      <c r="X52" s="45"/>
      <c r="Y52" s="45"/>
      <c r="Z52" s="45"/>
      <c r="AA52" s="45"/>
      <c r="AB52" s="45"/>
      <c r="AC52" s="45"/>
      <c r="AD52" s="218" t="s">
        <v>188</v>
      </c>
      <c r="AE52" s="218" t="s">
        <v>188</v>
      </c>
      <c r="AF52" s="218" t="s">
        <v>188</v>
      </c>
      <c r="AG52" s="218" t="s">
        <v>188</v>
      </c>
      <c r="AH52" s="218" t="s">
        <v>188</v>
      </c>
      <c r="AI52" s="46"/>
    </row>
    <row r="53" spans="1:37" ht="13.5" thickTop="1">
      <c r="A53" s="51"/>
      <c r="B53" s="51"/>
      <c r="C53" s="51"/>
      <c r="D53" s="51"/>
      <c r="E53" s="51"/>
      <c r="F53" s="51"/>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row>
    <row r="54" spans="1:37">
      <c r="A54" s="51"/>
      <c r="B54" s="51"/>
      <c r="C54" s="51"/>
      <c r="D54" s="51"/>
      <c r="E54" s="51"/>
      <c r="F54" s="51"/>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row>
    <row r="55" spans="1:37">
      <c r="A55" s="51"/>
      <c r="B55" s="51"/>
      <c r="C55" s="51"/>
      <c r="D55" s="51"/>
      <c r="E55" s="51"/>
      <c r="F55" s="51"/>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row>
    <row r="56" spans="1:37">
      <c r="A56" s="51"/>
      <c r="B56" s="51"/>
      <c r="C56" s="51"/>
      <c r="D56" s="51"/>
      <c r="E56" s="51"/>
      <c r="F56" s="51"/>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row>
    <row r="57" spans="1:37">
      <c r="A57" s="51"/>
      <c r="B57" s="51"/>
      <c r="C57" s="51"/>
      <c r="D57" s="51"/>
      <c r="E57" s="51"/>
      <c r="F57" s="51"/>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row>
    <row r="58" spans="1:37">
      <c r="A58" s="51"/>
      <c r="B58" s="51"/>
      <c r="C58" s="51"/>
      <c r="D58" s="51"/>
      <c r="E58" s="51"/>
      <c r="F58" s="51"/>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row>
    <row r="59" spans="1:37">
      <c r="A59" s="51"/>
      <c r="B59" s="51"/>
      <c r="C59" s="51"/>
      <c r="D59" s="51"/>
      <c r="E59" s="51"/>
      <c r="F59" s="51"/>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row>
    <row r="60" spans="1:37">
      <c r="A60" s="51"/>
      <c r="B60" s="51"/>
      <c r="C60" s="51"/>
      <c r="D60" s="51"/>
      <c r="E60" s="51"/>
      <c r="F60" s="51"/>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row>
    <row r="61" spans="1:37">
      <c r="A61" s="51"/>
      <c r="B61" s="51"/>
      <c r="C61" s="51"/>
      <c r="D61" s="51"/>
      <c r="E61" s="51"/>
      <c r="F61" s="51"/>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row>
    <row r="62" spans="1:37">
      <c r="A62" s="51"/>
      <c r="B62" s="51"/>
      <c r="C62" s="51"/>
      <c r="D62" s="51"/>
      <c r="E62" s="51"/>
      <c r="F62" s="51"/>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row>
    <row r="63" spans="1:37">
      <c r="A63" s="51"/>
      <c r="B63" s="51"/>
      <c r="C63" s="51"/>
      <c r="D63" s="51"/>
      <c r="E63" s="51"/>
      <c r="F63" s="51"/>
      <c r="G63" s="51"/>
      <c r="H63" s="51"/>
      <c r="I63" s="5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row>
    <row r="64" spans="1:37">
      <c r="A64" s="51"/>
      <c r="B64" s="51"/>
      <c r="C64" s="51"/>
      <c r="D64" s="51"/>
      <c r="E64" s="51"/>
      <c r="F64" s="51"/>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row>
    <row r="65" spans="1:35">
      <c r="A65" s="51"/>
      <c r="B65" s="51"/>
      <c r="C65" s="51"/>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row>
    <row r="66" spans="1:35">
      <c r="A66" s="51"/>
      <c r="B66" s="51"/>
      <c r="C66" s="51"/>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row>
    <row r="67" spans="1:35">
      <c r="A67" s="51"/>
      <c r="B67" s="51"/>
      <c r="C67" s="51"/>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row>
    <row r="68" spans="1:35">
      <c r="A68" s="51"/>
      <c r="B68" s="51"/>
      <c r="C68" s="51"/>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row>
    <row r="69" spans="1:35">
      <c r="A69" s="51"/>
      <c r="B69" s="51"/>
      <c r="C69" s="51"/>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row>
    <row r="70" spans="1:35">
      <c r="A70" s="51"/>
      <c r="B70" s="51"/>
      <c r="C70" s="51"/>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row>
    <row r="71" spans="1:35">
      <c r="A71" s="51"/>
      <c r="B71" s="51"/>
      <c r="C71" s="51"/>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row>
    <row r="72" spans="1:35">
      <c r="A72" s="51"/>
      <c r="B72" s="51"/>
      <c r="C72" s="51"/>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row>
    <row r="73" spans="1:35">
      <c r="A73" s="51"/>
      <c r="B73" s="51"/>
      <c r="C73" s="51"/>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row>
    <row r="74" spans="1:35">
      <c r="A74" s="51"/>
      <c r="B74" s="51"/>
      <c r="C74" s="51"/>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row>
    <row r="75" spans="1:35">
      <c r="A75" s="51"/>
      <c r="B75" s="51"/>
      <c r="C75" s="51"/>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row>
    <row r="76" spans="1:3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row>
    <row r="77" spans="1:35">
      <c r="A77" s="51"/>
      <c r="B77" s="51"/>
      <c r="C77" s="51"/>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row>
    <row r="78" spans="1:35">
      <c r="A78" s="51"/>
      <c r="B78" s="51"/>
      <c r="C78" s="51"/>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row>
    <row r="79" spans="1:35">
      <c r="A79" s="51"/>
      <c r="B79" s="51"/>
      <c r="C79" s="51"/>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row>
    <row r="80" spans="1:35">
      <c r="A80" s="51"/>
      <c r="B80" s="51"/>
      <c r="C80" s="51"/>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row>
    <row r="81" spans="1:35">
      <c r="A81" s="51"/>
      <c r="B81" s="51"/>
      <c r="C81" s="51"/>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row>
    <row r="82" spans="1:35">
      <c r="A82" s="51"/>
      <c r="B82" s="51"/>
      <c r="C82" s="51"/>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row>
    <row r="83" spans="1:35">
      <c r="A83" s="51"/>
      <c r="B83" s="51"/>
      <c r="C83" s="51"/>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row>
    <row r="84" spans="1:35">
      <c r="A84" s="51"/>
      <c r="B84" s="51"/>
      <c r="C84" s="51"/>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row>
    <row r="85" spans="1:35">
      <c r="A85" s="51"/>
      <c r="B85" s="51"/>
      <c r="C85" s="51"/>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row>
    <row r="86" spans="1:35">
      <c r="A86" s="51"/>
      <c r="B86" s="51"/>
      <c r="C86" s="51"/>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row>
    <row r="87" spans="1:3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row>
    <row r="88" spans="1:35">
      <c r="A88" s="51"/>
      <c r="B88" s="51"/>
      <c r="C88" s="51"/>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row>
    <row r="89" spans="1:35">
      <c r="A89" s="51"/>
      <c r="B89" s="51"/>
      <c r="C89" s="51"/>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row>
    <row r="90" spans="1:35">
      <c r="A90" s="51"/>
      <c r="B90" s="51"/>
      <c r="C90" s="51"/>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row>
    <row r="91" spans="1:35">
      <c r="A91" s="51"/>
      <c r="B91" s="51"/>
      <c r="C91" s="51"/>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row>
    <row r="92" spans="1:35">
      <c r="A92" s="51"/>
      <c r="B92" s="51"/>
      <c r="C92" s="51"/>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row>
    <row r="93" spans="1:35">
      <c r="A93" s="51"/>
      <c r="B93" s="51"/>
      <c r="C93" s="51"/>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row>
    <row r="94" spans="1:35">
      <c r="A94" s="51"/>
      <c r="B94" s="51"/>
      <c r="C94" s="51"/>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row>
    <row r="95" spans="1:35">
      <c r="A95" s="51"/>
      <c r="B95" s="51"/>
      <c r="C95" s="51"/>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row>
    <row r="96" spans="1:35">
      <c r="A96" s="51"/>
      <c r="B96" s="51"/>
      <c r="C96" s="51"/>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row>
    <row r="97" spans="1:51">
      <c r="A97" s="51"/>
      <c r="B97" s="51"/>
      <c r="C97" s="51"/>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row>
    <row r="98" spans="1:51">
      <c r="A98" s="51"/>
      <c r="B98" s="51"/>
      <c r="C98" s="51"/>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row>
    <row r="99" spans="1:51">
      <c r="A99" s="51"/>
      <c r="B99" s="51"/>
      <c r="C99" s="51"/>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row>
    <row r="100" spans="1:51" ht="35.25">
      <c r="A100" s="645"/>
      <c r="B100" s="51"/>
      <c r="C100" s="245"/>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row>
    <row r="101" spans="1:51">
      <c r="A101" s="645"/>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row>
    <row r="102" spans="1:51">
      <c r="A102" s="645"/>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row>
    <row r="103" spans="1:51">
      <c r="A103" s="645"/>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row>
    <row r="104" spans="1:51" ht="18.75">
      <c r="A104" s="645"/>
      <c r="B104" s="51"/>
      <c r="C104" s="249"/>
      <c r="D104" s="252"/>
      <c r="E104" s="244"/>
      <c r="F104" s="244"/>
      <c r="G104" s="244"/>
      <c r="H104" s="244"/>
      <c r="I104" s="244"/>
      <c r="J104" s="244"/>
      <c r="K104" s="244"/>
      <c r="L104" s="244"/>
      <c r="M104" s="244"/>
      <c r="N104" s="244"/>
      <c r="O104" s="244"/>
      <c r="P104" s="244"/>
      <c r="Q104" s="244"/>
      <c r="R104" s="51"/>
      <c r="S104" s="51"/>
      <c r="T104" s="51"/>
      <c r="U104" s="51"/>
      <c r="V104" s="51"/>
      <c r="W104" s="51"/>
      <c r="X104" s="51"/>
      <c r="Y104" s="51"/>
      <c r="Z104" s="51"/>
      <c r="AA104" s="51"/>
      <c r="AB104" s="51"/>
      <c r="AC104" s="51"/>
      <c r="AD104" s="51"/>
      <c r="AE104" s="51"/>
      <c r="AF104" s="51"/>
      <c r="AG104" s="51"/>
      <c r="AH104" s="51"/>
      <c r="AI104" s="51"/>
    </row>
    <row r="105" spans="1:51" ht="15">
      <c r="A105" s="645"/>
      <c r="B105" s="51"/>
      <c r="C105" s="248"/>
      <c r="D105" s="243"/>
      <c r="E105" s="244"/>
      <c r="F105" s="244"/>
      <c r="G105" s="244"/>
      <c r="H105" s="244"/>
      <c r="I105" s="244"/>
      <c r="J105" s="244"/>
      <c r="K105" s="244"/>
      <c r="L105" s="244"/>
      <c r="M105" s="244"/>
      <c r="N105" s="244"/>
      <c r="O105" s="244"/>
      <c r="P105" s="244"/>
      <c r="Q105" s="244"/>
      <c r="R105" s="51"/>
      <c r="S105" s="51"/>
      <c r="T105" s="51"/>
      <c r="U105" s="51"/>
      <c r="V105" s="51"/>
      <c r="W105" s="51"/>
      <c r="X105" s="51"/>
      <c r="Y105" s="51"/>
      <c r="Z105" s="51"/>
      <c r="AA105" s="51"/>
      <c r="AB105" s="51"/>
      <c r="AC105" s="51"/>
      <c r="AD105" s="51"/>
      <c r="AE105" s="51"/>
      <c r="AF105" s="51"/>
      <c r="AG105" s="51"/>
      <c r="AH105" s="51"/>
      <c r="AI105" s="51"/>
    </row>
    <row r="106" spans="1:51" ht="15">
      <c r="A106" s="645"/>
      <c r="B106" s="51"/>
      <c r="C106" s="248"/>
      <c r="D106" s="243"/>
      <c r="E106" s="244"/>
      <c r="F106" s="244"/>
      <c r="G106" s="244"/>
      <c r="H106" s="244"/>
      <c r="I106" s="244"/>
      <c r="J106" s="244"/>
      <c r="K106" s="244"/>
      <c r="L106" s="244"/>
      <c r="M106" s="244"/>
      <c r="N106" s="244"/>
      <c r="O106" s="244"/>
      <c r="P106" s="244"/>
      <c r="Q106" s="244"/>
      <c r="R106" s="51"/>
      <c r="S106" s="51"/>
      <c r="T106" s="51"/>
      <c r="U106" s="51"/>
      <c r="V106" s="51"/>
      <c r="W106" s="51"/>
      <c r="X106" s="51"/>
      <c r="Y106" s="51"/>
      <c r="Z106" s="51"/>
      <c r="AA106" s="51"/>
      <c r="AB106" s="51"/>
      <c r="AC106" s="51"/>
      <c r="AD106" s="51"/>
      <c r="AE106" s="51"/>
      <c r="AF106" s="51"/>
      <c r="AG106" s="51"/>
      <c r="AH106" s="51"/>
      <c r="AI106" s="51"/>
    </row>
    <row r="107" spans="1:51" ht="15">
      <c r="A107" s="645"/>
      <c r="B107" s="51"/>
      <c r="C107" s="248"/>
      <c r="D107" s="251"/>
      <c r="E107" s="243"/>
      <c r="F107" s="244"/>
      <c r="G107" s="244"/>
      <c r="H107" s="244"/>
      <c r="I107" s="244"/>
      <c r="J107" s="244"/>
      <c r="K107" s="244"/>
      <c r="L107" s="244"/>
      <c r="M107" s="244"/>
      <c r="N107" s="244"/>
      <c r="O107" s="244"/>
      <c r="P107" s="244"/>
      <c r="Q107" s="244"/>
      <c r="R107" s="51"/>
      <c r="S107" s="51"/>
      <c r="T107" s="51"/>
      <c r="U107" s="51"/>
      <c r="V107" s="51"/>
      <c r="W107" s="51"/>
      <c r="X107" s="51"/>
      <c r="Y107" s="51"/>
      <c r="Z107" s="51"/>
      <c r="AA107" s="51"/>
      <c r="AB107" s="51"/>
      <c r="AC107" s="51"/>
      <c r="AD107" s="51"/>
      <c r="AE107" s="51"/>
      <c r="AF107" s="51"/>
      <c r="AG107" s="51"/>
      <c r="AH107" s="51"/>
      <c r="AI107" s="51"/>
    </row>
    <row r="108" spans="1:51" ht="14.25">
      <c r="A108" s="645"/>
      <c r="B108" s="51"/>
      <c r="C108" s="244"/>
      <c r="D108" s="244"/>
      <c r="E108" s="244"/>
      <c r="F108" s="244"/>
      <c r="G108" s="244"/>
      <c r="H108" s="244"/>
      <c r="I108" s="244"/>
      <c r="J108" s="244"/>
      <c r="K108" s="244"/>
      <c r="L108" s="244"/>
      <c r="M108" s="244"/>
      <c r="N108" s="244"/>
      <c r="O108" s="244"/>
      <c r="P108" s="244"/>
      <c r="Q108" s="244"/>
      <c r="R108" s="244"/>
      <c r="S108" s="244"/>
      <c r="T108" s="244"/>
      <c r="U108" s="244"/>
      <c r="V108" s="244"/>
      <c r="W108" s="244"/>
      <c r="X108" s="244"/>
      <c r="Y108" s="244"/>
      <c r="Z108" s="244"/>
      <c r="AA108" s="244"/>
      <c r="AB108" s="244"/>
      <c r="AC108" s="244"/>
      <c r="AD108" s="244"/>
      <c r="AE108" s="244"/>
      <c r="AF108" s="244"/>
      <c r="AG108" s="244"/>
      <c r="AH108" s="244"/>
      <c r="AI108" s="244"/>
      <c r="AJ108" s="129"/>
      <c r="AK108" s="129"/>
      <c r="AL108" s="129"/>
      <c r="AM108" s="129"/>
      <c r="AN108" s="129"/>
      <c r="AO108" s="129"/>
      <c r="AP108" s="129"/>
      <c r="AQ108" s="129"/>
      <c r="AR108" s="129"/>
      <c r="AS108" s="129"/>
      <c r="AT108" s="129"/>
      <c r="AU108" s="129"/>
      <c r="AV108" s="129"/>
      <c r="AW108" s="129"/>
      <c r="AX108" s="129"/>
      <c r="AY108" s="129"/>
    </row>
    <row r="109" spans="1:51" ht="14.25">
      <c r="A109" s="645"/>
      <c r="B109" s="51"/>
      <c r="C109" s="244"/>
      <c r="D109" s="244"/>
      <c r="E109" s="244"/>
      <c r="F109" s="244"/>
      <c r="G109" s="244"/>
      <c r="H109" s="244"/>
      <c r="I109" s="244"/>
      <c r="J109" s="244"/>
      <c r="K109" s="244"/>
      <c r="L109" s="244"/>
      <c r="M109" s="244"/>
      <c r="N109" s="244"/>
      <c r="O109" s="244"/>
      <c r="P109" s="244"/>
      <c r="Q109" s="244"/>
      <c r="R109" s="244"/>
      <c r="S109" s="244"/>
      <c r="T109" s="244"/>
      <c r="U109" s="244"/>
      <c r="V109" s="244"/>
      <c r="W109" s="244"/>
      <c r="X109" s="244"/>
      <c r="Y109" s="244"/>
      <c r="Z109" s="244"/>
      <c r="AA109" s="244"/>
      <c r="AB109" s="244"/>
      <c r="AC109" s="244"/>
      <c r="AD109" s="244"/>
      <c r="AE109" s="244"/>
      <c r="AF109" s="244"/>
      <c r="AG109" s="244"/>
      <c r="AH109" s="244"/>
      <c r="AI109" s="244"/>
      <c r="AJ109" s="129"/>
      <c r="AK109" s="129"/>
      <c r="AL109" s="129"/>
      <c r="AM109" s="129"/>
      <c r="AN109" s="129"/>
      <c r="AO109" s="129"/>
      <c r="AP109" s="129"/>
      <c r="AQ109" s="129"/>
      <c r="AR109" s="129"/>
      <c r="AS109" s="129"/>
      <c r="AT109" s="129"/>
      <c r="AU109" s="129"/>
      <c r="AV109" s="129"/>
      <c r="AW109" s="129"/>
      <c r="AX109" s="129"/>
      <c r="AY109" s="129"/>
    </row>
    <row r="110" spans="1:51" ht="14.25">
      <c r="A110" s="645"/>
      <c r="B110" s="51"/>
      <c r="C110" s="246"/>
      <c r="D110" s="247"/>
      <c r="E110" s="646"/>
      <c r="F110" s="646"/>
      <c r="G110" s="646"/>
      <c r="H110" s="646"/>
      <c r="I110" s="646"/>
      <c r="J110" s="646"/>
      <c r="K110" s="646"/>
      <c r="L110" s="646"/>
      <c r="M110" s="646"/>
      <c r="N110" s="646"/>
      <c r="O110" s="244"/>
      <c r="P110" s="244"/>
      <c r="Q110" s="244"/>
      <c r="R110" s="244"/>
      <c r="S110" s="244"/>
      <c r="T110" s="244"/>
      <c r="U110" s="244"/>
      <c r="V110" s="244"/>
      <c r="W110" s="244"/>
      <c r="X110" s="244"/>
      <c r="Y110" s="244"/>
      <c r="Z110" s="244"/>
      <c r="AA110" s="244"/>
      <c r="AB110" s="244"/>
      <c r="AC110" s="244"/>
      <c r="AD110" s="244"/>
      <c r="AE110" s="244"/>
      <c r="AF110" s="244"/>
      <c r="AG110" s="244"/>
      <c r="AH110" s="244"/>
      <c r="AI110" s="244"/>
      <c r="AJ110" s="129"/>
      <c r="AK110" s="129"/>
      <c r="AL110" s="129"/>
      <c r="AM110" s="129"/>
      <c r="AN110" s="129"/>
      <c r="AO110" s="129"/>
      <c r="AP110" s="129"/>
      <c r="AQ110" s="129"/>
      <c r="AR110" s="129"/>
      <c r="AS110" s="129"/>
      <c r="AT110" s="129"/>
      <c r="AU110" s="129"/>
      <c r="AV110" s="129"/>
      <c r="AW110" s="129"/>
      <c r="AX110" s="129"/>
      <c r="AY110" s="129"/>
    </row>
    <row r="111" spans="1:51" ht="14.25">
      <c r="A111" s="645"/>
      <c r="B111" s="51"/>
      <c r="C111" s="246"/>
      <c r="D111" s="246"/>
      <c r="E111" s="646"/>
      <c r="F111" s="646"/>
      <c r="G111" s="646"/>
      <c r="H111" s="646"/>
      <c r="I111" s="646"/>
      <c r="J111" s="646"/>
      <c r="K111" s="646"/>
      <c r="L111" s="646"/>
      <c r="M111" s="646"/>
      <c r="N111" s="646"/>
      <c r="O111" s="244"/>
      <c r="P111" s="244"/>
      <c r="Q111" s="244"/>
      <c r="R111" s="244"/>
      <c r="S111" s="244"/>
      <c r="T111" s="244"/>
      <c r="U111" s="244"/>
      <c r="V111" s="244"/>
      <c r="W111" s="244"/>
      <c r="X111" s="244"/>
      <c r="Y111" s="244"/>
      <c r="Z111" s="244"/>
      <c r="AA111" s="244"/>
      <c r="AB111" s="244"/>
      <c r="AC111" s="244"/>
      <c r="AD111" s="244"/>
      <c r="AE111" s="244"/>
      <c r="AF111" s="244"/>
      <c r="AG111" s="244"/>
      <c r="AH111" s="244"/>
      <c r="AI111" s="244"/>
      <c r="AJ111" s="129"/>
      <c r="AK111" s="129"/>
      <c r="AL111" s="129"/>
      <c r="AM111" s="129"/>
      <c r="AN111" s="129"/>
      <c r="AO111" s="129"/>
      <c r="AP111" s="129"/>
      <c r="AQ111" s="129"/>
      <c r="AR111" s="129"/>
      <c r="AS111" s="129"/>
      <c r="AT111" s="129"/>
      <c r="AU111" s="129"/>
      <c r="AV111" s="129"/>
      <c r="AW111" s="129"/>
      <c r="AX111" s="129"/>
      <c r="AY111" s="129"/>
    </row>
    <row r="112" spans="1:51" ht="14.25">
      <c r="A112" s="645"/>
      <c r="B112" s="51"/>
      <c r="C112" s="244"/>
      <c r="D112" s="244"/>
      <c r="E112" s="646"/>
      <c r="F112" s="646"/>
      <c r="G112" s="646"/>
      <c r="H112" s="646"/>
      <c r="I112" s="646"/>
      <c r="J112" s="646"/>
      <c r="K112" s="646"/>
      <c r="L112" s="646"/>
      <c r="M112" s="646"/>
      <c r="N112" s="646"/>
      <c r="O112" s="244"/>
      <c r="P112" s="244"/>
      <c r="Q112" s="244"/>
      <c r="R112" s="244"/>
      <c r="S112" s="244"/>
      <c r="T112" s="244"/>
      <c r="U112" s="244"/>
      <c r="V112" s="244"/>
      <c r="W112" s="244"/>
      <c r="X112" s="244"/>
      <c r="Y112" s="244"/>
      <c r="Z112" s="244"/>
      <c r="AA112" s="244"/>
      <c r="AB112" s="244"/>
      <c r="AC112" s="244"/>
      <c r="AD112" s="244"/>
      <c r="AE112" s="244"/>
      <c r="AF112" s="244"/>
      <c r="AG112" s="244"/>
      <c r="AH112" s="244"/>
      <c r="AI112" s="244"/>
      <c r="AJ112" s="129"/>
      <c r="AK112" s="129"/>
      <c r="AL112" s="129"/>
      <c r="AM112" s="129"/>
      <c r="AN112" s="129"/>
      <c r="AO112" s="129"/>
      <c r="AP112" s="129"/>
      <c r="AQ112" s="129"/>
      <c r="AR112" s="129"/>
      <c r="AS112" s="129"/>
      <c r="AT112" s="129"/>
      <c r="AU112" s="129"/>
      <c r="AV112" s="129"/>
      <c r="AW112" s="129"/>
      <c r="AX112" s="129"/>
      <c r="AY112" s="129"/>
    </row>
    <row r="113" spans="1:51" ht="14.25">
      <c r="A113" s="645"/>
      <c r="B113" s="51"/>
      <c r="C113" s="244"/>
      <c r="D113" s="247"/>
      <c r="E113" s="244"/>
      <c r="F113" s="244"/>
      <c r="G113" s="244"/>
      <c r="H113" s="244"/>
      <c r="I113" s="244"/>
      <c r="J113" s="244"/>
      <c r="K113" s="244"/>
      <c r="L113" s="244"/>
      <c r="M113" s="244"/>
      <c r="N113" s="244"/>
      <c r="O113" s="244"/>
      <c r="P113" s="244"/>
      <c r="Q113" s="244"/>
      <c r="R113" s="244"/>
      <c r="S113" s="244"/>
      <c r="T113" s="244"/>
      <c r="U113" s="244"/>
      <c r="V113" s="244"/>
      <c r="W113" s="244"/>
      <c r="X113" s="244"/>
      <c r="Y113" s="244"/>
      <c r="Z113" s="244"/>
      <c r="AA113" s="244"/>
      <c r="AB113" s="244"/>
      <c r="AC113" s="244"/>
      <c r="AD113" s="244"/>
      <c r="AE113" s="244"/>
      <c r="AF113" s="244"/>
      <c r="AG113" s="244"/>
      <c r="AH113" s="244"/>
      <c r="AI113" s="244"/>
      <c r="AJ113" s="129"/>
      <c r="AK113" s="129"/>
      <c r="AL113" s="129"/>
      <c r="AM113" s="129"/>
      <c r="AN113" s="129"/>
      <c r="AO113" s="129"/>
      <c r="AP113" s="129"/>
      <c r="AQ113" s="129"/>
      <c r="AR113" s="129"/>
      <c r="AS113" s="129"/>
      <c r="AT113" s="129"/>
      <c r="AU113" s="129"/>
      <c r="AV113" s="129"/>
      <c r="AW113" s="129"/>
      <c r="AX113" s="129"/>
      <c r="AY113" s="129"/>
    </row>
    <row r="114" spans="1:51" ht="14.25">
      <c r="A114" s="645"/>
      <c r="B114" s="51"/>
      <c r="C114" s="244"/>
      <c r="D114" s="244"/>
      <c r="E114" s="244"/>
      <c r="F114" s="244"/>
      <c r="G114" s="244"/>
      <c r="H114" s="244"/>
      <c r="I114" s="244"/>
      <c r="J114" s="244"/>
      <c r="K114" s="244"/>
      <c r="L114" s="244"/>
      <c r="M114" s="244"/>
      <c r="N114" s="244"/>
      <c r="O114" s="244"/>
      <c r="P114" s="244"/>
      <c r="Q114" s="244"/>
      <c r="R114" s="244"/>
      <c r="S114" s="244"/>
      <c r="T114" s="244"/>
      <c r="U114" s="244"/>
      <c r="V114" s="244"/>
      <c r="W114" s="244"/>
      <c r="X114" s="244"/>
      <c r="Y114" s="244"/>
      <c r="Z114" s="244"/>
      <c r="AA114" s="244"/>
      <c r="AB114" s="244"/>
      <c r="AC114" s="244"/>
      <c r="AD114" s="244"/>
      <c r="AE114" s="244"/>
      <c r="AF114" s="244"/>
      <c r="AG114" s="244"/>
      <c r="AH114" s="244"/>
      <c r="AI114" s="244"/>
      <c r="AJ114" s="129"/>
      <c r="AK114" s="129"/>
      <c r="AL114" s="129"/>
      <c r="AM114" s="129"/>
      <c r="AN114" s="129"/>
      <c r="AO114" s="129"/>
      <c r="AP114" s="129"/>
      <c r="AQ114" s="129"/>
      <c r="AR114" s="129"/>
      <c r="AS114" s="129"/>
      <c r="AT114" s="129"/>
      <c r="AU114" s="129"/>
      <c r="AV114" s="129"/>
      <c r="AW114" s="129"/>
      <c r="AX114" s="129"/>
      <c r="AY114" s="129"/>
    </row>
    <row r="115" spans="1:51" ht="15">
      <c r="A115" s="645"/>
      <c r="B115" s="51"/>
      <c r="C115" s="244"/>
      <c r="D115" s="251"/>
      <c r="E115" s="243"/>
      <c r="F115" s="244"/>
      <c r="G115" s="244"/>
      <c r="H115" s="244"/>
      <c r="I115" s="244"/>
      <c r="J115" s="244"/>
      <c r="K115" s="244"/>
      <c r="L115" s="244"/>
      <c r="M115" s="244"/>
      <c r="N115" s="244"/>
      <c r="O115" s="244"/>
      <c r="P115" s="244"/>
      <c r="Q115" s="244"/>
      <c r="R115" s="244"/>
      <c r="S115" s="244"/>
      <c r="T115" s="244"/>
      <c r="U115" s="244"/>
      <c r="V115" s="244"/>
      <c r="W115" s="244"/>
      <c r="X115" s="244"/>
      <c r="Y115" s="244"/>
      <c r="Z115" s="244"/>
      <c r="AA115" s="244"/>
      <c r="AB115" s="244"/>
      <c r="AC115" s="244"/>
      <c r="AD115" s="244"/>
      <c r="AE115" s="244"/>
      <c r="AF115" s="244"/>
      <c r="AG115" s="244"/>
      <c r="AH115" s="244"/>
      <c r="AI115" s="244"/>
      <c r="AJ115" s="129"/>
      <c r="AK115" s="129"/>
      <c r="AL115" s="129"/>
      <c r="AM115" s="129"/>
      <c r="AN115" s="129"/>
      <c r="AO115" s="129"/>
      <c r="AP115" s="129"/>
      <c r="AQ115" s="129"/>
      <c r="AR115" s="129"/>
      <c r="AS115" s="129"/>
      <c r="AT115" s="129"/>
      <c r="AU115" s="129"/>
      <c r="AV115" s="129"/>
      <c r="AW115" s="129"/>
      <c r="AX115" s="129"/>
      <c r="AY115" s="129"/>
    </row>
    <row r="116" spans="1:51" ht="14.25">
      <c r="A116" s="645"/>
      <c r="B116" s="51"/>
      <c r="C116" s="244"/>
      <c r="D116" s="244"/>
      <c r="E116" s="244"/>
      <c r="F116" s="244"/>
      <c r="G116" s="244"/>
      <c r="H116" s="244"/>
      <c r="I116" s="244"/>
      <c r="J116" s="244"/>
      <c r="K116" s="244"/>
      <c r="L116" s="244"/>
      <c r="M116" s="244"/>
      <c r="N116" s="244"/>
      <c r="O116" s="244"/>
      <c r="P116" s="244"/>
      <c r="Q116" s="244"/>
      <c r="R116" s="244"/>
      <c r="S116" s="244"/>
      <c r="T116" s="244"/>
      <c r="U116" s="244"/>
      <c r="V116" s="244"/>
      <c r="W116" s="244"/>
      <c r="X116" s="244"/>
      <c r="Y116" s="244"/>
      <c r="Z116" s="244"/>
      <c r="AA116" s="244"/>
      <c r="AB116" s="244"/>
      <c r="AC116" s="244"/>
      <c r="AD116" s="244"/>
      <c r="AE116" s="244"/>
      <c r="AF116" s="244"/>
      <c r="AG116" s="244"/>
      <c r="AH116" s="244"/>
      <c r="AI116" s="244"/>
      <c r="AJ116" s="129"/>
      <c r="AK116" s="129"/>
      <c r="AL116" s="129"/>
      <c r="AM116" s="129"/>
      <c r="AN116" s="129"/>
      <c r="AO116" s="129"/>
      <c r="AP116" s="129"/>
      <c r="AQ116" s="129"/>
      <c r="AR116" s="129"/>
      <c r="AS116" s="129"/>
      <c r="AT116" s="129"/>
      <c r="AU116" s="129"/>
      <c r="AV116" s="129"/>
      <c r="AW116" s="129"/>
      <c r="AX116" s="129"/>
      <c r="AY116" s="129"/>
    </row>
    <row r="117" spans="1:51" ht="14.25">
      <c r="A117" s="645"/>
      <c r="B117" s="51"/>
      <c r="C117" s="244"/>
      <c r="D117" s="244"/>
      <c r="E117" s="646"/>
      <c r="F117" s="646"/>
      <c r="G117" s="646"/>
      <c r="H117" s="646"/>
      <c r="I117" s="646"/>
      <c r="J117" s="646"/>
      <c r="K117" s="646"/>
      <c r="L117" s="646"/>
      <c r="M117" s="646"/>
      <c r="N117" s="646"/>
      <c r="O117" s="244"/>
      <c r="P117" s="244"/>
      <c r="Q117" s="244"/>
      <c r="R117" s="244"/>
      <c r="S117" s="244"/>
      <c r="T117" s="244"/>
      <c r="U117" s="244"/>
      <c r="V117" s="244"/>
      <c r="W117" s="244"/>
      <c r="X117" s="244"/>
      <c r="Y117" s="244"/>
      <c r="Z117" s="244"/>
      <c r="AA117" s="244"/>
      <c r="AB117" s="244"/>
      <c r="AC117" s="244"/>
      <c r="AD117" s="244"/>
      <c r="AE117" s="244"/>
      <c r="AF117" s="244"/>
      <c r="AG117" s="244"/>
      <c r="AH117" s="244"/>
      <c r="AI117" s="244"/>
      <c r="AJ117" s="129"/>
      <c r="AK117" s="129"/>
      <c r="AL117" s="129"/>
      <c r="AM117" s="129"/>
      <c r="AN117" s="129"/>
      <c r="AO117" s="129"/>
      <c r="AP117" s="129"/>
      <c r="AQ117" s="129"/>
      <c r="AR117" s="129"/>
      <c r="AS117" s="129"/>
      <c r="AT117" s="129"/>
      <c r="AU117" s="129"/>
      <c r="AV117" s="129"/>
      <c r="AW117" s="129"/>
      <c r="AX117" s="129"/>
      <c r="AY117" s="129"/>
    </row>
    <row r="118" spans="1:51" ht="14.25">
      <c r="A118" s="645"/>
      <c r="B118" s="51"/>
      <c r="C118" s="244"/>
      <c r="D118" s="244"/>
      <c r="E118" s="646"/>
      <c r="F118" s="646"/>
      <c r="G118" s="646"/>
      <c r="H118" s="646"/>
      <c r="I118" s="646"/>
      <c r="J118" s="646"/>
      <c r="K118" s="646"/>
      <c r="L118" s="646"/>
      <c r="M118" s="646"/>
      <c r="N118" s="646"/>
      <c r="O118" s="244"/>
      <c r="P118" s="244"/>
      <c r="Q118" s="244"/>
      <c r="R118" s="244"/>
      <c r="S118" s="244"/>
      <c r="T118" s="244"/>
      <c r="U118" s="244"/>
      <c r="V118" s="244"/>
      <c r="W118" s="244"/>
      <c r="X118" s="244"/>
      <c r="Y118" s="244"/>
      <c r="Z118" s="244"/>
      <c r="AA118" s="244"/>
      <c r="AB118" s="244"/>
      <c r="AC118" s="244"/>
      <c r="AD118" s="244"/>
      <c r="AE118" s="244"/>
      <c r="AF118" s="244"/>
      <c r="AG118" s="244"/>
      <c r="AH118" s="244"/>
      <c r="AI118" s="244"/>
      <c r="AJ118" s="129"/>
      <c r="AK118" s="129"/>
      <c r="AL118" s="129"/>
      <c r="AM118" s="129"/>
      <c r="AN118" s="129"/>
      <c r="AO118" s="129"/>
      <c r="AP118" s="129"/>
      <c r="AQ118" s="129"/>
      <c r="AR118" s="129"/>
      <c r="AS118" s="129"/>
      <c r="AT118" s="129"/>
      <c r="AU118" s="129"/>
      <c r="AV118" s="129"/>
      <c r="AW118" s="129"/>
      <c r="AX118" s="129"/>
      <c r="AY118" s="129"/>
    </row>
    <row r="119" spans="1:51" ht="14.25">
      <c r="A119" s="645"/>
      <c r="B119" s="51"/>
      <c r="C119" s="244"/>
      <c r="D119" s="244"/>
      <c r="E119" s="244"/>
      <c r="F119" s="244"/>
      <c r="G119" s="244"/>
      <c r="H119" s="244"/>
      <c r="I119" s="244"/>
      <c r="J119" s="244"/>
      <c r="K119" s="244"/>
      <c r="L119" s="244"/>
      <c r="M119" s="244"/>
      <c r="N119" s="244"/>
      <c r="O119" s="244"/>
      <c r="P119" s="244"/>
      <c r="Q119" s="244"/>
      <c r="R119" s="244"/>
      <c r="S119" s="244"/>
      <c r="T119" s="244"/>
      <c r="U119" s="244"/>
      <c r="V119" s="244"/>
      <c r="W119" s="244"/>
      <c r="X119" s="244"/>
      <c r="Y119" s="244"/>
      <c r="Z119" s="244"/>
      <c r="AA119" s="244"/>
      <c r="AB119" s="244"/>
      <c r="AC119" s="244"/>
      <c r="AD119" s="244"/>
      <c r="AE119" s="244"/>
      <c r="AF119" s="244"/>
      <c r="AG119" s="244"/>
      <c r="AH119" s="244"/>
      <c r="AI119" s="244"/>
      <c r="AJ119" s="129"/>
      <c r="AK119" s="129"/>
      <c r="AL119" s="129"/>
      <c r="AM119" s="129"/>
      <c r="AN119" s="129"/>
      <c r="AO119" s="129"/>
      <c r="AP119" s="129"/>
      <c r="AQ119" s="129"/>
      <c r="AR119" s="129"/>
      <c r="AS119" s="129"/>
      <c r="AT119" s="129"/>
      <c r="AU119" s="129"/>
      <c r="AV119" s="129"/>
      <c r="AW119" s="129"/>
      <c r="AX119" s="129"/>
      <c r="AY119" s="129"/>
    </row>
    <row r="120" spans="1:51" ht="15">
      <c r="A120" s="645"/>
      <c r="B120" s="51"/>
      <c r="C120" s="244"/>
      <c r="D120" s="247"/>
      <c r="E120" s="243"/>
      <c r="F120" s="244"/>
      <c r="G120" s="244"/>
      <c r="H120" s="244"/>
      <c r="I120" s="244"/>
      <c r="J120" s="244"/>
      <c r="K120" s="244"/>
      <c r="L120" s="244"/>
      <c r="M120" s="244"/>
      <c r="N120" s="244"/>
      <c r="O120" s="244"/>
      <c r="P120" s="244"/>
      <c r="Q120" s="244"/>
      <c r="R120" s="244"/>
      <c r="S120" s="244"/>
      <c r="T120" s="244"/>
      <c r="U120" s="244"/>
      <c r="V120" s="244"/>
      <c r="W120" s="244"/>
      <c r="X120" s="244"/>
      <c r="Y120" s="244"/>
      <c r="Z120" s="244"/>
      <c r="AA120" s="244"/>
      <c r="AB120" s="244"/>
      <c r="AC120" s="244"/>
      <c r="AD120" s="244"/>
      <c r="AE120" s="244"/>
      <c r="AF120" s="244"/>
      <c r="AG120" s="244"/>
      <c r="AH120" s="244"/>
      <c r="AI120" s="244"/>
      <c r="AJ120" s="129"/>
      <c r="AK120" s="129"/>
      <c r="AL120" s="129"/>
      <c r="AM120" s="129"/>
      <c r="AN120" s="129"/>
      <c r="AO120" s="129"/>
      <c r="AP120" s="129"/>
      <c r="AQ120" s="129"/>
      <c r="AR120" s="129"/>
      <c r="AS120" s="129"/>
      <c r="AT120" s="129"/>
      <c r="AU120" s="129"/>
      <c r="AV120" s="129"/>
      <c r="AW120" s="129"/>
      <c r="AX120" s="129"/>
      <c r="AY120" s="129"/>
    </row>
    <row r="121" spans="1:51" ht="14.25">
      <c r="A121" s="645"/>
      <c r="B121" s="51"/>
      <c r="C121" s="244"/>
      <c r="D121" s="247"/>
      <c r="E121" s="244"/>
      <c r="F121" s="244"/>
      <c r="G121" s="244"/>
      <c r="H121" s="244"/>
      <c r="I121" s="244"/>
      <c r="J121" s="244"/>
      <c r="K121" s="244"/>
      <c r="L121" s="244"/>
      <c r="M121" s="244"/>
      <c r="N121" s="244"/>
      <c r="O121" s="244"/>
      <c r="P121" s="244"/>
      <c r="Q121" s="244"/>
      <c r="R121" s="244"/>
      <c r="S121" s="244"/>
      <c r="T121" s="244"/>
      <c r="U121" s="244"/>
      <c r="V121" s="244"/>
      <c r="W121" s="244"/>
      <c r="X121" s="244"/>
      <c r="Y121" s="244"/>
      <c r="Z121" s="244"/>
      <c r="AA121" s="244"/>
      <c r="AB121" s="244"/>
      <c r="AC121" s="244"/>
      <c r="AD121" s="244"/>
      <c r="AE121" s="244"/>
      <c r="AF121" s="244"/>
      <c r="AG121" s="244"/>
      <c r="AH121" s="244"/>
      <c r="AI121" s="244"/>
      <c r="AJ121" s="129"/>
      <c r="AK121" s="129"/>
      <c r="AL121" s="129"/>
      <c r="AM121" s="129"/>
      <c r="AN121" s="129"/>
      <c r="AO121" s="129"/>
      <c r="AP121" s="129"/>
      <c r="AQ121" s="129"/>
      <c r="AR121" s="129"/>
      <c r="AS121" s="129"/>
      <c r="AT121" s="129"/>
      <c r="AU121" s="129"/>
      <c r="AV121" s="129"/>
      <c r="AW121" s="129"/>
      <c r="AX121" s="129"/>
      <c r="AY121" s="129"/>
    </row>
    <row r="122" spans="1:51" ht="14.25">
      <c r="A122" s="645"/>
      <c r="B122" s="51"/>
      <c r="C122" s="244"/>
      <c r="D122" s="244"/>
      <c r="E122" s="244"/>
      <c r="F122" s="244"/>
      <c r="G122" s="244"/>
      <c r="H122" s="244"/>
      <c r="I122" s="244"/>
      <c r="J122" s="244"/>
      <c r="K122" s="244"/>
      <c r="L122" s="244"/>
      <c r="M122" s="244"/>
      <c r="N122" s="244"/>
      <c r="O122" s="244"/>
      <c r="P122" s="244"/>
      <c r="Q122" s="244"/>
      <c r="R122" s="244"/>
      <c r="S122" s="244"/>
      <c r="T122" s="244"/>
      <c r="U122" s="244"/>
      <c r="V122" s="244"/>
      <c r="W122" s="244"/>
      <c r="X122" s="244"/>
      <c r="Y122" s="244"/>
      <c r="Z122" s="244"/>
      <c r="AA122" s="244"/>
      <c r="AB122" s="244"/>
      <c r="AC122" s="244"/>
      <c r="AD122" s="244"/>
      <c r="AE122" s="244"/>
      <c r="AF122" s="244"/>
      <c r="AG122" s="244"/>
      <c r="AH122" s="244"/>
      <c r="AI122" s="244"/>
      <c r="AJ122" s="129"/>
      <c r="AK122" s="129"/>
      <c r="AL122" s="129"/>
      <c r="AM122" s="129"/>
      <c r="AN122" s="129"/>
      <c r="AO122" s="129"/>
      <c r="AP122" s="129"/>
      <c r="AQ122" s="129"/>
      <c r="AR122" s="129"/>
      <c r="AS122" s="129"/>
      <c r="AT122" s="129"/>
      <c r="AU122" s="129"/>
      <c r="AV122" s="129"/>
      <c r="AW122" s="129"/>
      <c r="AX122" s="129"/>
      <c r="AY122" s="129"/>
    </row>
    <row r="123" spans="1:51" ht="14.25">
      <c r="A123" s="645"/>
      <c r="B123" s="51"/>
      <c r="C123" s="244"/>
      <c r="D123" s="244"/>
      <c r="E123" s="244"/>
      <c r="F123" s="244"/>
      <c r="G123" s="244"/>
      <c r="H123" s="244"/>
      <c r="I123" s="244"/>
      <c r="J123" s="244"/>
      <c r="K123" s="244"/>
      <c r="L123" s="244"/>
      <c r="M123" s="244"/>
      <c r="N123" s="244"/>
      <c r="O123" s="244"/>
      <c r="P123" s="244"/>
      <c r="Q123" s="244"/>
      <c r="R123" s="244"/>
      <c r="S123" s="244"/>
      <c r="T123" s="244"/>
      <c r="U123" s="244"/>
      <c r="V123" s="244"/>
      <c r="W123" s="244"/>
      <c r="X123" s="244"/>
      <c r="Y123" s="244"/>
      <c r="Z123" s="244"/>
      <c r="AA123" s="244"/>
      <c r="AB123" s="244"/>
      <c r="AC123" s="244"/>
      <c r="AD123" s="244"/>
      <c r="AE123" s="244"/>
      <c r="AF123" s="244"/>
      <c r="AG123" s="244"/>
      <c r="AH123" s="244"/>
      <c r="AI123" s="244"/>
      <c r="AJ123" s="129"/>
      <c r="AK123" s="129"/>
      <c r="AL123" s="129"/>
      <c r="AM123" s="129"/>
      <c r="AN123" s="129"/>
      <c r="AO123" s="129"/>
      <c r="AP123" s="129"/>
      <c r="AQ123" s="129"/>
      <c r="AR123" s="129"/>
      <c r="AS123" s="129"/>
      <c r="AT123" s="129"/>
      <c r="AU123" s="129"/>
      <c r="AV123" s="129"/>
      <c r="AW123" s="129"/>
      <c r="AX123" s="129"/>
      <c r="AY123" s="129"/>
    </row>
    <row r="124" spans="1:51" ht="14.25">
      <c r="A124" s="51"/>
      <c r="B124" s="51"/>
      <c r="C124" s="244"/>
      <c r="D124" s="244"/>
      <c r="E124" s="244"/>
      <c r="F124" s="244"/>
      <c r="G124" s="244"/>
      <c r="H124" s="244"/>
      <c r="I124" s="244"/>
      <c r="J124" s="244"/>
      <c r="K124" s="244"/>
      <c r="L124" s="244"/>
      <c r="M124" s="244"/>
      <c r="N124" s="244"/>
      <c r="O124" s="244"/>
      <c r="P124" s="244"/>
      <c r="Q124" s="244"/>
      <c r="R124" s="244"/>
      <c r="S124" s="244"/>
      <c r="T124" s="244"/>
      <c r="U124" s="244"/>
      <c r="V124" s="244"/>
      <c r="W124" s="244"/>
      <c r="X124" s="244"/>
      <c r="Y124" s="244"/>
      <c r="Z124" s="244"/>
      <c r="AA124" s="244"/>
      <c r="AB124" s="244"/>
      <c r="AC124" s="244"/>
      <c r="AD124" s="244"/>
      <c r="AE124" s="244"/>
      <c r="AF124" s="244"/>
      <c r="AG124" s="244"/>
      <c r="AH124" s="244"/>
      <c r="AI124" s="244"/>
      <c r="AJ124" s="129"/>
      <c r="AK124" s="129"/>
      <c r="AL124" s="129"/>
      <c r="AM124" s="129"/>
      <c r="AN124" s="129"/>
      <c r="AO124" s="129"/>
      <c r="AP124" s="129"/>
      <c r="AQ124" s="129"/>
      <c r="AR124" s="129"/>
      <c r="AS124" s="129"/>
      <c r="AT124" s="129"/>
      <c r="AU124" s="129"/>
      <c r="AV124" s="129"/>
      <c r="AW124" s="129"/>
      <c r="AX124" s="129"/>
      <c r="AY124" s="129"/>
    </row>
    <row r="125" spans="1:51" ht="15">
      <c r="A125" s="51"/>
      <c r="B125" s="51"/>
      <c r="C125" s="244"/>
      <c r="D125" s="247"/>
      <c r="E125" s="243"/>
      <c r="F125" s="244"/>
      <c r="G125" s="244"/>
      <c r="H125" s="244"/>
      <c r="I125" s="244"/>
      <c r="J125" s="244"/>
      <c r="K125" s="244"/>
      <c r="L125" s="244"/>
      <c r="M125" s="244"/>
      <c r="N125" s="244"/>
      <c r="O125" s="244"/>
      <c r="P125" s="244"/>
      <c r="Q125" s="244"/>
      <c r="R125" s="244"/>
      <c r="S125" s="244"/>
      <c r="T125" s="244"/>
      <c r="U125" s="244"/>
      <c r="V125" s="244"/>
      <c r="W125" s="244"/>
      <c r="X125" s="244"/>
      <c r="Y125" s="244"/>
      <c r="Z125" s="244"/>
      <c r="AA125" s="244"/>
      <c r="AB125" s="244"/>
      <c r="AC125" s="244"/>
      <c r="AD125" s="244"/>
      <c r="AE125" s="244"/>
      <c r="AF125" s="244"/>
      <c r="AG125" s="244"/>
      <c r="AH125" s="244"/>
      <c r="AI125" s="244"/>
      <c r="AJ125" s="129"/>
      <c r="AK125" s="129"/>
      <c r="AL125" s="129"/>
      <c r="AM125" s="129"/>
      <c r="AN125" s="129"/>
      <c r="AO125" s="129"/>
      <c r="AP125" s="129"/>
      <c r="AQ125" s="129"/>
      <c r="AR125" s="129"/>
      <c r="AS125" s="129"/>
      <c r="AT125" s="129"/>
      <c r="AU125" s="129"/>
      <c r="AV125" s="129"/>
      <c r="AW125" s="129"/>
      <c r="AX125" s="129"/>
      <c r="AY125" s="129"/>
    </row>
    <row r="126" spans="1:51" ht="14.25">
      <c r="A126" s="51"/>
      <c r="B126" s="51"/>
      <c r="C126" s="244"/>
      <c r="D126" s="244"/>
      <c r="E126" s="244"/>
      <c r="F126" s="244"/>
      <c r="G126" s="244"/>
      <c r="H126" s="244"/>
      <c r="I126" s="244"/>
      <c r="J126" s="244"/>
      <c r="K126" s="244"/>
      <c r="L126" s="244"/>
      <c r="M126" s="244"/>
      <c r="N126" s="244"/>
      <c r="O126" s="244"/>
      <c r="P126" s="244"/>
      <c r="Q126" s="244"/>
      <c r="R126" s="244"/>
      <c r="S126" s="244"/>
      <c r="T126" s="244"/>
      <c r="U126" s="244"/>
      <c r="V126" s="244"/>
      <c r="W126" s="244"/>
      <c r="X126" s="244"/>
      <c r="Y126" s="244"/>
      <c r="Z126" s="244"/>
      <c r="AA126" s="244"/>
      <c r="AB126" s="244"/>
      <c r="AC126" s="244"/>
      <c r="AD126" s="244"/>
      <c r="AE126" s="244"/>
      <c r="AF126" s="244"/>
      <c r="AG126" s="244"/>
      <c r="AH126" s="244"/>
      <c r="AI126" s="244"/>
      <c r="AJ126" s="129"/>
      <c r="AK126" s="129"/>
      <c r="AL126" s="129"/>
      <c r="AM126" s="129"/>
      <c r="AN126" s="129"/>
      <c r="AO126" s="129"/>
      <c r="AP126" s="129"/>
      <c r="AQ126" s="129"/>
      <c r="AR126" s="129"/>
      <c r="AS126" s="129"/>
      <c r="AT126" s="129"/>
      <c r="AU126" s="129"/>
      <c r="AV126" s="129"/>
      <c r="AW126" s="129"/>
      <c r="AX126" s="129"/>
      <c r="AY126" s="129"/>
    </row>
    <row r="127" spans="1:51" ht="14.25">
      <c r="A127" s="51"/>
      <c r="B127" s="51"/>
      <c r="C127" s="244"/>
      <c r="D127" s="244"/>
      <c r="E127" s="244"/>
      <c r="F127" s="244"/>
      <c r="G127" s="244"/>
      <c r="H127" s="244"/>
      <c r="I127" s="244"/>
      <c r="J127" s="244"/>
      <c r="K127" s="244"/>
      <c r="L127" s="244"/>
      <c r="M127" s="244"/>
      <c r="N127" s="244"/>
      <c r="O127" s="244"/>
      <c r="P127" s="244"/>
      <c r="Q127" s="244"/>
      <c r="R127" s="244"/>
      <c r="S127" s="244"/>
      <c r="T127" s="244"/>
      <c r="U127" s="244"/>
      <c r="V127" s="244"/>
      <c r="W127" s="244"/>
      <c r="X127" s="244"/>
      <c r="Y127" s="244"/>
      <c r="Z127" s="244"/>
      <c r="AA127" s="244"/>
      <c r="AB127" s="244"/>
      <c r="AC127" s="244"/>
      <c r="AD127" s="244"/>
      <c r="AE127" s="244"/>
      <c r="AF127" s="244"/>
      <c r="AG127" s="244"/>
      <c r="AH127" s="244"/>
      <c r="AI127" s="244"/>
      <c r="AJ127" s="129"/>
      <c r="AK127" s="129"/>
      <c r="AL127" s="129"/>
      <c r="AM127" s="129"/>
      <c r="AN127" s="129"/>
      <c r="AO127" s="129"/>
      <c r="AP127" s="129"/>
      <c r="AQ127" s="129"/>
      <c r="AR127" s="129"/>
      <c r="AS127" s="129"/>
      <c r="AT127" s="129"/>
      <c r="AU127" s="129"/>
      <c r="AV127" s="129"/>
      <c r="AW127" s="129"/>
      <c r="AX127" s="129"/>
      <c r="AY127" s="129"/>
    </row>
    <row r="128" spans="1:51" ht="14.25">
      <c r="A128" s="51"/>
      <c r="B128" s="51"/>
      <c r="C128" s="244"/>
      <c r="D128" s="244"/>
      <c r="E128" s="244"/>
      <c r="F128" s="244"/>
      <c r="G128" s="244"/>
      <c r="H128" s="244"/>
      <c r="I128" s="244"/>
      <c r="J128" s="244"/>
      <c r="K128" s="244"/>
      <c r="L128" s="244"/>
      <c r="M128" s="244"/>
      <c r="N128" s="244"/>
      <c r="O128" s="244"/>
      <c r="P128" s="244"/>
      <c r="Q128" s="244"/>
      <c r="R128" s="244"/>
      <c r="S128" s="244"/>
      <c r="T128" s="244"/>
      <c r="U128" s="244"/>
      <c r="V128" s="244"/>
      <c r="W128" s="244"/>
      <c r="X128" s="244"/>
      <c r="Y128" s="244"/>
      <c r="Z128" s="244"/>
      <c r="AA128" s="244"/>
      <c r="AB128" s="244"/>
      <c r="AC128" s="244"/>
      <c r="AD128" s="244"/>
      <c r="AE128" s="244"/>
      <c r="AF128" s="244"/>
      <c r="AG128" s="244"/>
      <c r="AH128" s="244"/>
      <c r="AI128" s="244"/>
      <c r="AJ128" s="129"/>
      <c r="AK128" s="129"/>
      <c r="AL128" s="129"/>
      <c r="AM128" s="129"/>
      <c r="AN128" s="129"/>
      <c r="AO128" s="129"/>
      <c r="AP128" s="129"/>
      <c r="AQ128" s="129"/>
      <c r="AR128" s="129"/>
      <c r="AS128" s="129"/>
      <c r="AT128" s="129"/>
      <c r="AU128" s="129"/>
      <c r="AV128" s="129"/>
      <c r="AW128" s="129"/>
      <c r="AX128" s="129"/>
      <c r="AY128" s="129"/>
    </row>
    <row r="129" spans="1:51" ht="14.25">
      <c r="A129" s="51"/>
      <c r="B129" s="51"/>
      <c r="C129" s="244"/>
      <c r="D129" s="244"/>
      <c r="E129" s="244"/>
      <c r="F129" s="244"/>
      <c r="G129" s="244"/>
      <c r="H129" s="244"/>
      <c r="I129" s="244"/>
      <c r="J129" s="244"/>
      <c r="K129" s="244"/>
      <c r="L129" s="244"/>
      <c r="M129" s="244"/>
      <c r="N129" s="244"/>
      <c r="O129" s="244"/>
      <c r="P129" s="244"/>
      <c r="Q129" s="244"/>
      <c r="R129" s="244"/>
      <c r="S129" s="244"/>
      <c r="T129" s="244"/>
      <c r="U129" s="244"/>
      <c r="V129" s="244"/>
      <c r="W129" s="244"/>
      <c r="X129" s="244"/>
      <c r="Y129" s="244"/>
      <c r="Z129" s="244"/>
      <c r="AA129" s="244"/>
      <c r="AB129" s="244"/>
      <c r="AC129" s="244"/>
      <c r="AD129" s="244"/>
      <c r="AE129" s="244"/>
      <c r="AF129" s="244"/>
      <c r="AG129" s="244"/>
      <c r="AH129" s="244"/>
      <c r="AI129" s="244"/>
      <c r="AJ129" s="129"/>
      <c r="AK129" s="129"/>
      <c r="AL129" s="129"/>
      <c r="AM129" s="129"/>
      <c r="AN129" s="129"/>
      <c r="AO129" s="129"/>
      <c r="AP129" s="129"/>
      <c r="AQ129" s="129"/>
      <c r="AR129" s="129"/>
      <c r="AS129" s="129"/>
      <c r="AT129" s="129"/>
      <c r="AU129" s="129"/>
      <c r="AV129" s="129"/>
      <c r="AW129" s="129"/>
      <c r="AX129" s="129"/>
      <c r="AY129" s="129"/>
    </row>
    <row r="130" spans="1:51" ht="15">
      <c r="A130" s="51"/>
      <c r="B130" s="51"/>
      <c r="C130" s="248"/>
      <c r="D130" s="243"/>
      <c r="E130" s="243"/>
      <c r="F130" s="244"/>
      <c r="G130" s="244"/>
      <c r="H130" s="244"/>
      <c r="I130" s="244"/>
      <c r="J130" s="244"/>
      <c r="K130" s="244"/>
      <c r="L130" s="244"/>
      <c r="M130" s="244"/>
      <c r="N130" s="244"/>
      <c r="O130" s="244"/>
      <c r="P130" s="244"/>
      <c r="Q130" s="244"/>
      <c r="R130" s="244"/>
      <c r="S130" s="244"/>
      <c r="T130" s="244"/>
      <c r="U130" s="244"/>
      <c r="V130" s="244"/>
      <c r="W130" s="244"/>
      <c r="X130" s="244"/>
      <c r="Y130" s="244"/>
      <c r="Z130" s="244"/>
      <c r="AA130" s="244"/>
      <c r="AB130" s="244"/>
      <c r="AC130" s="244"/>
      <c r="AD130" s="244"/>
      <c r="AE130" s="244"/>
      <c r="AF130" s="244"/>
      <c r="AG130" s="244"/>
      <c r="AH130" s="244"/>
      <c r="AI130" s="244"/>
      <c r="AJ130" s="129"/>
      <c r="AK130" s="129"/>
      <c r="AL130" s="129"/>
      <c r="AM130" s="129"/>
      <c r="AN130" s="129"/>
      <c r="AO130" s="129"/>
      <c r="AP130" s="129"/>
      <c r="AQ130" s="129"/>
      <c r="AR130" s="129"/>
      <c r="AS130" s="129"/>
      <c r="AT130" s="129"/>
      <c r="AU130" s="129"/>
      <c r="AV130" s="129"/>
      <c r="AW130" s="129"/>
      <c r="AX130" s="129"/>
      <c r="AY130" s="129"/>
    </row>
    <row r="131" spans="1:51" ht="14.25">
      <c r="A131" s="51"/>
      <c r="B131" s="51"/>
      <c r="C131" s="244"/>
      <c r="D131" s="244"/>
      <c r="E131" s="244"/>
      <c r="F131" s="244"/>
      <c r="G131" s="244"/>
      <c r="H131" s="244"/>
      <c r="I131" s="244"/>
      <c r="J131" s="244"/>
      <c r="K131" s="244"/>
      <c r="L131" s="244"/>
      <c r="M131" s="244"/>
      <c r="N131" s="244"/>
      <c r="O131" s="244"/>
      <c r="P131" s="244"/>
      <c r="Q131" s="244"/>
      <c r="R131" s="244"/>
      <c r="S131" s="244"/>
      <c r="T131" s="244"/>
      <c r="U131" s="244"/>
      <c r="V131" s="244"/>
      <c r="W131" s="244"/>
      <c r="X131" s="244"/>
      <c r="Y131" s="244"/>
      <c r="Z131" s="244"/>
      <c r="AA131" s="244"/>
      <c r="AB131" s="244"/>
      <c r="AC131" s="244"/>
      <c r="AD131" s="244"/>
      <c r="AE131" s="244"/>
      <c r="AF131" s="244"/>
      <c r="AG131" s="244"/>
      <c r="AH131" s="244"/>
      <c r="AI131" s="244"/>
      <c r="AJ131" s="129"/>
      <c r="AK131" s="129"/>
      <c r="AL131" s="129"/>
      <c r="AM131" s="129"/>
      <c r="AN131" s="129"/>
      <c r="AO131" s="129"/>
      <c r="AP131" s="129"/>
      <c r="AQ131" s="129"/>
      <c r="AR131" s="129"/>
      <c r="AS131" s="129"/>
      <c r="AT131" s="129"/>
      <c r="AU131" s="129"/>
      <c r="AV131" s="129"/>
      <c r="AW131" s="129"/>
      <c r="AX131" s="129"/>
      <c r="AY131" s="129"/>
    </row>
    <row r="132" spans="1:51" ht="14.25">
      <c r="A132" s="51"/>
      <c r="B132" s="51"/>
      <c r="C132" s="244"/>
      <c r="D132" s="646"/>
      <c r="E132" s="646"/>
      <c r="F132" s="646"/>
      <c r="G132" s="646"/>
      <c r="H132" s="646"/>
      <c r="I132" s="646"/>
      <c r="J132" s="646"/>
      <c r="K132" s="646"/>
      <c r="L132" s="646"/>
      <c r="M132" s="646"/>
      <c r="N132" s="646"/>
      <c r="O132" s="244"/>
      <c r="P132" s="244"/>
      <c r="Q132" s="244"/>
      <c r="R132" s="244"/>
      <c r="S132" s="244"/>
      <c r="T132" s="244"/>
      <c r="U132" s="244"/>
      <c r="V132" s="244"/>
      <c r="W132" s="244"/>
      <c r="X132" s="244"/>
      <c r="Y132" s="244"/>
      <c r="Z132" s="244"/>
      <c r="AA132" s="244"/>
      <c r="AB132" s="244"/>
      <c r="AC132" s="244"/>
      <c r="AD132" s="244"/>
      <c r="AE132" s="244"/>
      <c r="AF132" s="244"/>
      <c r="AG132" s="244"/>
      <c r="AH132" s="244"/>
      <c r="AI132" s="244"/>
      <c r="AJ132" s="129"/>
      <c r="AK132" s="129"/>
      <c r="AL132" s="129"/>
      <c r="AM132" s="129"/>
      <c r="AN132" s="129"/>
      <c r="AO132" s="129"/>
      <c r="AP132" s="129"/>
      <c r="AQ132" s="129"/>
      <c r="AR132" s="129"/>
      <c r="AS132" s="129"/>
      <c r="AT132" s="129"/>
      <c r="AU132" s="129"/>
      <c r="AV132" s="129"/>
      <c r="AW132" s="129"/>
      <c r="AX132" s="129"/>
      <c r="AY132" s="129"/>
    </row>
    <row r="133" spans="1:51" ht="14.25">
      <c r="A133" s="51"/>
      <c r="B133" s="51"/>
      <c r="C133" s="244"/>
      <c r="D133" s="646"/>
      <c r="E133" s="646"/>
      <c r="F133" s="646"/>
      <c r="G133" s="646"/>
      <c r="H133" s="646"/>
      <c r="I133" s="646"/>
      <c r="J133" s="646"/>
      <c r="K133" s="646"/>
      <c r="L133" s="646"/>
      <c r="M133" s="646"/>
      <c r="N133" s="646"/>
      <c r="O133" s="244"/>
      <c r="P133" s="244"/>
      <c r="Q133" s="244"/>
      <c r="R133" s="244"/>
      <c r="S133" s="244"/>
      <c r="T133" s="244"/>
      <c r="U133" s="244"/>
      <c r="V133" s="244"/>
      <c r="W133" s="244"/>
      <c r="X133" s="244"/>
      <c r="Y133" s="244"/>
      <c r="Z133" s="244"/>
      <c r="AA133" s="244"/>
      <c r="AB133" s="244"/>
      <c r="AC133" s="244"/>
      <c r="AD133" s="244"/>
      <c r="AE133" s="244"/>
      <c r="AF133" s="244"/>
      <c r="AG133" s="244"/>
      <c r="AH133" s="244"/>
      <c r="AI133" s="244"/>
      <c r="AJ133" s="129"/>
      <c r="AK133" s="129"/>
      <c r="AL133" s="129"/>
      <c r="AM133" s="129"/>
      <c r="AN133" s="129"/>
      <c r="AO133" s="129"/>
      <c r="AP133" s="129"/>
      <c r="AQ133" s="129"/>
      <c r="AR133" s="129"/>
      <c r="AS133" s="129"/>
      <c r="AT133" s="129"/>
      <c r="AU133" s="129"/>
      <c r="AV133" s="129"/>
      <c r="AW133" s="129"/>
      <c r="AX133" s="129"/>
      <c r="AY133" s="129"/>
    </row>
    <row r="134" spans="1:51" ht="14.25">
      <c r="A134" s="51"/>
      <c r="B134" s="51"/>
      <c r="C134" s="244"/>
      <c r="D134" s="244"/>
      <c r="E134" s="244"/>
      <c r="F134" s="244"/>
      <c r="G134" s="244"/>
      <c r="H134" s="244"/>
      <c r="I134" s="244"/>
      <c r="J134" s="244"/>
      <c r="K134" s="244"/>
      <c r="L134" s="244"/>
      <c r="M134" s="244"/>
      <c r="N134" s="244"/>
      <c r="O134" s="244"/>
      <c r="P134" s="244"/>
      <c r="Q134" s="244"/>
      <c r="R134" s="244"/>
      <c r="S134" s="244"/>
      <c r="T134" s="244"/>
      <c r="U134" s="244"/>
      <c r="V134" s="244"/>
      <c r="W134" s="244"/>
      <c r="X134" s="244"/>
      <c r="Y134" s="244"/>
      <c r="Z134" s="244"/>
      <c r="AA134" s="244"/>
      <c r="AB134" s="244"/>
      <c r="AC134" s="244"/>
      <c r="AD134" s="244"/>
      <c r="AE134" s="244"/>
      <c r="AF134" s="244"/>
      <c r="AG134" s="244"/>
      <c r="AH134" s="244"/>
      <c r="AI134" s="244"/>
      <c r="AJ134" s="129"/>
      <c r="AK134" s="129"/>
      <c r="AL134" s="129"/>
      <c r="AM134" s="129"/>
      <c r="AN134" s="129"/>
      <c r="AO134" s="129"/>
      <c r="AP134" s="129"/>
      <c r="AQ134" s="129"/>
      <c r="AR134" s="129"/>
      <c r="AS134" s="129"/>
      <c r="AT134" s="129"/>
      <c r="AU134" s="129"/>
      <c r="AV134" s="129"/>
      <c r="AW134" s="129"/>
      <c r="AX134" s="129"/>
      <c r="AY134" s="129"/>
    </row>
    <row r="135" spans="1:51" ht="14.25">
      <c r="A135" s="51"/>
      <c r="B135" s="51"/>
      <c r="C135" s="244"/>
      <c r="D135" s="244"/>
      <c r="E135" s="244"/>
      <c r="F135" s="244"/>
      <c r="G135" s="244"/>
      <c r="H135" s="244"/>
      <c r="I135" s="244"/>
      <c r="J135" s="244"/>
      <c r="K135" s="244"/>
      <c r="L135" s="244"/>
      <c r="M135" s="244"/>
      <c r="N135" s="244"/>
      <c r="O135" s="244"/>
      <c r="P135" s="244"/>
      <c r="Q135" s="244"/>
      <c r="R135" s="244"/>
      <c r="S135" s="244"/>
      <c r="T135" s="244"/>
      <c r="U135" s="244"/>
      <c r="V135" s="244"/>
      <c r="W135" s="244"/>
      <c r="X135" s="244"/>
      <c r="Y135" s="244"/>
      <c r="Z135" s="244"/>
      <c r="AA135" s="244"/>
      <c r="AB135" s="244"/>
      <c r="AC135" s="244"/>
      <c r="AD135" s="244"/>
      <c r="AE135" s="244"/>
      <c r="AF135" s="244"/>
      <c r="AG135" s="244"/>
      <c r="AH135" s="244"/>
      <c r="AI135" s="244"/>
      <c r="AJ135" s="129"/>
      <c r="AK135" s="129"/>
      <c r="AL135" s="129"/>
      <c r="AM135" s="129"/>
      <c r="AN135" s="129"/>
      <c r="AO135" s="129"/>
      <c r="AP135" s="129"/>
      <c r="AQ135" s="129"/>
      <c r="AR135" s="129"/>
      <c r="AS135" s="129"/>
      <c r="AT135" s="129"/>
      <c r="AU135" s="129"/>
      <c r="AV135" s="129"/>
      <c r="AW135" s="129"/>
      <c r="AX135" s="129"/>
      <c r="AY135" s="129"/>
    </row>
    <row r="136" spans="1:51" ht="14.25">
      <c r="A136" s="51"/>
      <c r="B136" s="51"/>
      <c r="C136" s="244"/>
      <c r="D136" s="244"/>
      <c r="E136" s="244"/>
      <c r="F136" s="244"/>
      <c r="G136" s="244"/>
      <c r="H136" s="244"/>
      <c r="I136" s="244"/>
      <c r="J136" s="244"/>
      <c r="K136" s="244"/>
      <c r="L136" s="244"/>
      <c r="M136" s="244"/>
      <c r="N136" s="244"/>
      <c r="O136" s="244"/>
      <c r="P136" s="244"/>
      <c r="Q136" s="244"/>
      <c r="R136" s="244"/>
      <c r="S136" s="244"/>
      <c r="T136" s="244"/>
      <c r="U136" s="244"/>
      <c r="V136" s="244"/>
      <c r="W136" s="244"/>
      <c r="X136" s="244"/>
      <c r="Y136" s="244"/>
      <c r="Z136" s="244"/>
      <c r="AA136" s="244"/>
      <c r="AB136" s="244"/>
      <c r="AC136" s="244"/>
      <c r="AD136" s="244"/>
      <c r="AE136" s="244"/>
      <c r="AF136" s="244"/>
      <c r="AG136" s="244"/>
      <c r="AH136" s="244"/>
      <c r="AI136" s="244"/>
      <c r="AJ136" s="129"/>
      <c r="AK136" s="129"/>
      <c r="AL136" s="129"/>
      <c r="AM136" s="129"/>
      <c r="AN136" s="129"/>
      <c r="AO136" s="129"/>
      <c r="AP136" s="129"/>
      <c r="AQ136" s="129"/>
      <c r="AR136" s="129"/>
      <c r="AS136" s="129"/>
      <c r="AT136" s="129"/>
      <c r="AU136" s="129"/>
      <c r="AV136" s="129"/>
      <c r="AW136" s="129"/>
      <c r="AX136" s="129"/>
      <c r="AY136" s="129"/>
    </row>
    <row r="137" spans="1:51" ht="15">
      <c r="A137" s="51"/>
      <c r="B137" s="51"/>
      <c r="C137" s="244"/>
      <c r="D137" s="251"/>
      <c r="E137" s="244"/>
      <c r="F137" s="244"/>
      <c r="G137" s="244"/>
      <c r="H137" s="244"/>
      <c r="I137" s="244"/>
      <c r="J137" s="244"/>
      <c r="K137" s="244"/>
      <c r="L137" s="244"/>
      <c r="M137" s="244"/>
      <c r="N137" s="244"/>
      <c r="O137" s="244"/>
      <c r="P137" s="244"/>
      <c r="Q137" s="244"/>
      <c r="R137" s="244"/>
      <c r="S137" s="244"/>
      <c r="T137" s="244"/>
      <c r="U137" s="244"/>
      <c r="V137" s="244"/>
      <c r="W137" s="244"/>
      <c r="X137" s="244"/>
      <c r="Y137" s="244"/>
      <c r="Z137" s="244"/>
      <c r="AA137" s="244"/>
      <c r="AB137" s="244"/>
      <c r="AC137" s="244"/>
      <c r="AD137" s="244"/>
      <c r="AE137" s="244"/>
      <c r="AF137" s="244"/>
      <c r="AG137" s="244"/>
      <c r="AH137" s="244"/>
      <c r="AI137" s="244"/>
      <c r="AJ137" s="129"/>
      <c r="AK137" s="129"/>
      <c r="AL137" s="129"/>
      <c r="AM137" s="129"/>
      <c r="AN137" s="129"/>
      <c r="AO137" s="129"/>
      <c r="AP137" s="129"/>
      <c r="AQ137" s="129"/>
      <c r="AR137" s="129"/>
      <c r="AS137" s="129"/>
      <c r="AT137" s="129"/>
      <c r="AU137" s="129"/>
      <c r="AV137" s="129"/>
      <c r="AW137" s="129"/>
      <c r="AX137" s="129"/>
      <c r="AY137" s="129"/>
    </row>
    <row r="138" spans="1:51" ht="15">
      <c r="A138" s="51"/>
      <c r="B138" s="51"/>
      <c r="C138" s="244"/>
      <c r="D138" s="243"/>
      <c r="E138" s="244"/>
      <c r="F138" s="244"/>
      <c r="G138" s="244"/>
      <c r="H138" s="244"/>
      <c r="I138" s="244"/>
      <c r="J138" s="244"/>
      <c r="K138" s="244"/>
      <c r="L138" s="244"/>
      <c r="M138" s="244"/>
      <c r="N138" s="244"/>
      <c r="O138" s="244"/>
      <c r="P138" s="244"/>
      <c r="Q138" s="244"/>
      <c r="R138" s="244"/>
      <c r="S138" s="244"/>
      <c r="T138" s="244"/>
      <c r="U138" s="244"/>
      <c r="V138" s="244"/>
      <c r="W138" s="244"/>
      <c r="X138" s="244"/>
      <c r="Y138" s="244"/>
      <c r="Z138" s="244"/>
      <c r="AA138" s="244"/>
      <c r="AB138" s="244"/>
      <c r="AC138" s="244"/>
      <c r="AD138" s="244"/>
      <c r="AE138" s="244"/>
      <c r="AF138" s="244"/>
      <c r="AG138" s="244"/>
      <c r="AH138" s="244"/>
      <c r="AI138" s="244"/>
      <c r="AJ138" s="129"/>
      <c r="AK138" s="129"/>
      <c r="AL138" s="129"/>
      <c r="AM138" s="129"/>
      <c r="AN138" s="129"/>
      <c r="AO138" s="129"/>
      <c r="AP138" s="129"/>
      <c r="AQ138" s="129"/>
      <c r="AR138" s="129"/>
      <c r="AS138" s="129"/>
      <c r="AT138" s="129"/>
      <c r="AU138" s="129"/>
      <c r="AV138" s="129"/>
      <c r="AW138" s="129"/>
      <c r="AX138" s="129"/>
      <c r="AY138" s="129"/>
    </row>
    <row r="139" spans="1:51" ht="15">
      <c r="A139" s="51"/>
      <c r="B139" s="51"/>
      <c r="C139" s="244"/>
      <c r="D139" s="243"/>
      <c r="E139" s="244"/>
      <c r="F139" s="244"/>
      <c r="G139" s="244"/>
      <c r="H139" s="244"/>
      <c r="I139" s="244"/>
      <c r="J139" s="244"/>
      <c r="K139" s="244"/>
      <c r="L139" s="244"/>
      <c r="M139" s="244"/>
      <c r="N139" s="244"/>
      <c r="O139" s="244"/>
      <c r="P139" s="244"/>
      <c r="Q139" s="244"/>
      <c r="R139" s="244"/>
      <c r="S139" s="244"/>
      <c r="T139" s="244"/>
      <c r="U139" s="244"/>
      <c r="V139" s="244"/>
      <c r="W139" s="244"/>
      <c r="X139" s="244"/>
      <c r="Y139" s="244"/>
      <c r="Z139" s="244"/>
      <c r="AA139" s="244"/>
      <c r="AB139" s="244"/>
      <c r="AC139" s="244"/>
      <c r="AD139" s="244"/>
      <c r="AE139" s="244"/>
      <c r="AF139" s="244"/>
      <c r="AG139" s="244"/>
      <c r="AH139" s="244"/>
      <c r="AI139" s="244"/>
      <c r="AJ139" s="129"/>
      <c r="AK139" s="129"/>
      <c r="AL139" s="129"/>
      <c r="AM139" s="129"/>
      <c r="AN139" s="129"/>
      <c r="AO139" s="129"/>
      <c r="AP139" s="129"/>
      <c r="AQ139" s="129"/>
      <c r="AR139" s="129"/>
      <c r="AS139" s="129"/>
      <c r="AT139" s="129"/>
      <c r="AU139" s="129"/>
      <c r="AV139" s="129"/>
      <c r="AW139" s="129"/>
      <c r="AX139" s="129"/>
      <c r="AY139" s="129"/>
    </row>
    <row r="140" spans="1:51" ht="14.25">
      <c r="A140" s="51"/>
      <c r="B140" s="51"/>
      <c r="C140" s="244"/>
      <c r="D140" s="244"/>
      <c r="E140" s="244"/>
      <c r="F140" s="244"/>
      <c r="G140" s="244"/>
      <c r="H140" s="244"/>
      <c r="I140" s="244"/>
      <c r="J140" s="244"/>
      <c r="K140" s="244"/>
      <c r="L140" s="244"/>
      <c r="M140" s="244"/>
      <c r="N140" s="244"/>
      <c r="O140" s="244"/>
      <c r="P140" s="244"/>
      <c r="Q140" s="244"/>
      <c r="R140" s="244"/>
      <c r="S140" s="244"/>
      <c r="T140" s="244"/>
      <c r="U140" s="244"/>
      <c r="V140" s="244"/>
      <c r="W140" s="244"/>
      <c r="X140" s="244"/>
      <c r="Y140" s="244"/>
      <c r="Z140" s="244"/>
      <c r="AA140" s="244"/>
      <c r="AB140" s="244"/>
      <c r="AC140" s="244"/>
      <c r="AD140" s="244"/>
      <c r="AE140" s="244"/>
      <c r="AF140" s="244"/>
      <c r="AG140" s="244"/>
      <c r="AH140" s="244"/>
      <c r="AI140" s="244"/>
      <c r="AJ140" s="129"/>
      <c r="AK140" s="129"/>
      <c r="AL140" s="129"/>
      <c r="AM140" s="129"/>
      <c r="AN140" s="129"/>
      <c r="AO140" s="129"/>
      <c r="AP140" s="129"/>
      <c r="AQ140" s="129"/>
      <c r="AR140" s="129"/>
      <c r="AS140" s="129"/>
      <c r="AT140" s="129"/>
      <c r="AU140" s="129"/>
      <c r="AV140" s="129"/>
      <c r="AW140" s="129"/>
      <c r="AX140" s="129"/>
      <c r="AY140" s="129"/>
    </row>
    <row r="141" spans="1:51" ht="14.25">
      <c r="A141" s="51"/>
      <c r="B141" s="51"/>
      <c r="C141" s="244"/>
      <c r="D141" s="244"/>
      <c r="E141" s="244"/>
      <c r="F141" s="244"/>
      <c r="G141" s="244"/>
      <c r="H141" s="244"/>
      <c r="I141" s="244"/>
      <c r="J141" s="244"/>
      <c r="K141" s="244"/>
      <c r="L141" s="244"/>
      <c r="M141" s="244"/>
      <c r="N141" s="244"/>
      <c r="O141" s="244"/>
      <c r="P141" s="244"/>
      <c r="Q141" s="244"/>
      <c r="R141" s="244"/>
      <c r="S141" s="244"/>
      <c r="T141" s="244"/>
      <c r="U141" s="244"/>
      <c r="V141" s="244"/>
      <c r="W141" s="244"/>
      <c r="X141" s="244"/>
      <c r="Y141" s="244"/>
      <c r="Z141" s="244"/>
      <c r="AA141" s="244"/>
      <c r="AB141" s="244"/>
      <c r="AC141" s="244"/>
      <c r="AD141" s="244"/>
      <c r="AE141" s="244"/>
      <c r="AF141" s="244"/>
      <c r="AG141" s="244"/>
      <c r="AH141" s="244"/>
      <c r="AI141" s="244"/>
      <c r="AJ141" s="129"/>
      <c r="AK141" s="129"/>
      <c r="AL141" s="129"/>
      <c r="AM141" s="129"/>
      <c r="AN141" s="129"/>
      <c r="AO141" s="129"/>
      <c r="AP141" s="129"/>
      <c r="AQ141" s="129"/>
      <c r="AR141" s="129"/>
      <c r="AS141" s="129"/>
      <c r="AT141" s="129"/>
      <c r="AU141" s="129"/>
      <c r="AV141" s="129"/>
      <c r="AW141" s="129"/>
      <c r="AX141" s="129"/>
      <c r="AY141" s="129"/>
    </row>
    <row r="142" spans="1:51" ht="14.25">
      <c r="A142" s="51"/>
      <c r="B142" s="51"/>
      <c r="C142" s="244"/>
      <c r="D142" s="646"/>
      <c r="E142" s="646"/>
      <c r="F142" s="646"/>
      <c r="G142" s="646"/>
      <c r="H142" s="646"/>
      <c r="I142" s="646"/>
      <c r="J142" s="646"/>
      <c r="K142" s="646"/>
      <c r="L142" s="646"/>
      <c r="M142" s="646"/>
      <c r="N142" s="646"/>
      <c r="O142" s="244"/>
      <c r="P142" s="244"/>
      <c r="Q142" s="244"/>
      <c r="R142" s="244"/>
      <c r="S142" s="244"/>
      <c r="T142" s="244"/>
      <c r="U142" s="244"/>
      <c r="V142" s="244"/>
      <c r="W142" s="244"/>
      <c r="X142" s="244"/>
      <c r="Y142" s="244"/>
      <c r="Z142" s="244"/>
      <c r="AA142" s="244"/>
      <c r="AB142" s="244"/>
      <c r="AC142" s="244"/>
      <c r="AD142" s="244"/>
      <c r="AE142" s="244"/>
      <c r="AF142" s="244"/>
      <c r="AG142" s="244"/>
      <c r="AH142" s="244"/>
      <c r="AI142" s="244"/>
      <c r="AJ142" s="129"/>
      <c r="AK142" s="129"/>
      <c r="AL142" s="129"/>
      <c r="AM142" s="129"/>
      <c r="AN142" s="129"/>
      <c r="AO142" s="129"/>
      <c r="AP142" s="129"/>
      <c r="AQ142" s="129"/>
      <c r="AR142" s="129"/>
      <c r="AS142" s="129"/>
      <c r="AT142" s="129"/>
      <c r="AU142" s="129"/>
      <c r="AV142" s="129"/>
      <c r="AW142" s="129"/>
      <c r="AX142" s="129"/>
      <c r="AY142" s="129"/>
    </row>
    <row r="143" spans="1:51" ht="15" customHeight="1">
      <c r="A143" s="51"/>
      <c r="B143" s="51"/>
      <c r="C143" s="244"/>
      <c r="D143" s="646"/>
      <c r="E143" s="646"/>
      <c r="F143" s="646"/>
      <c r="G143" s="646"/>
      <c r="H143" s="646"/>
      <c r="I143" s="646"/>
      <c r="J143" s="646"/>
      <c r="K143" s="646"/>
      <c r="L143" s="646"/>
      <c r="M143" s="646"/>
      <c r="N143" s="646"/>
      <c r="O143" s="244"/>
      <c r="P143" s="244"/>
      <c r="Q143" s="244"/>
      <c r="R143" s="244"/>
      <c r="S143" s="244"/>
      <c r="T143" s="244"/>
      <c r="U143" s="244"/>
      <c r="V143" s="244"/>
      <c r="W143" s="244"/>
      <c r="X143" s="244"/>
      <c r="Y143" s="244"/>
      <c r="Z143" s="244"/>
      <c r="AA143" s="244"/>
      <c r="AB143" s="244"/>
      <c r="AC143" s="244"/>
      <c r="AD143" s="244"/>
      <c r="AE143" s="244"/>
      <c r="AF143" s="244"/>
      <c r="AG143" s="244"/>
      <c r="AH143" s="244"/>
      <c r="AI143" s="244"/>
      <c r="AJ143" s="129"/>
      <c r="AK143" s="129"/>
      <c r="AL143" s="129"/>
      <c r="AM143" s="129"/>
      <c r="AN143" s="129"/>
      <c r="AO143" s="129"/>
      <c r="AP143" s="129"/>
      <c r="AQ143" s="129"/>
      <c r="AR143" s="129"/>
      <c r="AS143" s="129"/>
      <c r="AT143" s="129"/>
      <c r="AU143" s="129"/>
      <c r="AV143" s="129"/>
      <c r="AW143" s="129"/>
      <c r="AX143" s="129"/>
      <c r="AY143" s="129"/>
    </row>
    <row r="144" spans="1:51" ht="15" customHeight="1">
      <c r="A144" s="51"/>
      <c r="B144" s="51"/>
      <c r="C144" s="244"/>
      <c r="D144" s="646"/>
      <c r="E144" s="646"/>
      <c r="F144" s="646"/>
      <c r="G144" s="646"/>
      <c r="H144" s="646"/>
      <c r="I144" s="646"/>
      <c r="J144" s="646"/>
      <c r="K144" s="646"/>
      <c r="L144" s="646"/>
      <c r="M144" s="646"/>
      <c r="N144" s="646"/>
      <c r="O144" s="244"/>
      <c r="P144" s="244"/>
      <c r="Q144" s="244"/>
      <c r="R144" s="244"/>
      <c r="S144" s="244"/>
      <c r="T144" s="244"/>
      <c r="U144" s="244"/>
      <c r="V144" s="244"/>
      <c r="W144" s="244"/>
      <c r="X144" s="244"/>
      <c r="Y144" s="244"/>
      <c r="Z144" s="244"/>
      <c r="AA144" s="244"/>
      <c r="AB144" s="244"/>
      <c r="AC144" s="244"/>
      <c r="AD144" s="244"/>
      <c r="AE144" s="244"/>
      <c r="AF144" s="244"/>
      <c r="AG144" s="244"/>
      <c r="AH144" s="244"/>
      <c r="AI144" s="244"/>
      <c r="AJ144" s="129"/>
      <c r="AK144" s="129"/>
      <c r="AL144" s="129"/>
      <c r="AM144" s="129"/>
      <c r="AN144" s="129"/>
      <c r="AO144" s="129"/>
      <c r="AP144" s="129"/>
      <c r="AQ144" s="129"/>
      <c r="AR144" s="129"/>
      <c r="AS144" s="129"/>
      <c r="AT144" s="129"/>
      <c r="AU144" s="129"/>
      <c r="AV144" s="129"/>
      <c r="AW144" s="129"/>
      <c r="AX144" s="129"/>
      <c r="AY144" s="129"/>
    </row>
    <row r="145" spans="1:51" ht="15" customHeight="1">
      <c r="A145" s="51"/>
      <c r="B145" s="51"/>
      <c r="C145" s="244"/>
      <c r="D145" s="646"/>
      <c r="E145" s="646"/>
      <c r="F145" s="646"/>
      <c r="G145" s="646"/>
      <c r="H145" s="646"/>
      <c r="I145" s="646"/>
      <c r="J145" s="646"/>
      <c r="K145" s="646"/>
      <c r="L145" s="646"/>
      <c r="M145" s="646"/>
      <c r="N145" s="646"/>
      <c r="O145" s="244"/>
      <c r="P145" s="244"/>
      <c r="Q145" s="244"/>
      <c r="R145" s="244"/>
      <c r="S145" s="244"/>
      <c r="T145" s="244"/>
      <c r="U145" s="244"/>
      <c r="V145" s="244"/>
      <c r="W145" s="244"/>
      <c r="X145" s="244"/>
      <c r="Y145" s="244"/>
      <c r="Z145" s="244"/>
      <c r="AA145" s="244"/>
      <c r="AB145" s="244"/>
      <c r="AC145" s="244"/>
      <c r="AD145" s="244"/>
      <c r="AE145" s="244"/>
      <c r="AF145" s="244"/>
      <c r="AG145" s="244"/>
      <c r="AH145" s="244"/>
      <c r="AI145" s="244"/>
      <c r="AJ145" s="129"/>
      <c r="AK145" s="129"/>
      <c r="AL145" s="129"/>
      <c r="AM145" s="129"/>
      <c r="AN145" s="129"/>
      <c r="AO145" s="129"/>
      <c r="AP145" s="129"/>
      <c r="AQ145" s="129"/>
      <c r="AR145" s="129"/>
      <c r="AS145" s="129"/>
      <c r="AT145" s="129"/>
      <c r="AU145" s="129"/>
      <c r="AV145" s="129"/>
      <c r="AW145" s="129"/>
      <c r="AX145" s="129"/>
      <c r="AY145" s="129"/>
    </row>
    <row r="146" spans="1:51" ht="14.25">
      <c r="A146" s="51"/>
      <c r="B146" s="51"/>
      <c r="C146" s="244"/>
      <c r="D146" s="646"/>
      <c r="E146" s="646"/>
      <c r="F146" s="646"/>
      <c r="G146" s="646"/>
      <c r="H146" s="646"/>
      <c r="I146" s="646"/>
      <c r="J146" s="646"/>
      <c r="K146" s="646"/>
      <c r="L146" s="646"/>
      <c r="M146" s="646"/>
      <c r="N146" s="646"/>
      <c r="O146" s="244"/>
      <c r="P146" s="244"/>
      <c r="Q146" s="244"/>
      <c r="R146" s="244"/>
      <c r="S146" s="244"/>
      <c r="T146" s="244"/>
      <c r="U146" s="244"/>
      <c r="V146" s="244"/>
      <c r="W146" s="244"/>
      <c r="X146" s="244"/>
      <c r="Y146" s="244"/>
      <c r="Z146" s="244"/>
      <c r="AA146" s="244"/>
      <c r="AB146" s="244"/>
      <c r="AC146" s="244"/>
      <c r="AD146" s="244"/>
      <c r="AE146" s="244"/>
      <c r="AF146" s="244"/>
      <c r="AG146" s="244"/>
      <c r="AH146" s="244"/>
      <c r="AI146" s="244"/>
      <c r="AJ146" s="129"/>
      <c r="AK146" s="129"/>
      <c r="AL146" s="129"/>
      <c r="AM146" s="129"/>
      <c r="AN146" s="129"/>
      <c r="AO146" s="129"/>
      <c r="AP146" s="129"/>
      <c r="AQ146" s="129"/>
      <c r="AR146" s="129"/>
      <c r="AS146" s="129"/>
      <c r="AT146" s="129"/>
      <c r="AU146" s="129"/>
      <c r="AV146" s="129"/>
      <c r="AW146" s="129"/>
      <c r="AX146" s="129"/>
      <c r="AY146" s="129"/>
    </row>
    <row r="147" spans="1:51" ht="14.25">
      <c r="A147" s="51"/>
      <c r="B147" s="51"/>
      <c r="C147" s="244"/>
      <c r="D147" s="646"/>
      <c r="E147" s="646"/>
      <c r="F147" s="646"/>
      <c r="G147" s="646"/>
      <c r="H147" s="646"/>
      <c r="I147" s="646"/>
      <c r="J147" s="646"/>
      <c r="K147" s="646"/>
      <c r="L147" s="646"/>
      <c r="M147" s="646"/>
      <c r="N147" s="646"/>
      <c r="O147" s="244"/>
      <c r="P147" s="244"/>
      <c r="Q147" s="244"/>
      <c r="R147" s="244"/>
      <c r="S147" s="244"/>
      <c r="T147" s="244"/>
      <c r="U147" s="244"/>
      <c r="V147" s="244"/>
      <c r="W147" s="244"/>
      <c r="X147" s="244"/>
      <c r="Y147" s="244"/>
      <c r="Z147" s="244"/>
      <c r="AA147" s="244"/>
      <c r="AB147" s="244"/>
      <c r="AC147" s="244"/>
      <c r="AD147" s="244"/>
      <c r="AE147" s="244"/>
      <c r="AF147" s="244"/>
      <c r="AG147" s="244"/>
      <c r="AH147" s="244"/>
      <c r="AI147" s="244"/>
      <c r="AJ147" s="129"/>
      <c r="AK147" s="129"/>
      <c r="AL147" s="129"/>
      <c r="AM147" s="129"/>
      <c r="AN147" s="129"/>
      <c r="AO147" s="129"/>
      <c r="AP147" s="129"/>
      <c r="AQ147" s="129"/>
      <c r="AR147" s="129"/>
      <c r="AS147" s="129"/>
      <c r="AT147" s="129"/>
      <c r="AU147" s="129"/>
      <c r="AV147" s="129"/>
      <c r="AW147" s="129"/>
      <c r="AX147" s="129"/>
      <c r="AY147" s="129"/>
    </row>
    <row r="148" spans="1:51" ht="14.25">
      <c r="A148" s="51"/>
      <c r="B148" s="51"/>
      <c r="C148" s="244"/>
      <c r="D148" s="646"/>
      <c r="E148" s="646"/>
      <c r="F148" s="646"/>
      <c r="G148" s="646"/>
      <c r="H148" s="646"/>
      <c r="I148" s="646"/>
      <c r="J148" s="646"/>
      <c r="K148" s="646"/>
      <c r="L148" s="646"/>
      <c r="M148" s="646"/>
      <c r="N148" s="646"/>
      <c r="O148" s="244"/>
      <c r="P148" s="244"/>
      <c r="Q148" s="244"/>
      <c r="R148" s="244"/>
      <c r="S148" s="244"/>
      <c r="T148" s="244"/>
      <c r="U148" s="244"/>
      <c r="V148" s="244"/>
      <c r="W148" s="244"/>
      <c r="X148" s="244"/>
      <c r="Y148" s="244"/>
      <c r="Z148" s="244"/>
      <c r="AA148" s="244"/>
      <c r="AB148" s="244"/>
      <c r="AC148" s="244"/>
      <c r="AD148" s="244"/>
      <c r="AE148" s="244"/>
      <c r="AF148" s="244"/>
      <c r="AG148" s="244"/>
      <c r="AH148" s="244"/>
      <c r="AI148" s="244"/>
      <c r="AJ148" s="129"/>
      <c r="AK148" s="129"/>
      <c r="AL148" s="129"/>
      <c r="AM148" s="129"/>
      <c r="AN148" s="129"/>
      <c r="AO148" s="129"/>
      <c r="AP148" s="129"/>
      <c r="AQ148" s="129"/>
      <c r="AR148" s="129"/>
      <c r="AS148" s="129"/>
      <c r="AT148" s="129"/>
      <c r="AU148" s="129"/>
      <c r="AV148" s="129"/>
      <c r="AW148" s="129"/>
      <c r="AX148" s="129"/>
      <c r="AY148" s="129"/>
    </row>
    <row r="149" spans="1:51" ht="14.25">
      <c r="A149" s="51"/>
      <c r="B149" s="51"/>
      <c r="C149" s="244"/>
      <c r="D149" s="646"/>
      <c r="E149" s="646"/>
      <c r="F149" s="646"/>
      <c r="G149" s="646"/>
      <c r="H149" s="646"/>
      <c r="I149" s="646"/>
      <c r="J149" s="646"/>
      <c r="K149" s="646"/>
      <c r="L149" s="646"/>
      <c r="M149" s="646"/>
      <c r="N149" s="646"/>
      <c r="O149" s="244"/>
      <c r="P149" s="244"/>
      <c r="Q149" s="244"/>
      <c r="R149" s="244"/>
      <c r="S149" s="244"/>
      <c r="T149" s="244"/>
      <c r="U149" s="244"/>
      <c r="V149" s="244"/>
      <c r="W149" s="244"/>
      <c r="X149" s="244"/>
      <c r="Y149" s="244"/>
      <c r="Z149" s="244"/>
      <c r="AA149" s="244"/>
      <c r="AB149" s="244"/>
      <c r="AC149" s="244"/>
      <c r="AD149" s="244"/>
      <c r="AE149" s="244"/>
      <c r="AF149" s="244"/>
      <c r="AG149" s="244"/>
      <c r="AH149" s="244"/>
      <c r="AI149" s="244"/>
      <c r="AJ149" s="129"/>
      <c r="AK149" s="129"/>
      <c r="AL149" s="129"/>
      <c r="AM149" s="129"/>
      <c r="AN149" s="129"/>
      <c r="AO149" s="129"/>
      <c r="AP149" s="129"/>
      <c r="AQ149" s="129"/>
      <c r="AR149" s="129"/>
      <c r="AS149" s="129"/>
      <c r="AT149" s="129"/>
      <c r="AU149" s="129"/>
      <c r="AV149" s="129"/>
      <c r="AW149" s="129"/>
      <c r="AX149" s="129"/>
      <c r="AY149" s="129"/>
    </row>
    <row r="150" spans="1:51" ht="14.25">
      <c r="A150" s="51"/>
      <c r="B150" s="51"/>
      <c r="C150" s="244"/>
      <c r="D150" s="646"/>
      <c r="E150" s="646"/>
      <c r="F150" s="646"/>
      <c r="G150" s="646"/>
      <c r="H150" s="646"/>
      <c r="I150" s="646"/>
      <c r="J150" s="646"/>
      <c r="K150" s="646"/>
      <c r="L150" s="646"/>
      <c r="M150" s="646"/>
      <c r="N150" s="646"/>
      <c r="O150" s="244"/>
      <c r="P150" s="244"/>
      <c r="Q150" s="244"/>
      <c r="R150" s="244"/>
      <c r="S150" s="244"/>
      <c r="T150" s="244"/>
      <c r="U150" s="244"/>
      <c r="V150" s="244"/>
      <c r="W150" s="244"/>
      <c r="X150" s="244"/>
      <c r="Y150" s="244"/>
      <c r="Z150" s="244"/>
      <c r="AA150" s="244"/>
      <c r="AB150" s="244"/>
      <c r="AC150" s="244"/>
      <c r="AD150" s="244"/>
      <c r="AE150" s="244"/>
      <c r="AF150" s="244"/>
      <c r="AG150" s="244"/>
      <c r="AH150" s="244"/>
      <c r="AI150" s="244"/>
      <c r="AJ150" s="129"/>
      <c r="AK150" s="129"/>
      <c r="AL150" s="129"/>
      <c r="AM150" s="129"/>
      <c r="AN150" s="129"/>
      <c r="AO150" s="129"/>
      <c r="AP150" s="129"/>
      <c r="AQ150" s="129"/>
      <c r="AR150" s="129"/>
      <c r="AS150" s="129"/>
      <c r="AT150" s="129"/>
      <c r="AU150" s="129"/>
      <c r="AV150" s="129"/>
      <c r="AW150" s="129"/>
      <c r="AX150" s="129"/>
      <c r="AY150" s="129"/>
    </row>
    <row r="151" spans="1:51" ht="14.25" customHeight="1">
      <c r="A151" s="51"/>
      <c r="B151" s="51"/>
      <c r="C151" s="244"/>
      <c r="D151" s="243"/>
      <c r="E151" s="244"/>
      <c r="F151" s="244"/>
      <c r="G151" s="244"/>
      <c r="H151" s="244"/>
      <c r="I151" s="244"/>
      <c r="J151" s="244"/>
      <c r="K151" s="244"/>
      <c r="L151" s="244"/>
      <c r="M151" s="244"/>
      <c r="N151" s="244"/>
      <c r="O151" s="244"/>
      <c r="P151" s="244"/>
      <c r="Q151" s="244"/>
      <c r="R151" s="244"/>
      <c r="S151" s="244"/>
      <c r="T151" s="244"/>
      <c r="U151" s="244"/>
      <c r="V151" s="244"/>
      <c r="W151" s="244"/>
      <c r="X151" s="244"/>
      <c r="Y151" s="244"/>
      <c r="Z151" s="244"/>
      <c r="AA151" s="244"/>
      <c r="AB151" s="244"/>
      <c r="AC151" s="244"/>
      <c r="AD151" s="244"/>
      <c r="AE151" s="244"/>
      <c r="AF151" s="244"/>
      <c r="AG151" s="244"/>
      <c r="AH151" s="244"/>
      <c r="AI151" s="244"/>
      <c r="AJ151" s="129"/>
      <c r="AK151" s="129"/>
      <c r="AL151" s="129"/>
      <c r="AM151" s="129"/>
      <c r="AN151" s="129"/>
      <c r="AO151" s="129"/>
      <c r="AP151" s="129"/>
      <c r="AQ151" s="129"/>
      <c r="AR151" s="129"/>
      <c r="AS151" s="129"/>
      <c r="AT151" s="129"/>
      <c r="AU151" s="129"/>
      <c r="AV151" s="129"/>
      <c r="AW151" s="129"/>
      <c r="AX151" s="129"/>
      <c r="AY151" s="129"/>
    </row>
    <row r="152" spans="1:51" ht="14.25">
      <c r="A152" s="51"/>
      <c r="B152" s="51"/>
      <c r="C152" s="244"/>
      <c r="D152" s="244"/>
      <c r="E152" s="244"/>
      <c r="F152" s="244"/>
      <c r="G152" s="244"/>
      <c r="H152" s="244"/>
      <c r="I152" s="244"/>
      <c r="J152" s="244"/>
      <c r="K152" s="244"/>
      <c r="L152" s="244"/>
      <c r="M152" s="244"/>
      <c r="N152" s="244"/>
      <c r="O152" s="244"/>
      <c r="P152" s="244"/>
      <c r="Q152" s="244"/>
      <c r="R152" s="244"/>
      <c r="S152" s="244"/>
      <c r="T152" s="244"/>
      <c r="U152" s="244"/>
      <c r="V152" s="244"/>
      <c r="W152" s="244"/>
      <c r="X152" s="244"/>
      <c r="Y152" s="244"/>
      <c r="Z152" s="244"/>
      <c r="AA152" s="244"/>
      <c r="AB152" s="244"/>
      <c r="AC152" s="244"/>
      <c r="AD152" s="244"/>
      <c r="AE152" s="244"/>
      <c r="AF152" s="244"/>
      <c r="AG152" s="244"/>
      <c r="AH152" s="244"/>
      <c r="AI152" s="244"/>
      <c r="AJ152" s="129"/>
      <c r="AK152" s="129"/>
      <c r="AL152" s="129"/>
      <c r="AM152" s="129"/>
      <c r="AN152" s="129"/>
      <c r="AO152" s="129"/>
      <c r="AP152" s="129"/>
      <c r="AQ152" s="129"/>
      <c r="AR152" s="129"/>
      <c r="AS152" s="129"/>
      <c r="AT152" s="129"/>
      <c r="AU152" s="129"/>
      <c r="AV152" s="129"/>
      <c r="AW152" s="129"/>
      <c r="AX152" s="129"/>
      <c r="AY152" s="129"/>
    </row>
    <row r="153" spans="1:51" ht="14.25">
      <c r="A153" s="51"/>
      <c r="B153" s="51"/>
      <c r="C153" s="244"/>
      <c r="D153" s="646"/>
      <c r="E153" s="646"/>
      <c r="F153" s="646"/>
      <c r="G153" s="646"/>
      <c r="H153" s="646"/>
      <c r="I153" s="646"/>
      <c r="J153" s="646"/>
      <c r="K153" s="646"/>
      <c r="L153" s="646"/>
      <c r="M153" s="646"/>
      <c r="N153" s="646"/>
      <c r="O153" s="244"/>
      <c r="P153" s="244"/>
      <c r="Q153" s="244"/>
      <c r="R153" s="244"/>
      <c r="S153" s="244"/>
      <c r="T153" s="244"/>
      <c r="U153" s="244"/>
      <c r="V153" s="244"/>
      <c r="W153" s="244"/>
      <c r="X153" s="244"/>
      <c r="Y153" s="244"/>
      <c r="Z153" s="244"/>
      <c r="AA153" s="244"/>
      <c r="AB153" s="244"/>
      <c r="AC153" s="244"/>
      <c r="AD153" s="244"/>
      <c r="AE153" s="244"/>
      <c r="AF153" s="244"/>
      <c r="AG153" s="244"/>
      <c r="AH153" s="244"/>
      <c r="AI153" s="244"/>
      <c r="AJ153" s="129"/>
      <c r="AK153" s="129"/>
      <c r="AL153" s="129"/>
      <c r="AM153" s="129"/>
      <c r="AN153" s="129"/>
      <c r="AO153" s="129"/>
      <c r="AP153" s="129"/>
      <c r="AQ153" s="129"/>
      <c r="AR153" s="129"/>
      <c r="AS153" s="129"/>
      <c r="AT153" s="129"/>
      <c r="AU153" s="129"/>
      <c r="AV153" s="129"/>
      <c r="AW153" s="129"/>
      <c r="AX153" s="129"/>
      <c r="AY153" s="129"/>
    </row>
    <row r="154" spans="1:51" ht="14.25">
      <c r="A154" s="51"/>
      <c r="B154" s="51"/>
      <c r="C154" s="244"/>
      <c r="D154" s="646"/>
      <c r="E154" s="646"/>
      <c r="F154" s="646"/>
      <c r="G154" s="646"/>
      <c r="H154" s="646"/>
      <c r="I154" s="646"/>
      <c r="J154" s="646"/>
      <c r="K154" s="646"/>
      <c r="L154" s="646"/>
      <c r="M154" s="646"/>
      <c r="N154" s="646"/>
      <c r="O154" s="244"/>
      <c r="P154" s="244"/>
      <c r="Q154" s="244"/>
      <c r="R154" s="244"/>
      <c r="S154" s="244"/>
      <c r="T154" s="244"/>
      <c r="U154" s="244"/>
      <c r="V154" s="244"/>
      <c r="W154" s="244"/>
      <c r="X154" s="244"/>
      <c r="Y154" s="244"/>
      <c r="Z154" s="244"/>
      <c r="AA154" s="244"/>
      <c r="AB154" s="244"/>
      <c r="AC154" s="244"/>
      <c r="AD154" s="244"/>
      <c r="AE154" s="244"/>
      <c r="AF154" s="244"/>
      <c r="AG154" s="244"/>
      <c r="AH154" s="244"/>
      <c r="AI154" s="244"/>
      <c r="AJ154" s="129"/>
      <c r="AK154" s="129"/>
      <c r="AL154" s="129"/>
      <c r="AM154" s="129"/>
      <c r="AN154" s="129"/>
      <c r="AO154" s="129"/>
      <c r="AP154" s="129"/>
      <c r="AQ154" s="129"/>
      <c r="AR154" s="129"/>
      <c r="AS154" s="129"/>
      <c r="AT154" s="129"/>
      <c r="AU154" s="129"/>
      <c r="AV154" s="129"/>
      <c r="AW154" s="129"/>
      <c r="AX154" s="129"/>
      <c r="AY154" s="129"/>
    </row>
    <row r="155" spans="1:51" ht="14.25">
      <c r="A155" s="51"/>
      <c r="B155" s="51"/>
      <c r="C155" s="244"/>
      <c r="D155" s="646"/>
      <c r="E155" s="646"/>
      <c r="F155" s="646"/>
      <c r="G155" s="646"/>
      <c r="H155" s="646"/>
      <c r="I155" s="646"/>
      <c r="J155" s="646"/>
      <c r="K155" s="646"/>
      <c r="L155" s="646"/>
      <c r="M155" s="646"/>
      <c r="N155" s="646"/>
      <c r="O155" s="244"/>
      <c r="P155" s="244"/>
      <c r="Q155" s="244"/>
      <c r="R155" s="244"/>
      <c r="S155" s="244"/>
      <c r="T155" s="244"/>
      <c r="U155" s="244"/>
      <c r="V155" s="244"/>
      <c r="W155" s="244"/>
      <c r="X155" s="244"/>
      <c r="Y155" s="244"/>
      <c r="Z155" s="244"/>
      <c r="AA155" s="244"/>
      <c r="AB155" s="244"/>
      <c r="AC155" s="244"/>
      <c r="AD155" s="244"/>
      <c r="AE155" s="244"/>
      <c r="AF155" s="244"/>
      <c r="AG155" s="244"/>
      <c r="AH155" s="244"/>
      <c r="AI155" s="244"/>
      <c r="AJ155" s="129"/>
      <c r="AK155" s="129"/>
      <c r="AL155" s="129"/>
      <c r="AM155" s="129"/>
      <c r="AN155" s="129"/>
      <c r="AO155" s="129"/>
      <c r="AP155" s="129"/>
      <c r="AQ155" s="129"/>
      <c r="AR155" s="129"/>
      <c r="AS155" s="129"/>
      <c r="AT155" s="129"/>
      <c r="AU155" s="129"/>
      <c r="AV155" s="129"/>
      <c r="AW155" s="129"/>
      <c r="AX155" s="129"/>
      <c r="AY155" s="129"/>
    </row>
    <row r="156" spans="1:51" ht="14.25">
      <c r="A156" s="51"/>
      <c r="B156" s="51"/>
      <c r="C156" s="244"/>
      <c r="D156" s="646"/>
      <c r="E156" s="646"/>
      <c r="F156" s="646"/>
      <c r="G156" s="646"/>
      <c r="H156" s="646"/>
      <c r="I156" s="646"/>
      <c r="J156" s="646"/>
      <c r="K156" s="646"/>
      <c r="L156" s="646"/>
      <c r="M156" s="646"/>
      <c r="N156" s="646"/>
      <c r="O156" s="244"/>
      <c r="P156" s="244"/>
      <c r="Q156" s="244"/>
      <c r="R156" s="244"/>
      <c r="S156" s="244"/>
      <c r="T156" s="244"/>
      <c r="U156" s="244"/>
      <c r="V156" s="244"/>
      <c r="W156" s="244"/>
      <c r="X156" s="244"/>
      <c r="Y156" s="244"/>
      <c r="Z156" s="244"/>
      <c r="AA156" s="244"/>
      <c r="AB156" s="244"/>
      <c r="AC156" s="244"/>
      <c r="AD156" s="244"/>
      <c r="AE156" s="244"/>
      <c r="AF156" s="244"/>
      <c r="AG156" s="244"/>
      <c r="AH156" s="244"/>
      <c r="AI156" s="244"/>
      <c r="AJ156" s="129"/>
      <c r="AK156" s="129"/>
      <c r="AL156" s="129"/>
      <c r="AM156" s="129"/>
      <c r="AN156" s="129"/>
      <c r="AO156" s="129"/>
      <c r="AP156" s="129"/>
      <c r="AQ156" s="129"/>
      <c r="AR156" s="129"/>
      <c r="AS156" s="129"/>
      <c r="AT156" s="129"/>
      <c r="AU156" s="129"/>
      <c r="AV156" s="129"/>
      <c r="AW156" s="129"/>
      <c r="AX156" s="129"/>
      <c r="AY156" s="129"/>
    </row>
    <row r="157" spans="1:51" ht="14.25">
      <c r="A157" s="51"/>
      <c r="B157" s="51"/>
      <c r="C157" s="244"/>
      <c r="D157" s="244"/>
      <c r="E157" s="244"/>
      <c r="F157" s="244"/>
      <c r="G157" s="244"/>
      <c r="H157" s="244"/>
      <c r="I157" s="244"/>
      <c r="J157" s="244"/>
      <c r="K157" s="244"/>
      <c r="L157" s="244"/>
      <c r="M157" s="244"/>
      <c r="N157" s="244"/>
      <c r="O157" s="244"/>
      <c r="P157" s="244"/>
      <c r="Q157" s="244"/>
      <c r="R157" s="244"/>
      <c r="S157" s="244"/>
      <c r="T157" s="244"/>
      <c r="U157" s="244"/>
      <c r="V157" s="244"/>
      <c r="W157" s="244"/>
      <c r="X157" s="244"/>
      <c r="Y157" s="244"/>
      <c r="Z157" s="244"/>
      <c r="AA157" s="244"/>
      <c r="AB157" s="244"/>
      <c r="AC157" s="244"/>
      <c r="AD157" s="244"/>
      <c r="AE157" s="244"/>
      <c r="AF157" s="244"/>
      <c r="AG157" s="244"/>
      <c r="AH157" s="244"/>
      <c r="AI157" s="244"/>
      <c r="AJ157" s="129"/>
      <c r="AK157" s="129"/>
      <c r="AL157" s="129"/>
      <c r="AM157" s="129"/>
      <c r="AN157" s="129"/>
      <c r="AO157" s="129"/>
      <c r="AP157" s="129"/>
      <c r="AQ157" s="129"/>
      <c r="AR157" s="129"/>
      <c r="AS157" s="129"/>
      <c r="AT157" s="129"/>
      <c r="AU157" s="129"/>
      <c r="AV157" s="129"/>
      <c r="AW157" s="129"/>
      <c r="AX157" s="129"/>
      <c r="AY157" s="129"/>
    </row>
    <row r="158" spans="1:51" ht="14.25">
      <c r="A158" s="51"/>
      <c r="B158" s="51"/>
      <c r="C158" s="244"/>
      <c r="D158" s="244"/>
      <c r="E158" s="244"/>
      <c r="F158" s="244"/>
      <c r="G158" s="244"/>
      <c r="H158" s="244"/>
      <c r="I158" s="244"/>
      <c r="J158" s="244"/>
      <c r="K158" s="244"/>
      <c r="L158" s="244"/>
      <c r="M158" s="244"/>
      <c r="N158" s="244"/>
      <c r="O158" s="244"/>
      <c r="P158" s="244"/>
      <c r="Q158" s="244"/>
      <c r="R158" s="244"/>
      <c r="S158" s="244"/>
      <c r="T158" s="244"/>
      <c r="U158" s="244"/>
      <c r="V158" s="244"/>
      <c r="W158" s="244"/>
      <c r="X158" s="244"/>
      <c r="Y158" s="244"/>
      <c r="Z158" s="244"/>
      <c r="AA158" s="244"/>
      <c r="AB158" s="244"/>
      <c r="AC158" s="244"/>
      <c r="AD158" s="244"/>
      <c r="AE158" s="244"/>
      <c r="AF158" s="244"/>
      <c r="AG158" s="244"/>
      <c r="AH158" s="244"/>
      <c r="AI158" s="244"/>
      <c r="AJ158" s="129"/>
      <c r="AK158" s="129"/>
      <c r="AL158" s="129"/>
      <c r="AM158" s="129"/>
      <c r="AN158" s="129"/>
      <c r="AO158" s="129"/>
      <c r="AP158" s="129"/>
      <c r="AQ158" s="129"/>
      <c r="AR158" s="129"/>
      <c r="AS158" s="129"/>
      <c r="AT158" s="129"/>
      <c r="AU158" s="129"/>
      <c r="AV158" s="129"/>
      <c r="AW158" s="129"/>
      <c r="AX158" s="129"/>
      <c r="AY158" s="129"/>
    </row>
    <row r="159" spans="1:51" ht="14.25">
      <c r="A159" s="51"/>
      <c r="B159" s="51"/>
      <c r="C159" s="244"/>
      <c r="D159" s="244"/>
      <c r="E159" s="244"/>
      <c r="F159" s="244"/>
      <c r="G159" s="244"/>
      <c r="H159" s="244"/>
      <c r="I159" s="244"/>
      <c r="J159" s="244"/>
      <c r="K159" s="244"/>
      <c r="L159" s="244"/>
      <c r="M159" s="244"/>
      <c r="N159" s="244"/>
      <c r="O159" s="244"/>
      <c r="P159" s="244"/>
      <c r="Q159" s="244"/>
      <c r="R159" s="244"/>
      <c r="S159" s="244"/>
      <c r="T159" s="244"/>
      <c r="U159" s="244"/>
      <c r="V159" s="244"/>
      <c r="W159" s="244"/>
      <c r="X159" s="244"/>
      <c r="Y159" s="244"/>
      <c r="Z159" s="244"/>
      <c r="AA159" s="244"/>
      <c r="AB159" s="244"/>
      <c r="AC159" s="244"/>
      <c r="AD159" s="244"/>
      <c r="AE159" s="244"/>
      <c r="AF159" s="244"/>
      <c r="AG159" s="244"/>
      <c r="AH159" s="244"/>
      <c r="AI159" s="244"/>
      <c r="AJ159" s="129"/>
      <c r="AK159" s="129"/>
      <c r="AL159" s="129"/>
      <c r="AM159" s="129"/>
      <c r="AN159" s="129"/>
      <c r="AO159" s="129"/>
      <c r="AP159" s="129"/>
      <c r="AQ159" s="129"/>
      <c r="AR159" s="129"/>
      <c r="AS159" s="129"/>
      <c r="AT159" s="129"/>
      <c r="AU159" s="129"/>
      <c r="AV159" s="129"/>
      <c r="AW159" s="129"/>
      <c r="AX159" s="129"/>
      <c r="AY159" s="129"/>
    </row>
    <row r="160" spans="1:51" ht="14.25">
      <c r="A160" s="51"/>
      <c r="B160" s="51"/>
      <c r="C160" s="244"/>
      <c r="D160" s="244"/>
      <c r="E160" s="244"/>
      <c r="F160" s="244"/>
      <c r="G160" s="244"/>
      <c r="H160" s="244"/>
      <c r="I160" s="244"/>
      <c r="J160" s="244"/>
      <c r="K160" s="244"/>
      <c r="L160" s="244"/>
      <c r="M160" s="244"/>
      <c r="N160" s="244"/>
      <c r="O160" s="244"/>
      <c r="P160" s="244"/>
      <c r="Q160" s="244"/>
      <c r="R160" s="244"/>
      <c r="S160" s="244"/>
      <c r="T160" s="244"/>
      <c r="U160" s="244"/>
      <c r="V160" s="244"/>
      <c r="W160" s="244"/>
      <c r="X160" s="244"/>
      <c r="Y160" s="244"/>
      <c r="Z160" s="244"/>
      <c r="AA160" s="244"/>
      <c r="AB160" s="244"/>
      <c r="AC160" s="244"/>
      <c r="AD160" s="244"/>
      <c r="AE160" s="244"/>
      <c r="AF160" s="244"/>
      <c r="AG160" s="244"/>
      <c r="AH160" s="244"/>
      <c r="AI160" s="244"/>
      <c r="AJ160" s="129"/>
      <c r="AK160" s="129"/>
      <c r="AL160" s="129"/>
      <c r="AM160" s="129"/>
      <c r="AN160" s="129"/>
      <c r="AO160" s="129"/>
      <c r="AP160" s="129"/>
      <c r="AQ160" s="129"/>
      <c r="AR160" s="129"/>
      <c r="AS160" s="129"/>
      <c r="AT160" s="129"/>
      <c r="AU160" s="129"/>
      <c r="AV160" s="129"/>
      <c r="AW160" s="129"/>
      <c r="AX160" s="129"/>
      <c r="AY160" s="129"/>
    </row>
    <row r="161" spans="1:51" ht="14.25">
      <c r="A161" s="51"/>
      <c r="B161" s="51"/>
      <c r="C161" s="244"/>
      <c r="D161" s="244"/>
      <c r="E161" s="244"/>
      <c r="F161" s="244"/>
      <c r="G161" s="244"/>
      <c r="H161" s="244"/>
      <c r="I161" s="244"/>
      <c r="J161" s="244"/>
      <c r="K161" s="244"/>
      <c r="L161" s="244"/>
      <c r="M161" s="244"/>
      <c r="N161" s="244"/>
      <c r="O161" s="244"/>
      <c r="P161" s="244"/>
      <c r="Q161" s="244"/>
      <c r="R161" s="244"/>
      <c r="S161" s="244"/>
      <c r="T161" s="244"/>
      <c r="U161" s="244"/>
      <c r="V161" s="244"/>
      <c r="W161" s="244"/>
      <c r="X161" s="244"/>
      <c r="Y161" s="244"/>
      <c r="Z161" s="244"/>
      <c r="AA161" s="244"/>
      <c r="AB161" s="244"/>
      <c r="AC161" s="244"/>
      <c r="AD161" s="244"/>
      <c r="AE161" s="244"/>
      <c r="AF161" s="244"/>
      <c r="AG161" s="244"/>
      <c r="AH161" s="244"/>
      <c r="AI161" s="244"/>
      <c r="AJ161" s="129"/>
      <c r="AK161" s="129"/>
      <c r="AL161" s="129"/>
      <c r="AM161" s="129"/>
      <c r="AN161" s="129"/>
      <c r="AO161" s="129"/>
      <c r="AP161" s="129"/>
      <c r="AQ161" s="129"/>
      <c r="AR161" s="129"/>
      <c r="AS161" s="129"/>
      <c r="AT161" s="129"/>
      <c r="AU161" s="129"/>
      <c r="AV161" s="129"/>
      <c r="AW161" s="129"/>
      <c r="AX161" s="129"/>
      <c r="AY161" s="129"/>
    </row>
    <row r="162" spans="1:51" ht="14.25">
      <c r="A162" s="51"/>
      <c r="B162" s="51"/>
      <c r="C162" s="244"/>
      <c r="D162" s="244"/>
      <c r="E162" s="244"/>
      <c r="F162" s="244"/>
      <c r="G162" s="244"/>
      <c r="H162" s="244"/>
      <c r="I162" s="244"/>
      <c r="J162" s="244"/>
      <c r="K162" s="244"/>
      <c r="L162" s="244"/>
      <c r="M162" s="244"/>
      <c r="N162" s="244"/>
      <c r="O162" s="244"/>
      <c r="P162" s="244"/>
      <c r="Q162" s="244"/>
      <c r="R162" s="244"/>
      <c r="S162" s="244"/>
      <c r="T162" s="244"/>
      <c r="U162" s="244"/>
      <c r="V162" s="244"/>
      <c r="W162" s="244"/>
      <c r="X162" s="244"/>
      <c r="Y162" s="244"/>
      <c r="Z162" s="244"/>
      <c r="AA162" s="244"/>
      <c r="AB162" s="244"/>
      <c r="AC162" s="244"/>
      <c r="AD162" s="244"/>
      <c r="AE162" s="244"/>
      <c r="AF162" s="244"/>
      <c r="AG162" s="244"/>
      <c r="AH162" s="244"/>
      <c r="AI162" s="244"/>
      <c r="AJ162" s="129"/>
      <c r="AK162" s="129"/>
      <c r="AL162" s="129"/>
      <c r="AM162" s="129"/>
      <c r="AN162" s="129"/>
      <c r="AO162" s="129"/>
      <c r="AP162" s="129"/>
      <c r="AQ162" s="129"/>
      <c r="AR162" s="129"/>
      <c r="AS162" s="129"/>
      <c r="AT162" s="129"/>
      <c r="AU162" s="129"/>
      <c r="AV162" s="129"/>
      <c r="AW162" s="129"/>
      <c r="AX162" s="129"/>
      <c r="AY162" s="129"/>
    </row>
    <row r="163" spans="1:51" ht="14.25">
      <c r="A163" s="51"/>
      <c r="B163" s="51"/>
      <c r="C163" s="244"/>
      <c r="D163" s="244"/>
      <c r="E163" s="244"/>
      <c r="F163" s="244"/>
      <c r="G163" s="244"/>
      <c r="H163" s="244"/>
      <c r="I163" s="244"/>
      <c r="J163" s="244"/>
      <c r="K163" s="244"/>
      <c r="L163" s="244"/>
      <c r="M163" s="244"/>
      <c r="N163" s="244"/>
      <c r="O163" s="244"/>
      <c r="P163" s="244"/>
      <c r="Q163" s="244"/>
      <c r="R163" s="244"/>
      <c r="S163" s="244"/>
      <c r="T163" s="244"/>
      <c r="U163" s="244"/>
      <c r="V163" s="244"/>
      <c r="W163" s="244"/>
      <c r="X163" s="244"/>
      <c r="Y163" s="244"/>
      <c r="Z163" s="244"/>
      <c r="AA163" s="244"/>
      <c r="AB163" s="244"/>
      <c r="AC163" s="244"/>
      <c r="AD163" s="244"/>
      <c r="AE163" s="244"/>
      <c r="AF163" s="244"/>
      <c r="AG163" s="244"/>
      <c r="AH163" s="244"/>
      <c r="AI163" s="244"/>
      <c r="AJ163" s="129"/>
      <c r="AK163" s="129"/>
      <c r="AL163" s="129"/>
      <c r="AM163" s="129"/>
      <c r="AN163" s="129"/>
      <c r="AO163" s="129"/>
      <c r="AP163" s="129"/>
      <c r="AQ163" s="129"/>
      <c r="AR163" s="129"/>
      <c r="AS163" s="129"/>
      <c r="AT163" s="129"/>
      <c r="AU163" s="129"/>
      <c r="AV163" s="129"/>
      <c r="AW163" s="129"/>
      <c r="AX163" s="129"/>
      <c r="AY163" s="129"/>
    </row>
    <row r="164" spans="1:51" ht="14.25">
      <c r="A164" s="51"/>
      <c r="B164" s="51"/>
      <c r="C164" s="244"/>
      <c r="D164" s="244"/>
      <c r="E164" s="244"/>
      <c r="F164" s="244"/>
      <c r="G164" s="244"/>
      <c r="H164" s="244"/>
      <c r="I164" s="244"/>
      <c r="J164" s="244"/>
      <c r="K164" s="244"/>
      <c r="L164" s="244"/>
      <c r="M164" s="244"/>
      <c r="N164" s="244"/>
      <c r="O164" s="244"/>
      <c r="P164" s="244"/>
      <c r="Q164" s="244"/>
      <c r="R164" s="244"/>
      <c r="S164" s="244"/>
      <c r="T164" s="244"/>
      <c r="U164" s="244"/>
      <c r="V164" s="244"/>
      <c r="W164" s="244"/>
      <c r="X164" s="244"/>
      <c r="Y164" s="244"/>
      <c r="Z164" s="244"/>
      <c r="AA164" s="244"/>
      <c r="AB164" s="244"/>
      <c r="AC164" s="244"/>
      <c r="AD164" s="244"/>
      <c r="AE164" s="244"/>
      <c r="AF164" s="244"/>
      <c r="AG164" s="244"/>
      <c r="AH164" s="244"/>
      <c r="AI164" s="244"/>
      <c r="AJ164" s="129"/>
      <c r="AK164" s="129"/>
      <c r="AL164" s="129"/>
      <c r="AM164" s="129"/>
      <c r="AN164" s="129"/>
      <c r="AO164" s="129"/>
      <c r="AP164" s="129"/>
      <c r="AQ164" s="129"/>
      <c r="AR164" s="129"/>
      <c r="AS164" s="129"/>
      <c r="AT164" s="129"/>
      <c r="AU164" s="129"/>
      <c r="AV164" s="129"/>
      <c r="AW164" s="129"/>
      <c r="AX164" s="129"/>
      <c r="AY164" s="129"/>
    </row>
    <row r="165" spans="1:51" ht="14.25">
      <c r="A165" s="51"/>
      <c r="B165" s="51"/>
      <c r="C165" s="244"/>
      <c r="D165" s="244"/>
      <c r="E165" s="244"/>
      <c r="F165" s="244"/>
      <c r="G165" s="244"/>
      <c r="H165" s="244"/>
      <c r="I165" s="244"/>
      <c r="J165" s="244"/>
      <c r="K165" s="244"/>
      <c r="L165" s="244"/>
      <c r="M165" s="244"/>
      <c r="N165" s="244"/>
      <c r="O165" s="244"/>
      <c r="P165" s="244"/>
      <c r="Q165" s="244"/>
      <c r="R165" s="244"/>
      <c r="S165" s="244"/>
      <c r="T165" s="244"/>
      <c r="U165" s="244"/>
      <c r="V165" s="244"/>
      <c r="W165" s="244"/>
      <c r="X165" s="244"/>
      <c r="Y165" s="244"/>
      <c r="Z165" s="244"/>
      <c r="AA165" s="244"/>
      <c r="AB165" s="244"/>
      <c r="AC165" s="244"/>
      <c r="AD165" s="244"/>
      <c r="AE165" s="244"/>
      <c r="AF165" s="244"/>
      <c r="AG165" s="244"/>
      <c r="AH165" s="244"/>
      <c r="AI165" s="244"/>
      <c r="AJ165" s="129"/>
      <c r="AK165" s="129"/>
      <c r="AL165" s="129"/>
      <c r="AM165" s="129"/>
      <c r="AN165" s="129"/>
      <c r="AO165" s="129"/>
      <c r="AP165" s="129"/>
      <c r="AQ165" s="129"/>
      <c r="AR165" s="129"/>
      <c r="AS165" s="129"/>
      <c r="AT165" s="129"/>
      <c r="AU165" s="129"/>
      <c r="AV165" s="129"/>
      <c r="AW165" s="129"/>
      <c r="AX165" s="129"/>
      <c r="AY165" s="129"/>
    </row>
    <row r="166" spans="1:51" ht="14.25">
      <c r="A166" s="51"/>
      <c r="B166" s="51"/>
      <c r="C166" s="244"/>
      <c r="D166" s="244"/>
      <c r="E166" s="244"/>
      <c r="F166" s="244"/>
      <c r="G166" s="244"/>
      <c r="H166" s="244"/>
      <c r="I166" s="244"/>
      <c r="J166" s="244"/>
      <c r="K166" s="244"/>
      <c r="L166" s="244"/>
      <c r="M166" s="244"/>
      <c r="N166" s="244"/>
      <c r="O166" s="244"/>
      <c r="P166" s="244"/>
      <c r="Q166" s="244"/>
      <c r="R166" s="244"/>
      <c r="S166" s="244"/>
      <c r="T166" s="244"/>
      <c r="U166" s="244"/>
      <c r="V166" s="244"/>
      <c r="W166" s="244"/>
      <c r="X166" s="244"/>
      <c r="Y166" s="244"/>
      <c r="Z166" s="244"/>
      <c r="AA166" s="244"/>
      <c r="AB166" s="244"/>
      <c r="AC166" s="244"/>
      <c r="AD166" s="244"/>
      <c r="AE166" s="244"/>
      <c r="AF166" s="244"/>
      <c r="AG166" s="244"/>
      <c r="AH166" s="244"/>
      <c r="AI166" s="244"/>
      <c r="AJ166" s="129"/>
      <c r="AK166" s="129"/>
      <c r="AL166" s="129"/>
      <c r="AM166" s="129"/>
      <c r="AN166" s="129"/>
      <c r="AO166" s="129"/>
      <c r="AP166" s="129"/>
      <c r="AQ166" s="129"/>
      <c r="AR166" s="129"/>
      <c r="AS166" s="129"/>
      <c r="AT166" s="129"/>
      <c r="AU166" s="129"/>
      <c r="AV166" s="129"/>
      <c r="AW166" s="129"/>
      <c r="AX166" s="129"/>
      <c r="AY166" s="129"/>
    </row>
    <row r="167" spans="1:51" ht="14.25">
      <c r="A167" s="51"/>
      <c r="B167" s="51"/>
      <c r="C167" s="244"/>
      <c r="D167" s="244"/>
      <c r="E167" s="244"/>
      <c r="F167" s="244"/>
      <c r="G167" s="244"/>
      <c r="H167" s="244"/>
      <c r="I167" s="244"/>
      <c r="J167" s="244"/>
      <c r="K167" s="244"/>
      <c r="L167" s="244"/>
      <c r="M167" s="244"/>
      <c r="N167" s="244"/>
      <c r="O167" s="244"/>
      <c r="P167" s="244"/>
      <c r="Q167" s="244"/>
      <c r="R167" s="244"/>
      <c r="S167" s="244"/>
      <c r="T167" s="244"/>
      <c r="U167" s="244"/>
      <c r="V167" s="244"/>
      <c r="W167" s="244"/>
      <c r="X167" s="244"/>
      <c r="Y167" s="244"/>
      <c r="Z167" s="244"/>
      <c r="AA167" s="244"/>
      <c r="AB167" s="244"/>
      <c r="AC167" s="244"/>
      <c r="AD167" s="244"/>
      <c r="AE167" s="244"/>
      <c r="AF167" s="244"/>
      <c r="AG167" s="244"/>
      <c r="AH167" s="244"/>
      <c r="AI167" s="244"/>
      <c r="AJ167" s="129"/>
      <c r="AK167" s="129"/>
      <c r="AL167" s="129"/>
      <c r="AM167" s="129"/>
      <c r="AN167" s="129"/>
      <c r="AO167" s="129"/>
      <c r="AP167" s="129"/>
      <c r="AQ167" s="129"/>
      <c r="AR167" s="129"/>
      <c r="AS167" s="129"/>
      <c r="AT167" s="129"/>
      <c r="AU167" s="129"/>
      <c r="AV167" s="129"/>
      <c r="AW167" s="129"/>
      <c r="AX167" s="129"/>
      <c r="AY167" s="129"/>
    </row>
    <row r="168" spans="1:51" ht="14.25">
      <c r="A168" s="51"/>
      <c r="B168" s="51"/>
      <c r="C168" s="244"/>
      <c r="D168" s="244"/>
      <c r="E168" s="244"/>
      <c r="F168" s="244"/>
      <c r="G168" s="244"/>
      <c r="H168" s="244"/>
      <c r="I168" s="244"/>
      <c r="J168" s="244"/>
      <c r="K168" s="244"/>
      <c r="L168" s="244"/>
      <c r="M168" s="244"/>
      <c r="N168" s="244"/>
      <c r="O168" s="244"/>
      <c r="P168" s="244"/>
      <c r="Q168" s="244"/>
      <c r="R168" s="244"/>
      <c r="S168" s="244"/>
      <c r="T168" s="244"/>
      <c r="U168" s="244"/>
      <c r="V168" s="244"/>
      <c r="W168" s="244"/>
      <c r="X168" s="244"/>
      <c r="Y168" s="244"/>
      <c r="Z168" s="244"/>
      <c r="AA168" s="244"/>
      <c r="AB168" s="244"/>
      <c r="AC168" s="244"/>
      <c r="AD168" s="244"/>
      <c r="AE168" s="244"/>
      <c r="AF168" s="244"/>
      <c r="AG168" s="244"/>
      <c r="AH168" s="244"/>
      <c r="AI168" s="244"/>
      <c r="AJ168" s="129"/>
      <c r="AK168" s="129"/>
      <c r="AL168" s="129"/>
      <c r="AM168" s="129"/>
      <c r="AN168" s="129"/>
      <c r="AO168" s="129"/>
      <c r="AP168" s="129"/>
      <c r="AQ168" s="129"/>
      <c r="AR168" s="129"/>
      <c r="AS168" s="129"/>
      <c r="AT168" s="129"/>
      <c r="AU168" s="129"/>
      <c r="AV168" s="129"/>
      <c r="AW168" s="129"/>
      <c r="AX168" s="129"/>
      <c r="AY168" s="129"/>
    </row>
    <row r="169" spans="1:51" ht="15">
      <c r="A169" s="51"/>
      <c r="B169" s="51"/>
      <c r="C169" s="243"/>
      <c r="D169" s="243"/>
      <c r="E169" s="244"/>
      <c r="F169" s="244"/>
      <c r="G169" s="244"/>
      <c r="H169" s="244"/>
      <c r="I169" s="244"/>
      <c r="J169" s="244"/>
      <c r="K169" s="244"/>
      <c r="L169" s="244"/>
      <c r="M169" s="244"/>
      <c r="N169" s="244"/>
      <c r="O169" s="244"/>
      <c r="P169" s="244"/>
      <c r="Q169" s="244"/>
      <c r="R169" s="244"/>
      <c r="S169" s="244"/>
      <c r="T169" s="244"/>
      <c r="U169" s="244"/>
      <c r="V169" s="244"/>
      <c r="W169" s="244"/>
      <c r="X169" s="244"/>
      <c r="Y169" s="244"/>
      <c r="Z169" s="244"/>
      <c r="AA169" s="244"/>
      <c r="AB169" s="244"/>
      <c r="AC169" s="244"/>
      <c r="AD169" s="244"/>
      <c r="AE169" s="244"/>
      <c r="AF169" s="244"/>
      <c r="AG169" s="244"/>
      <c r="AH169" s="244"/>
      <c r="AI169" s="244"/>
      <c r="AJ169" s="129"/>
      <c r="AK169" s="129"/>
      <c r="AL169" s="129"/>
      <c r="AM169" s="129"/>
      <c r="AN169" s="129"/>
      <c r="AO169" s="129"/>
      <c r="AP169" s="129"/>
      <c r="AQ169" s="129"/>
      <c r="AR169" s="129"/>
      <c r="AS169" s="129"/>
      <c r="AT169" s="129"/>
      <c r="AU169" s="129"/>
      <c r="AV169" s="129"/>
      <c r="AW169" s="129"/>
      <c r="AX169" s="129"/>
      <c r="AY169" s="129"/>
    </row>
    <row r="170" spans="1:51" ht="14.25">
      <c r="A170" s="51"/>
      <c r="B170" s="51"/>
      <c r="C170" s="244"/>
      <c r="D170" s="244"/>
      <c r="E170" s="244"/>
      <c r="F170" s="244"/>
      <c r="G170" s="244"/>
      <c r="H170" s="244"/>
      <c r="I170" s="244"/>
      <c r="J170" s="244"/>
      <c r="K170" s="244"/>
      <c r="L170" s="244"/>
      <c r="M170" s="244"/>
      <c r="N170" s="244"/>
      <c r="O170" s="244"/>
      <c r="P170" s="244"/>
      <c r="Q170" s="244"/>
      <c r="R170" s="244"/>
      <c r="S170" s="244"/>
      <c r="T170" s="244"/>
      <c r="U170" s="244"/>
      <c r="V170" s="244"/>
      <c r="W170" s="244"/>
      <c r="X170" s="244"/>
      <c r="Y170" s="244"/>
      <c r="Z170" s="244"/>
      <c r="AA170" s="244"/>
      <c r="AB170" s="244"/>
      <c r="AC170" s="244"/>
      <c r="AD170" s="244"/>
      <c r="AE170" s="244"/>
      <c r="AF170" s="244"/>
      <c r="AG170" s="244"/>
      <c r="AH170" s="244"/>
      <c r="AI170" s="244"/>
      <c r="AJ170" s="129"/>
      <c r="AK170" s="129"/>
      <c r="AL170" s="129"/>
      <c r="AM170" s="129"/>
      <c r="AN170" s="129"/>
      <c r="AO170" s="129"/>
      <c r="AP170" s="129"/>
      <c r="AQ170" s="129"/>
      <c r="AR170" s="129"/>
      <c r="AS170" s="129"/>
      <c r="AT170" s="129"/>
      <c r="AU170" s="129"/>
      <c r="AV170" s="129"/>
      <c r="AW170" s="129"/>
      <c r="AX170" s="129"/>
      <c r="AY170" s="129"/>
    </row>
    <row r="171" spans="1:51" ht="14.25">
      <c r="A171" s="51"/>
      <c r="B171" s="51"/>
      <c r="C171" s="244"/>
      <c r="D171" s="646"/>
      <c r="E171" s="646"/>
      <c r="F171" s="646"/>
      <c r="G171" s="646"/>
      <c r="H171" s="646"/>
      <c r="I171" s="646"/>
      <c r="J171" s="646"/>
      <c r="K171" s="646"/>
      <c r="L171" s="646"/>
      <c r="M171" s="646"/>
      <c r="N171" s="646"/>
      <c r="O171" s="244"/>
      <c r="P171" s="244"/>
      <c r="Q171" s="244"/>
      <c r="R171" s="244"/>
      <c r="S171" s="244"/>
      <c r="T171" s="244"/>
      <c r="U171" s="244"/>
      <c r="V171" s="244"/>
      <c r="W171" s="244"/>
      <c r="X171" s="244"/>
      <c r="Y171" s="244"/>
      <c r="Z171" s="244"/>
      <c r="AA171" s="244"/>
      <c r="AB171" s="244"/>
      <c r="AC171" s="244"/>
      <c r="AD171" s="244"/>
      <c r="AE171" s="244"/>
      <c r="AF171" s="244"/>
      <c r="AG171" s="244"/>
      <c r="AH171" s="244"/>
      <c r="AI171" s="244"/>
      <c r="AJ171" s="129"/>
      <c r="AK171" s="129"/>
      <c r="AL171" s="129"/>
      <c r="AM171" s="129"/>
      <c r="AN171" s="129"/>
      <c r="AO171" s="129"/>
      <c r="AP171" s="129"/>
      <c r="AQ171" s="129"/>
      <c r="AR171" s="129"/>
      <c r="AS171" s="129"/>
      <c r="AT171" s="129"/>
      <c r="AU171" s="129"/>
      <c r="AV171" s="129"/>
      <c r="AW171" s="129"/>
      <c r="AX171" s="129"/>
      <c r="AY171" s="129"/>
    </row>
    <row r="172" spans="1:51" ht="14.25">
      <c r="A172" s="51"/>
      <c r="B172" s="51"/>
      <c r="C172" s="244"/>
      <c r="D172" s="646"/>
      <c r="E172" s="646"/>
      <c r="F172" s="646"/>
      <c r="G172" s="646"/>
      <c r="H172" s="646"/>
      <c r="I172" s="646"/>
      <c r="J172" s="646"/>
      <c r="K172" s="646"/>
      <c r="L172" s="646"/>
      <c r="M172" s="646"/>
      <c r="N172" s="646"/>
      <c r="O172" s="244"/>
      <c r="P172" s="244"/>
      <c r="Q172" s="244"/>
      <c r="R172" s="244"/>
      <c r="S172" s="244"/>
      <c r="T172" s="244"/>
      <c r="U172" s="244"/>
      <c r="V172" s="244"/>
      <c r="W172" s="244"/>
      <c r="X172" s="244"/>
      <c r="Y172" s="244"/>
      <c r="Z172" s="244"/>
      <c r="AA172" s="244"/>
      <c r="AB172" s="244"/>
      <c r="AC172" s="244"/>
      <c r="AD172" s="244"/>
      <c r="AE172" s="244"/>
      <c r="AF172" s="244"/>
      <c r="AG172" s="244"/>
      <c r="AH172" s="244"/>
      <c r="AI172" s="244"/>
      <c r="AJ172" s="129"/>
      <c r="AK172" s="129"/>
      <c r="AL172" s="129"/>
      <c r="AM172" s="129"/>
      <c r="AN172" s="129"/>
      <c r="AO172" s="129"/>
      <c r="AP172" s="129"/>
      <c r="AQ172" s="129"/>
      <c r="AR172" s="129"/>
      <c r="AS172" s="129"/>
      <c r="AT172" s="129"/>
      <c r="AU172" s="129"/>
      <c r="AV172" s="129"/>
      <c r="AW172" s="129"/>
      <c r="AX172" s="129"/>
      <c r="AY172" s="129"/>
    </row>
    <row r="173" spans="1:51" ht="14.25">
      <c r="A173" s="51"/>
      <c r="B173" s="51"/>
      <c r="C173" s="244"/>
      <c r="D173" s="646"/>
      <c r="E173" s="646"/>
      <c r="F173" s="646"/>
      <c r="G173" s="646"/>
      <c r="H173" s="646"/>
      <c r="I173" s="646"/>
      <c r="J173" s="646"/>
      <c r="K173" s="646"/>
      <c r="L173" s="646"/>
      <c r="M173" s="646"/>
      <c r="N173" s="646"/>
      <c r="O173" s="244"/>
      <c r="P173" s="244"/>
      <c r="Q173" s="244"/>
      <c r="R173" s="244"/>
      <c r="S173" s="244"/>
      <c r="T173" s="244"/>
      <c r="U173" s="244"/>
      <c r="V173" s="244"/>
      <c r="W173" s="244"/>
      <c r="X173" s="244"/>
      <c r="Y173" s="244"/>
      <c r="Z173" s="244"/>
      <c r="AA173" s="244"/>
      <c r="AB173" s="244"/>
      <c r="AC173" s="244"/>
      <c r="AD173" s="244"/>
      <c r="AE173" s="244"/>
      <c r="AF173" s="244"/>
      <c r="AG173" s="244"/>
      <c r="AH173" s="244"/>
      <c r="AI173" s="244"/>
      <c r="AJ173" s="129"/>
      <c r="AK173" s="129"/>
      <c r="AL173" s="129"/>
      <c r="AM173" s="129"/>
      <c r="AN173" s="129"/>
      <c r="AO173" s="129"/>
      <c r="AP173" s="129"/>
      <c r="AQ173" s="129"/>
      <c r="AR173" s="129"/>
      <c r="AS173" s="129"/>
      <c r="AT173" s="129"/>
      <c r="AU173" s="129"/>
      <c r="AV173" s="129"/>
      <c r="AW173" s="129"/>
      <c r="AX173" s="129"/>
      <c r="AY173" s="129"/>
    </row>
    <row r="174" spans="1:51" ht="14.25">
      <c r="A174" s="51"/>
      <c r="B174" s="51"/>
      <c r="C174" s="244"/>
      <c r="D174" s="244"/>
      <c r="E174" s="244"/>
      <c r="F174" s="244"/>
      <c r="G174" s="244"/>
      <c r="H174" s="244"/>
      <c r="I174" s="244"/>
      <c r="J174" s="244"/>
      <c r="K174" s="244"/>
      <c r="L174" s="244"/>
      <c r="M174" s="244"/>
      <c r="N174" s="244"/>
      <c r="O174" s="244"/>
      <c r="P174" s="244"/>
      <c r="Q174" s="244"/>
      <c r="R174" s="244"/>
      <c r="S174" s="244"/>
      <c r="T174" s="244"/>
      <c r="U174" s="244"/>
      <c r="V174" s="244"/>
      <c r="W174" s="244"/>
      <c r="X174" s="244"/>
      <c r="Y174" s="244"/>
      <c r="Z174" s="244"/>
      <c r="AA174" s="244"/>
      <c r="AB174" s="244"/>
      <c r="AC174" s="244"/>
      <c r="AD174" s="244"/>
      <c r="AE174" s="244"/>
      <c r="AF174" s="244"/>
      <c r="AG174" s="244"/>
      <c r="AH174" s="244"/>
      <c r="AI174" s="244"/>
      <c r="AJ174" s="129"/>
      <c r="AK174" s="129"/>
      <c r="AL174" s="129"/>
      <c r="AM174" s="129"/>
      <c r="AN174" s="129"/>
      <c r="AO174" s="129"/>
      <c r="AP174" s="129"/>
      <c r="AQ174" s="129"/>
      <c r="AR174" s="129"/>
      <c r="AS174" s="129"/>
      <c r="AT174" s="129"/>
      <c r="AU174" s="129"/>
      <c r="AV174" s="129"/>
      <c r="AW174" s="129"/>
      <c r="AX174" s="129"/>
      <c r="AY174" s="129"/>
    </row>
    <row r="175" spans="1:51" ht="14.25" customHeight="1">
      <c r="A175" s="51"/>
      <c r="B175" s="51"/>
      <c r="C175" s="51"/>
      <c r="D175" s="646"/>
      <c r="E175" s="646"/>
      <c r="F175" s="646"/>
      <c r="G175" s="646"/>
      <c r="H175" s="646"/>
      <c r="I175" s="646"/>
      <c r="J175" s="646"/>
      <c r="K175" s="646"/>
      <c r="L175" s="646"/>
      <c r="M175" s="646"/>
      <c r="N175" s="646"/>
      <c r="O175" s="51"/>
      <c r="P175" s="51"/>
      <c r="Q175" s="51"/>
      <c r="R175" s="244"/>
      <c r="S175" s="244"/>
      <c r="T175" s="244"/>
      <c r="U175" s="244"/>
      <c r="V175" s="244"/>
      <c r="W175" s="244"/>
      <c r="X175" s="244"/>
      <c r="Y175" s="244"/>
      <c r="Z175" s="244"/>
      <c r="AA175" s="244"/>
      <c r="AB175" s="244"/>
      <c r="AC175" s="244"/>
      <c r="AD175" s="244"/>
      <c r="AE175" s="244"/>
      <c r="AF175" s="244"/>
      <c r="AG175" s="244"/>
      <c r="AH175" s="244"/>
      <c r="AI175" s="244"/>
      <c r="AJ175" s="129"/>
      <c r="AK175" s="129"/>
      <c r="AL175" s="129"/>
      <c r="AM175" s="129"/>
      <c r="AN175" s="129"/>
      <c r="AO175" s="129"/>
      <c r="AP175" s="129"/>
      <c r="AQ175" s="129"/>
      <c r="AR175" s="129"/>
      <c r="AS175" s="129"/>
      <c r="AT175" s="129"/>
      <c r="AU175" s="129"/>
      <c r="AV175" s="129"/>
      <c r="AW175" s="129"/>
      <c r="AX175" s="129"/>
      <c r="AY175" s="129"/>
    </row>
    <row r="176" spans="1:51" ht="14.25">
      <c r="A176" s="51"/>
      <c r="B176" s="51"/>
      <c r="C176" s="51"/>
      <c r="D176" s="646"/>
      <c r="E176" s="646"/>
      <c r="F176" s="646"/>
      <c r="G176" s="646"/>
      <c r="H176" s="646"/>
      <c r="I176" s="646"/>
      <c r="J176" s="646"/>
      <c r="K176" s="646"/>
      <c r="L176" s="646"/>
      <c r="M176" s="646"/>
      <c r="N176" s="646"/>
      <c r="O176" s="51"/>
      <c r="P176" s="51"/>
      <c r="Q176" s="51"/>
      <c r="R176" s="244"/>
      <c r="S176" s="244"/>
      <c r="T176" s="244"/>
      <c r="U176" s="244"/>
      <c r="V176" s="244"/>
      <c r="W176" s="244"/>
      <c r="X176" s="244"/>
      <c r="Y176" s="244"/>
      <c r="Z176" s="244"/>
      <c r="AA176" s="244"/>
      <c r="AB176" s="244"/>
      <c r="AC176" s="244"/>
      <c r="AD176" s="244"/>
      <c r="AE176" s="244"/>
      <c r="AF176" s="244"/>
      <c r="AG176" s="244"/>
      <c r="AH176" s="244"/>
      <c r="AI176" s="244"/>
      <c r="AJ176" s="129"/>
      <c r="AK176" s="129"/>
      <c r="AL176" s="129"/>
      <c r="AM176" s="129"/>
      <c r="AN176" s="129"/>
      <c r="AO176" s="129"/>
      <c r="AP176" s="129"/>
      <c r="AQ176" s="129"/>
      <c r="AR176" s="129"/>
      <c r="AS176" s="129"/>
      <c r="AT176" s="129"/>
      <c r="AU176" s="129"/>
      <c r="AV176" s="129"/>
      <c r="AW176" s="129"/>
      <c r="AX176" s="129"/>
      <c r="AY176" s="129"/>
    </row>
    <row r="177" spans="1:51" ht="14.25" customHeight="1">
      <c r="A177" s="51"/>
      <c r="B177" s="51"/>
      <c r="C177" s="51"/>
      <c r="D177" s="646"/>
      <c r="E177" s="646"/>
      <c r="F177" s="646"/>
      <c r="G177" s="646"/>
      <c r="H177" s="646"/>
      <c r="I177" s="646"/>
      <c r="J177" s="646"/>
      <c r="K177" s="646"/>
      <c r="L177" s="646"/>
      <c r="M177" s="646"/>
      <c r="N177" s="646"/>
      <c r="O177" s="51"/>
      <c r="P177" s="51"/>
      <c r="Q177" s="51"/>
      <c r="R177" s="244"/>
      <c r="S177" s="244"/>
      <c r="T177" s="244"/>
      <c r="U177" s="244"/>
      <c r="V177" s="244"/>
      <c r="W177" s="244"/>
      <c r="X177" s="244"/>
      <c r="Y177" s="244"/>
      <c r="Z177" s="244"/>
      <c r="AA177" s="244"/>
      <c r="AB177" s="244"/>
      <c r="AC177" s="244"/>
      <c r="AD177" s="244"/>
      <c r="AE177" s="244"/>
      <c r="AF177" s="244"/>
      <c r="AG177" s="244"/>
      <c r="AH177" s="244"/>
      <c r="AI177" s="244"/>
      <c r="AJ177" s="129"/>
      <c r="AK177" s="129"/>
      <c r="AL177" s="129"/>
      <c r="AM177" s="129"/>
      <c r="AN177" s="129"/>
      <c r="AO177" s="129"/>
      <c r="AP177" s="129"/>
      <c r="AQ177" s="129"/>
      <c r="AR177" s="129"/>
      <c r="AS177" s="129"/>
      <c r="AT177" s="129"/>
      <c r="AU177" s="129"/>
      <c r="AV177" s="129"/>
      <c r="AW177" s="129"/>
      <c r="AX177" s="129"/>
      <c r="AY177" s="129"/>
    </row>
    <row r="178" spans="1:51" ht="14.25" customHeight="1">
      <c r="A178" s="51"/>
      <c r="B178" s="51"/>
      <c r="C178" s="51"/>
      <c r="D178" s="250"/>
      <c r="E178" s="250"/>
      <c r="F178" s="250"/>
      <c r="G178" s="250"/>
      <c r="H178" s="250"/>
      <c r="I178" s="250"/>
      <c r="J178" s="250"/>
      <c r="K178" s="250"/>
      <c r="L178" s="250"/>
      <c r="M178" s="250"/>
      <c r="N178" s="250"/>
      <c r="O178" s="51"/>
      <c r="P178" s="51"/>
      <c r="Q178" s="51"/>
      <c r="R178" s="244"/>
      <c r="S178" s="244"/>
      <c r="T178" s="244"/>
      <c r="U178" s="244"/>
      <c r="V178" s="244"/>
      <c r="W178" s="244"/>
      <c r="X178" s="244"/>
      <c r="Y178" s="244"/>
      <c r="Z178" s="244"/>
      <c r="AA178" s="244"/>
      <c r="AB178" s="244"/>
      <c r="AC178" s="244"/>
      <c r="AD178" s="244"/>
      <c r="AE178" s="244"/>
      <c r="AF178" s="244"/>
      <c r="AG178" s="244"/>
      <c r="AH178" s="244"/>
      <c r="AI178" s="244"/>
      <c r="AJ178" s="129"/>
      <c r="AK178" s="129"/>
      <c r="AL178" s="129"/>
      <c r="AM178" s="129"/>
      <c r="AN178" s="129"/>
      <c r="AO178" s="129"/>
      <c r="AP178" s="129"/>
      <c r="AQ178" s="129"/>
      <c r="AR178" s="129"/>
      <c r="AS178" s="129"/>
      <c r="AT178" s="129"/>
      <c r="AU178" s="129"/>
      <c r="AV178" s="129"/>
      <c r="AW178" s="129"/>
      <c r="AX178" s="129"/>
      <c r="AY178" s="129"/>
    </row>
    <row r="179" spans="1:51" ht="14.25" customHeight="1">
      <c r="A179" s="51"/>
      <c r="B179" s="51"/>
      <c r="C179" s="51"/>
      <c r="D179" s="646"/>
      <c r="E179" s="646"/>
      <c r="F179" s="646"/>
      <c r="G179" s="646"/>
      <c r="H179" s="646"/>
      <c r="I179" s="646"/>
      <c r="J179" s="646"/>
      <c r="K179" s="646"/>
      <c r="L179" s="646"/>
      <c r="M179" s="646"/>
      <c r="N179" s="646"/>
      <c r="O179" s="51"/>
      <c r="P179" s="51"/>
      <c r="Q179" s="51"/>
      <c r="R179" s="51"/>
      <c r="S179" s="51"/>
      <c r="T179" s="51"/>
      <c r="U179" s="51"/>
      <c r="V179" s="51"/>
      <c r="W179" s="51"/>
      <c r="X179" s="51"/>
      <c r="Y179" s="51"/>
      <c r="Z179" s="51"/>
      <c r="AA179" s="51"/>
      <c r="AB179" s="51"/>
      <c r="AC179" s="51"/>
      <c r="AD179" s="51"/>
      <c r="AE179" s="51"/>
      <c r="AF179" s="51"/>
      <c r="AG179" s="51"/>
      <c r="AH179" s="51"/>
      <c r="AI179" s="51"/>
    </row>
    <row r="180" spans="1:51" ht="14.25" customHeight="1">
      <c r="A180" s="51"/>
      <c r="B180" s="51"/>
      <c r="C180" s="51"/>
      <c r="D180" s="646"/>
      <c r="E180" s="646"/>
      <c r="F180" s="646"/>
      <c r="G180" s="646"/>
      <c r="H180" s="646"/>
      <c r="I180" s="646"/>
      <c r="J180" s="646"/>
      <c r="K180" s="646"/>
      <c r="L180" s="646"/>
      <c r="M180" s="646"/>
      <c r="N180" s="646"/>
      <c r="O180" s="51"/>
      <c r="P180" s="51"/>
      <c r="Q180" s="51"/>
      <c r="R180" s="51"/>
      <c r="S180" s="51"/>
      <c r="T180" s="51"/>
      <c r="U180" s="51"/>
      <c r="V180" s="51"/>
      <c r="W180" s="51"/>
      <c r="X180" s="51"/>
      <c r="Y180" s="51"/>
      <c r="Z180" s="51"/>
      <c r="AA180" s="51"/>
      <c r="AB180" s="51"/>
      <c r="AC180" s="51"/>
      <c r="AD180" s="51"/>
      <c r="AE180" s="51"/>
      <c r="AF180" s="51"/>
      <c r="AG180" s="51"/>
      <c r="AH180" s="51"/>
      <c r="AI180" s="51"/>
    </row>
    <row r="181" spans="1:51" ht="14.25" customHeight="1">
      <c r="A181" s="51"/>
      <c r="B181" s="51"/>
      <c r="C181" s="51"/>
      <c r="D181" s="646"/>
      <c r="E181" s="646"/>
      <c r="F181" s="646"/>
      <c r="G181" s="646"/>
      <c r="H181" s="646"/>
      <c r="I181" s="646"/>
      <c r="J181" s="646"/>
      <c r="K181" s="646"/>
      <c r="L181" s="646"/>
      <c r="M181" s="646"/>
      <c r="N181" s="646"/>
      <c r="O181" s="51"/>
      <c r="P181" s="51"/>
      <c r="Q181" s="51"/>
      <c r="R181" s="51"/>
      <c r="S181" s="51"/>
      <c r="T181" s="51"/>
      <c r="U181" s="51"/>
      <c r="V181" s="51"/>
      <c r="W181" s="51"/>
      <c r="X181" s="51"/>
      <c r="Y181" s="51"/>
      <c r="Z181" s="51"/>
      <c r="AA181" s="51"/>
      <c r="AB181" s="51"/>
      <c r="AC181" s="51"/>
      <c r="AD181" s="51"/>
      <c r="AE181" s="51"/>
      <c r="AF181" s="51"/>
      <c r="AG181" s="51"/>
      <c r="AH181" s="51"/>
      <c r="AI181" s="51"/>
    </row>
    <row r="182" spans="1:51" ht="14.25" customHeight="1">
      <c r="A182" s="51"/>
      <c r="B182" s="51"/>
      <c r="C182" s="51"/>
      <c r="D182" s="646"/>
      <c r="E182" s="646"/>
      <c r="F182" s="646"/>
      <c r="G182" s="646"/>
      <c r="H182" s="646"/>
      <c r="I182" s="646"/>
      <c r="J182" s="646"/>
      <c r="K182" s="646"/>
      <c r="L182" s="646"/>
      <c r="M182" s="646"/>
      <c r="N182" s="646"/>
      <c r="O182" s="51"/>
      <c r="P182" s="51"/>
      <c r="Q182" s="51"/>
      <c r="R182" s="51"/>
      <c r="S182" s="51"/>
      <c r="T182" s="51"/>
      <c r="U182" s="51"/>
      <c r="V182" s="51"/>
      <c r="W182" s="51"/>
      <c r="X182" s="51"/>
      <c r="Y182" s="51"/>
      <c r="Z182" s="51"/>
      <c r="AA182" s="51"/>
      <c r="AB182" s="51"/>
      <c r="AC182" s="51"/>
      <c r="AD182" s="51"/>
      <c r="AE182" s="51"/>
      <c r="AF182" s="51"/>
      <c r="AG182" s="51"/>
      <c r="AH182" s="51"/>
      <c r="AI182" s="51"/>
    </row>
    <row r="183" spans="1:51" ht="14.25">
      <c r="A183" s="51"/>
      <c r="B183" s="51"/>
      <c r="C183" s="51"/>
      <c r="D183" s="244"/>
      <c r="E183" s="244"/>
      <c r="F183" s="244"/>
      <c r="G183" s="244"/>
      <c r="H183" s="244"/>
      <c r="I183" s="244"/>
      <c r="J183" s="244"/>
      <c r="K183" s="244"/>
      <c r="L183" s="244"/>
      <c r="M183" s="244"/>
      <c r="N183" s="244"/>
      <c r="O183" s="51"/>
      <c r="P183" s="51"/>
      <c r="Q183" s="51"/>
      <c r="R183" s="51"/>
      <c r="S183" s="51"/>
      <c r="T183" s="51"/>
      <c r="U183" s="51"/>
      <c r="V183" s="51"/>
      <c r="W183" s="51"/>
      <c r="X183" s="51"/>
      <c r="Y183" s="51"/>
      <c r="Z183" s="51"/>
      <c r="AA183" s="51"/>
      <c r="AB183" s="51"/>
      <c r="AC183" s="51"/>
      <c r="AD183" s="51"/>
      <c r="AE183" s="51"/>
      <c r="AF183" s="51"/>
      <c r="AG183" s="51"/>
      <c r="AH183" s="51"/>
      <c r="AI183" s="51"/>
    </row>
    <row r="184" spans="1:51" ht="15">
      <c r="A184" s="51"/>
      <c r="B184" s="51"/>
      <c r="C184" s="243"/>
      <c r="D184" s="243"/>
      <c r="E184" s="244"/>
      <c r="F184" s="244"/>
      <c r="G184" s="244"/>
      <c r="H184" s="244"/>
      <c r="I184" s="244"/>
      <c r="J184" s="244"/>
      <c r="K184" s="244"/>
      <c r="L184" s="244"/>
      <c r="M184" s="244"/>
      <c r="N184" s="244"/>
      <c r="O184" s="51"/>
      <c r="P184" s="51"/>
      <c r="Q184" s="51"/>
      <c r="R184" s="51"/>
      <c r="S184" s="51"/>
      <c r="T184" s="51"/>
      <c r="U184" s="51"/>
      <c r="V184" s="51"/>
      <c r="W184" s="51"/>
      <c r="X184" s="51"/>
      <c r="Y184" s="51"/>
      <c r="Z184" s="51"/>
      <c r="AA184" s="51"/>
      <c r="AB184" s="51"/>
      <c r="AC184" s="51"/>
      <c r="AD184" s="51"/>
      <c r="AE184" s="51"/>
      <c r="AF184" s="51"/>
      <c r="AG184" s="51"/>
      <c r="AH184" s="51"/>
      <c r="AI184" s="51"/>
    </row>
    <row r="185" spans="1:51" ht="14.25">
      <c r="A185" s="51"/>
      <c r="B185" s="51"/>
      <c r="C185" s="51"/>
      <c r="D185" s="244"/>
      <c r="E185" s="244"/>
      <c r="F185" s="244"/>
      <c r="G185" s="244"/>
      <c r="H185" s="244"/>
      <c r="I185" s="244"/>
      <c r="J185" s="244"/>
      <c r="K185" s="244"/>
      <c r="L185" s="244"/>
      <c r="M185" s="244"/>
      <c r="N185" s="244"/>
      <c r="O185" s="51"/>
      <c r="P185" s="51"/>
      <c r="Q185" s="51"/>
      <c r="R185" s="51"/>
      <c r="S185" s="51"/>
      <c r="T185" s="51"/>
      <c r="U185" s="51"/>
      <c r="V185" s="51"/>
      <c r="W185" s="51"/>
      <c r="X185" s="51"/>
      <c r="Y185" s="51"/>
      <c r="Z185" s="51"/>
      <c r="AA185" s="51"/>
      <c r="AB185" s="51"/>
      <c r="AC185" s="51"/>
      <c r="AD185" s="51"/>
      <c r="AE185" s="51"/>
      <c r="AF185" s="51"/>
      <c r="AG185" s="51"/>
      <c r="AH185" s="51"/>
      <c r="AI185" s="51"/>
    </row>
    <row r="186" spans="1:51" ht="14.25">
      <c r="A186" s="51"/>
      <c r="B186" s="51"/>
      <c r="C186" s="51"/>
      <c r="D186" s="244"/>
      <c r="E186" s="244"/>
      <c r="F186" s="244"/>
      <c r="G186" s="244"/>
      <c r="H186" s="244"/>
      <c r="I186" s="244"/>
      <c r="J186" s="244"/>
      <c r="K186" s="244"/>
      <c r="L186" s="244"/>
      <c r="M186" s="244"/>
      <c r="N186" s="244"/>
      <c r="O186" s="51"/>
      <c r="P186" s="51"/>
      <c r="Q186" s="51"/>
      <c r="R186" s="51"/>
      <c r="S186" s="51"/>
      <c r="T186" s="51"/>
      <c r="U186" s="51"/>
      <c r="V186" s="51"/>
      <c r="W186" s="51"/>
      <c r="X186" s="51"/>
      <c r="Y186" s="51"/>
      <c r="Z186" s="51"/>
      <c r="AA186" s="51"/>
      <c r="AB186" s="51"/>
      <c r="AC186" s="51"/>
      <c r="AD186" s="51"/>
      <c r="AE186" s="51"/>
      <c r="AF186" s="51"/>
      <c r="AG186" s="51"/>
      <c r="AH186" s="51"/>
      <c r="AI186" s="51"/>
    </row>
    <row r="187" spans="1:51" ht="14.25">
      <c r="A187" s="51"/>
      <c r="B187" s="51"/>
      <c r="C187" s="51"/>
      <c r="D187" s="244"/>
      <c r="E187" s="244"/>
      <c r="F187" s="244"/>
      <c r="G187" s="244"/>
      <c r="H187" s="244"/>
      <c r="I187" s="244"/>
      <c r="J187" s="244"/>
      <c r="K187" s="244"/>
      <c r="L187" s="244"/>
      <c r="M187" s="244"/>
      <c r="N187" s="244"/>
      <c r="O187" s="51"/>
      <c r="P187" s="51"/>
      <c r="Q187" s="51"/>
      <c r="R187" s="51"/>
      <c r="S187" s="51"/>
      <c r="T187" s="51"/>
      <c r="U187" s="51"/>
      <c r="V187" s="51"/>
      <c r="W187" s="51"/>
      <c r="X187" s="51"/>
      <c r="Y187" s="51"/>
      <c r="Z187" s="51"/>
      <c r="AA187" s="51"/>
      <c r="AB187" s="51"/>
      <c r="AC187" s="51"/>
      <c r="AD187" s="51"/>
      <c r="AE187" s="51"/>
      <c r="AF187" s="51"/>
      <c r="AG187" s="51"/>
      <c r="AH187" s="51"/>
      <c r="AI187" s="51"/>
    </row>
    <row r="188" spans="1:51" ht="14.25">
      <c r="A188" s="51"/>
      <c r="B188" s="51"/>
      <c r="C188" s="51"/>
      <c r="D188" s="244"/>
      <c r="E188" s="244"/>
      <c r="F188" s="244"/>
      <c r="G188" s="244"/>
      <c r="H188" s="244"/>
      <c r="I188" s="244"/>
      <c r="J188" s="244"/>
      <c r="K188" s="244"/>
      <c r="L188" s="244"/>
      <c r="M188" s="244"/>
      <c r="N188" s="244"/>
      <c r="O188" s="51"/>
      <c r="P188" s="51"/>
      <c r="Q188" s="51"/>
      <c r="R188" s="51"/>
      <c r="S188" s="51"/>
      <c r="T188" s="51"/>
      <c r="U188" s="51"/>
      <c r="V188" s="51"/>
      <c r="W188" s="51"/>
      <c r="X188" s="51"/>
      <c r="Y188" s="51"/>
      <c r="Z188" s="51"/>
      <c r="AA188" s="51"/>
      <c r="AB188" s="51"/>
      <c r="AC188" s="51"/>
      <c r="AD188" s="51"/>
      <c r="AE188" s="51"/>
      <c r="AF188" s="51"/>
      <c r="AG188" s="51"/>
      <c r="AH188" s="51"/>
      <c r="AI188" s="51"/>
    </row>
    <row r="189" spans="1:51" ht="14.25">
      <c r="A189" s="51"/>
      <c r="B189" s="51"/>
      <c r="C189" s="51"/>
      <c r="D189" s="244"/>
      <c r="E189" s="244"/>
      <c r="F189" s="244"/>
      <c r="G189" s="244"/>
      <c r="H189" s="244"/>
      <c r="I189" s="244"/>
      <c r="J189" s="244"/>
      <c r="K189" s="244"/>
      <c r="L189" s="244"/>
      <c r="M189" s="244"/>
      <c r="N189" s="244"/>
      <c r="O189" s="51"/>
      <c r="P189" s="51"/>
      <c r="Q189" s="51"/>
      <c r="R189" s="51"/>
      <c r="S189" s="51"/>
      <c r="T189" s="51"/>
      <c r="U189" s="51"/>
      <c r="V189" s="51"/>
      <c r="W189" s="51"/>
      <c r="X189" s="51"/>
      <c r="Y189" s="51"/>
      <c r="Z189" s="51"/>
      <c r="AA189" s="51"/>
      <c r="AB189" s="51"/>
      <c r="AC189" s="51"/>
      <c r="AD189" s="51"/>
      <c r="AE189" s="51"/>
      <c r="AF189" s="51"/>
      <c r="AG189" s="51"/>
      <c r="AH189" s="51"/>
      <c r="AI189" s="51"/>
    </row>
    <row r="190" spans="1:51" ht="14.25">
      <c r="A190" s="51"/>
      <c r="B190" s="51"/>
      <c r="C190" s="51"/>
      <c r="D190" s="244"/>
      <c r="E190" s="244"/>
      <c r="F190" s="244"/>
      <c r="G190" s="244"/>
      <c r="H190" s="244"/>
      <c r="I190" s="244"/>
      <c r="J190" s="244"/>
      <c r="K190" s="244"/>
      <c r="L190" s="244"/>
      <c r="M190" s="244"/>
      <c r="N190" s="244"/>
      <c r="O190" s="51"/>
      <c r="P190" s="51"/>
      <c r="Q190" s="51"/>
      <c r="R190" s="51"/>
      <c r="S190" s="51"/>
      <c r="T190" s="51"/>
      <c r="U190" s="51"/>
      <c r="V190" s="51"/>
      <c r="W190" s="51"/>
      <c r="X190" s="51"/>
      <c r="Y190" s="51"/>
      <c r="Z190" s="51"/>
      <c r="AA190" s="51"/>
      <c r="AB190" s="51"/>
      <c r="AC190" s="51"/>
      <c r="AD190" s="51"/>
      <c r="AE190" s="51"/>
      <c r="AF190" s="51"/>
      <c r="AG190" s="51"/>
      <c r="AH190" s="51"/>
      <c r="AI190" s="51"/>
    </row>
    <row r="191" spans="1:51" ht="14.25">
      <c r="A191" s="51"/>
      <c r="B191" s="51"/>
      <c r="C191" s="51"/>
      <c r="D191" s="244"/>
      <c r="E191" s="244"/>
      <c r="F191" s="244"/>
      <c r="G191" s="244"/>
      <c r="H191" s="244"/>
      <c r="I191" s="244"/>
      <c r="J191" s="244"/>
      <c r="K191" s="244"/>
      <c r="L191" s="244"/>
      <c r="M191" s="244"/>
      <c r="N191" s="244"/>
      <c r="O191" s="51"/>
      <c r="P191" s="51"/>
      <c r="Q191" s="51"/>
      <c r="R191" s="51"/>
      <c r="S191" s="51"/>
      <c r="T191" s="51"/>
      <c r="U191" s="51"/>
      <c r="V191" s="51"/>
      <c r="W191" s="51"/>
      <c r="X191" s="51"/>
      <c r="Y191" s="51"/>
      <c r="Z191" s="51"/>
      <c r="AA191" s="51"/>
      <c r="AB191" s="51"/>
      <c r="AC191" s="51"/>
      <c r="AD191" s="51"/>
      <c r="AE191" s="51"/>
      <c r="AF191" s="51"/>
      <c r="AG191" s="51"/>
      <c r="AH191" s="51"/>
      <c r="AI191" s="51"/>
    </row>
    <row r="192" spans="1:51" ht="14.25">
      <c r="A192" s="51"/>
      <c r="B192" s="51"/>
      <c r="C192" s="51"/>
      <c r="D192" s="244"/>
      <c r="E192" s="244"/>
      <c r="F192" s="244"/>
      <c r="G192" s="244"/>
      <c r="H192" s="244"/>
      <c r="I192" s="244"/>
      <c r="J192" s="244"/>
      <c r="K192" s="244"/>
      <c r="L192" s="244"/>
      <c r="M192" s="244"/>
      <c r="N192" s="244"/>
      <c r="O192" s="51"/>
      <c r="P192" s="51"/>
      <c r="Q192" s="51"/>
      <c r="R192" s="51"/>
      <c r="S192" s="51"/>
      <c r="T192" s="51"/>
      <c r="U192" s="51"/>
      <c r="V192" s="51"/>
      <c r="W192" s="51"/>
      <c r="X192" s="51"/>
      <c r="Y192" s="51"/>
      <c r="Z192" s="51"/>
      <c r="AA192" s="51"/>
      <c r="AB192" s="51"/>
      <c r="AC192" s="51"/>
      <c r="AD192" s="51"/>
      <c r="AE192" s="51"/>
      <c r="AF192" s="51"/>
      <c r="AG192" s="51"/>
      <c r="AH192" s="51"/>
      <c r="AI192" s="51"/>
    </row>
    <row r="193" spans="1:35" ht="14.25">
      <c r="A193" s="51"/>
      <c r="B193" s="51"/>
      <c r="C193" s="51"/>
      <c r="D193" s="244"/>
      <c r="E193" s="244"/>
      <c r="F193" s="244"/>
      <c r="G193" s="244"/>
      <c r="H193" s="244"/>
      <c r="I193" s="244"/>
      <c r="J193" s="244"/>
      <c r="K193" s="244"/>
      <c r="L193" s="244"/>
      <c r="M193" s="244"/>
      <c r="N193" s="244"/>
      <c r="O193" s="51"/>
      <c r="P193" s="51"/>
      <c r="Q193" s="51"/>
      <c r="R193" s="51"/>
      <c r="S193" s="51"/>
      <c r="T193" s="51"/>
      <c r="U193" s="51"/>
      <c r="V193" s="51"/>
      <c r="W193" s="51"/>
      <c r="X193" s="51"/>
      <c r="Y193" s="51"/>
      <c r="Z193" s="51"/>
      <c r="AA193" s="51"/>
      <c r="AB193" s="51"/>
      <c r="AC193" s="51"/>
      <c r="AD193" s="51"/>
      <c r="AE193" s="51"/>
      <c r="AF193" s="51"/>
      <c r="AG193" s="51"/>
      <c r="AH193" s="51"/>
      <c r="AI193" s="51"/>
    </row>
    <row r="194" spans="1:35" ht="14.25">
      <c r="A194" s="51"/>
      <c r="B194" s="51"/>
      <c r="C194" s="51"/>
      <c r="D194" s="244"/>
      <c r="E194" s="244"/>
      <c r="F194" s="244"/>
      <c r="G194" s="244"/>
      <c r="H194" s="244"/>
      <c r="I194" s="244"/>
      <c r="J194" s="244"/>
      <c r="K194" s="244"/>
      <c r="L194" s="244"/>
      <c r="M194" s="244"/>
      <c r="N194" s="244"/>
      <c r="O194" s="51"/>
      <c r="P194" s="51"/>
      <c r="Q194" s="51"/>
      <c r="R194" s="51"/>
      <c r="S194" s="51"/>
      <c r="T194" s="51"/>
      <c r="U194" s="51"/>
      <c r="V194" s="51"/>
      <c r="W194" s="51"/>
      <c r="X194" s="51"/>
      <c r="Y194" s="51"/>
      <c r="Z194" s="51"/>
      <c r="AA194" s="51"/>
      <c r="AB194" s="51"/>
      <c r="AC194" s="51"/>
      <c r="AD194" s="51"/>
      <c r="AE194" s="51"/>
      <c r="AF194" s="51"/>
      <c r="AG194" s="51"/>
      <c r="AH194" s="51"/>
      <c r="AI194" s="51"/>
    </row>
    <row r="195" spans="1:35" ht="14.25">
      <c r="A195" s="51"/>
      <c r="B195" s="51"/>
      <c r="C195" s="51"/>
      <c r="D195" s="244"/>
      <c r="E195" s="244"/>
      <c r="F195" s="244"/>
      <c r="G195" s="244"/>
      <c r="H195" s="244"/>
      <c r="I195" s="244"/>
      <c r="J195" s="244"/>
      <c r="K195" s="244"/>
      <c r="L195" s="244"/>
      <c r="M195" s="244"/>
      <c r="N195" s="244"/>
      <c r="O195" s="51"/>
      <c r="P195" s="51"/>
      <c r="Q195" s="51"/>
      <c r="R195" s="51"/>
      <c r="S195" s="51"/>
      <c r="T195" s="51"/>
      <c r="U195" s="51"/>
      <c r="V195" s="51"/>
      <c r="W195" s="51"/>
      <c r="X195" s="51"/>
      <c r="Y195" s="51"/>
      <c r="Z195" s="51"/>
      <c r="AA195" s="51"/>
      <c r="AB195" s="51"/>
      <c r="AC195" s="51"/>
      <c r="AD195" s="51"/>
      <c r="AE195" s="51"/>
      <c r="AF195" s="51"/>
      <c r="AG195" s="51"/>
      <c r="AH195" s="51"/>
      <c r="AI195" s="51"/>
    </row>
    <row r="196" spans="1:35" ht="14.25">
      <c r="A196" s="51"/>
      <c r="B196" s="51"/>
      <c r="C196" s="51"/>
      <c r="D196" s="244"/>
      <c r="E196" s="244"/>
      <c r="F196" s="244"/>
      <c r="G196" s="244"/>
      <c r="H196" s="244"/>
      <c r="I196" s="244"/>
      <c r="J196" s="244"/>
      <c r="K196" s="244"/>
      <c r="L196" s="244"/>
      <c r="M196" s="244"/>
      <c r="N196" s="244"/>
      <c r="O196" s="51"/>
      <c r="P196" s="51"/>
      <c r="Q196" s="51"/>
      <c r="R196" s="51"/>
      <c r="S196" s="51"/>
      <c r="T196" s="51"/>
      <c r="U196" s="51"/>
      <c r="V196" s="51"/>
      <c r="W196" s="51"/>
      <c r="X196" s="51"/>
      <c r="Y196" s="51"/>
      <c r="Z196" s="51"/>
      <c r="AA196" s="51"/>
      <c r="AB196" s="51"/>
      <c r="AC196" s="51"/>
      <c r="AD196" s="51"/>
      <c r="AE196" s="51"/>
      <c r="AF196" s="51"/>
      <c r="AG196" s="51"/>
      <c r="AH196" s="51"/>
      <c r="AI196" s="51"/>
    </row>
    <row r="197" spans="1:35">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row>
    <row r="198" spans="1:35">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row>
    <row r="199" spans="1: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row>
    <row r="200" spans="1: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row>
    <row r="201" spans="1: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row>
    <row r="202" spans="1: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row>
    <row r="203" spans="1: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row>
    <row r="204" spans="1: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row>
    <row r="205" spans="1: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row>
    <row r="206" spans="1: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row>
    <row r="207" spans="1: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row>
    <row r="208" spans="1: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row>
    <row r="209" spans="1: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row>
    <row r="210" spans="1: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row>
    <row r="211" spans="1: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row>
    <row r="212" spans="1: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row>
    <row r="213" spans="1: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row>
    <row r="214" spans="1: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row>
    <row r="215" spans="1: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row>
    <row r="216" spans="1: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row>
    <row r="217" spans="1: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row>
    <row r="218" spans="1: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row>
    <row r="219" spans="1: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row>
    <row r="220" spans="1: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row>
    <row r="221" spans="1: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row>
    <row r="222" spans="1: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row>
    <row r="223" spans="1: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row>
    <row r="224" spans="1: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row>
    <row r="225" spans="1: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row>
    <row r="226" spans="1: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row>
    <row r="227" spans="1:35">
      <c r="A227" s="51"/>
      <c r="B227" s="51"/>
      <c r="C227" s="51"/>
      <c r="D227" s="51"/>
      <c r="E227" s="51"/>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row>
    <row r="228" spans="1:35">
      <c r="A228" s="51"/>
      <c r="B228" s="51"/>
      <c r="C228" s="51"/>
      <c r="D228" s="51"/>
      <c r="E228" s="51"/>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row>
    <row r="229" spans="1:35">
      <c r="A229" s="51"/>
      <c r="B229" s="51"/>
      <c r="C229" s="51"/>
      <c r="D229" s="51"/>
      <c r="E229" s="51"/>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row>
    <row r="230" spans="1:35">
      <c r="A230" s="51"/>
      <c r="B230" s="51"/>
      <c r="C230" s="51"/>
      <c r="D230" s="51"/>
      <c r="E230" s="51"/>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row>
    <row r="231" spans="1:35">
      <c r="A231" s="51"/>
      <c r="B231" s="51"/>
      <c r="C231" s="51"/>
      <c r="D231" s="51"/>
      <c r="E231" s="51"/>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row>
    <row r="232" spans="1:35">
      <c r="A232" s="51"/>
      <c r="B232" s="51"/>
      <c r="C232" s="51"/>
      <c r="D232" s="51"/>
      <c r="E232" s="51"/>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row>
    <row r="233" spans="1:35">
      <c r="A233" s="51"/>
      <c r="B233" s="51"/>
      <c r="C233" s="51"/>
      <c r="D233" s="51"/>
      <c r="E233" s="51"/>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row>
    <row r="234" spans="1:35">
      <c r="A234" s="51"/>
      <c r="B234" s="51"/>
      <c r="C234" s="51"/>
      <c r="D234" s="51"/>
      <c r="E234" s="51"/>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row>
    <row r="235" spans="1:35">
      <c r="A235" s="51"/>
      <c r="B235" s="51"/>
      <c r="C235" s="51"/>
      <c r="D235" s="51"/>
      <c r="E235" s="51"/>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row>
    <row r="236" spans="1:35">
      <c r="A236" s="51"/>
      <c r="B236" s="51"/>
      <c r="C236" s="51"/>
      <c r="D236" s="51"/>
      <c r="E236" s="51"/>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row>
    <row r="237" spans="1:35">
      <c r="A237" s="51"/>
      <c r="B237" s="51"/>
      <c r="C237" s="51"/>
      <c r="D237" s="51"/>
      <c r="E237" s="51"/>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row>
    <row r="238" spans="1:35">
      <c r="A238" s="51"/>
      <c r="B238" s="51"/>
      <c r="C238" s="51"/>
      <c r="D238" s="51"/>
      <c r="E238" s="51"/>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row>
    <row r="239" spans="1:35">
      <c r="A239" s="51"/>
      <c r="B239" s="51"/>
      <c r="C239" s="51"/>
      <c r="D239" s="51"/>
      <c r="E239" s="51"/>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row>
    <row r="240" spans="1:35">
      <c r="A240" s="51"/>
      <c r="B240" s="51"/>
      <c r="C240" s="51"/>
      <c r="D240" s="51"/>
      <c r="E240" s="51"/>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row>
    <row r="241" spans="1:35">
      <c r="A241" s="51"/>
      <c r="B241" s="51"/>
      <c r="C241" s="51"/>
      <c r="D241" s="51"/>
      <c r="E241" s="51"/>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row>
    <row r="242" spans="1:35">
      <c r="A242" s="51"/>
      <c r="B242" s="51"/>
      <c r="C242" s="51"/>
      <c r="D242" s="51"/>
      <c r="E242" s="51"/>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row>
    <row r="243" spans="1:35">
      <c r="A243" s="51"/>
      <c r="B243" s="51"/>
      <c r="C243" s="51"/>
      <c r="D243" s="51"/>
      <c r="E243" s="51"/>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row>
    <row r="244" spans="1:35">
      <c r="A244" s="51"/>
      <c r="B244" s="51"/>
      <c r="C244" s="51"/>
      <c r="D244" s="51"/>
      <c r="E244" s="51"/>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row>
    <row r="245" spans="1:35">
      <c r="A245" s="51"/>
      <c r="B245" s="51"/>
      <c r="C245" s="51"/>
      <c r="D245" s="51"/>
      <c r="E245" s="51"/>
      <c r="F245" s="51"/>
      <c r="G245" s="51"/>
      <c r="H245" s="51"/>
      <c r="I245" s="5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row>
    <row r="246" spans="1:35">
      <c r="A246" s="51"/>
      <c r="B246" s="51"/>
      <c r="C246" s="51"/>
      <c r="D246" s="51"/>
      <c r="E246" s="51"/>
      <c r="F246" s="51"/>
      <c r="G246" s="51"/>
      <c r="H246" s="51"/>
      <c r="I246" s="5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row>
    <row r="247" spans="1:35">
      <c r="A247" s="51"/>
      <c r="B247" s="51"/>
      <c r="C247" s="51"/>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row>
    <row r="248" spans="1:35">
      <c r="A248" s="51"/>
      <c r="B248" s="51"/>
      <c r="C248" s="51"/>
      <c r="D248" s="51"/>
      <c r="E248" s="51"/>
      <c r="F248" s="51"/>
      <c r="G248" s="51"/>
      <c r="H248" s="51"/>
      <c r="I248" s="5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row>
    <row r="249" spans="1:35">
      <c r="A249" s="51"/>
      <c r="B249" s="51"/>
      <c r="C249" s="51"/>
      <c r="D249" s="51"/>
      <c r="E249" s="51"/>
      <c r="F249" s="51"/>
      <c r="G249" s="51"/>
      <c r="H249" s="51"/>
      <c r="I249" s="5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row>
    <row r="250" spans="1:35">
      <c r="A250" s="51"/>
      <c r="B250" s="51"/>
      <c r="C250" s="51"/>
      <c r="D250" s="51"/>
      <c r="E250" s="51"/>
      <c r="F250" s="51"/>
      <c r="G250" s="51"/>
      <c r="H250" s="51"/>
      <c r="I250" s="5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row>
    <row r="251" spans="1:35">
      <c r="A251" s="51"/>
      <c r="B251" s="51"/>
      <c r="C251" s="51"/>
      <c r="D251" s="51"/>
      <c r="E251" s="51"/>
      <c r="F251" s="51"/>
      <c r="G251" s="51"/>
      <c r="H251" s="51"/>
      <c r="I251" s="5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row>
    <row r="252" spans="1:35">
      <c r="A252" s="51"/>
      <c r="B252" s="51"/>
      <c r="C252" s="51"/>
      <c r="D252" s="51"/>
      <c r="E252" s="51"/>
      <c r="F252" s="51"/>
      <c r="G252" s="51"/>
      <c r="H252" s="51"/>
      <c r="I252" s="5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row>
    <row r="253" spans="1:35">
      <c r="A253" s="51"/>
      <c r="B253" s="51"/>
      <c r="C253" s="51"/>
      <c r="D253" s="51"/>
      <c r="E253" s="51"/>
      <c r="F253" s="51"/>
      <c r="G253" s="51"/>
      <c r="H253" s="51"/>
      <c r="I253" s="5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row>
    <row r="254" spans="1:35">
      <c r="A254" s="51"/>
      <c r="B254" s="51"/>
      <c r="C254" s="51"/>
      <c r="D254" s="51"/>
      <c r="E254" s="51"/>
      <c r="F254" s="51"/>
      <c r="G254" s="51"/>
      <c r="H254" s="51"/>
      <c r="I254" s="5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row>
    <row r="255" spans="1:35">
      <c r="A255" s="51"/>
      <c r="B255" s="51"/>
      <c r="C255" s="51"/>
      <c r="D255" s="51"/>
      <c r="E255" s="51"/>
      <c r="F255" s="51"/>
      <c r="G255" s="51"/>
      <c r="H255" s="51"/>
      <c r="I255" s="5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row>
    <row r="256" spans="1:35">
      <c r="A256" s="51"/>
      <c r="B256" s="51"/>
      <c r="C256" s="51"/>
      <c r="D256" s="51"/>
      <c r="E256" s="51"/>
      <c r="F256" s="51"/>
      <c r="G256" s="51"/>
      <c r="H256" s="51"/>
      <c r="I256" s="5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row>
    <row r="257" spans="1:35">
      <c r="A257" s="51"/>
      <c r="B257" s="51"/>
      <c r="C257" s="51"/>
      <c r="D257" s="51"/>
      <c r="E257" s="51"/>
      <c r="F257" s="51"/>
      <c r="G257" s="51"/>
      <c r="H257" s="51"/>
      <c r="I257" s="5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row>
    <row r="258" spans="1:35">
      <c r="A258" s="51"/>
      <c r="B258" s="51"/>
      <c r="C258" s="51"/>
      <c r="D258" s="51"/>
      <c r="E258" s="51"/>
      <c r="F258" s="51"/>
      <c r="G258" s="51"/>
      <c r="H258" s="51"/>
      <c r="I258" s="5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row>
    <row r="259" spans="1:35">
      <c r="A259" s="51"/>
      <c r="B259" s="51"/>
      <c r="C259" s="51"/>
      <c r="D259" s="51"/>
      <c r="E259" s="51"/>
      <c r="F259" s="51"/>
      <c r="G259" s="51"/>
      <c r="H259" s="51"/>
      <c r="I259" s="5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row>
    <row r="260" spans="1:35">
      <c r="A260" s="51"/>
      <c r="B260" s="51"/>
      <c r="C260" s="51"/>
      <c r="D260" s="51"/>
      <c r="E260" s="51"/>
      <c r="F260" s="51"/>
      <c r="G260" s="51"/>
      <c r="H260" s="51"/>
      <c r="I260" s="5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row>
    <row r="261" spans="1:35">
      <c r="A261" s="51"/>
      <c r="B261" s="51"/>
      <c r="C261" s="51"/>
      <c r="D261" s="51"/>
      <c r="E261" s="51"/>
      <c r="F261" s="51"/>
      <c r="G261" s="51"/>
      <c r="H261" s="51"/>
      <c r="I261" s="5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row>
    <row r="262" spans="1:35">
      <c r="A262" s="51"/>
      <c r="B262" s="51"/>
      <c r="C262" s="51"/>
      <c r="D262" s="51"/>
      <c r="E262" s="51"/>
      <c r="F262" s="51"/>
      <c r="G262" s="51"/>
      <c r="H262" s="51"/>
      <c r="I262" s="5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row>
    <row r="263" spans="1:35">
      <c r="A263" s="51"/>
      <c r="B263" s="51"/>
      <c r="C263" s="51"/>
      <c r="D263" s="51"/>
      <c r="E263" s="51"/>
      <c r="F263" s="51"/>
      <c r="G263" s="51"/>
      <c r="H263" s="51"/>
      <c r="I263" s="5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row>
    <row r="264" spans="1:35">
      <c r="A264" s="51"/>
      <c r="B264" s="51"/>
      <c r="C264" s="51"/>
      <c r="D264" s="51"/>
      <c r="E264" s="51"/>
      <c r="F264" s="51"/>
      <c r="G264" s="51"/>
      <c r="H264" s="51"/>
      <c r="I264" s="5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row>
    <row r="265" spans="1:35">
      <c r="A265" s="51"/>
      <c r="B265" s="51"/>
      <c r="C265" s="51"/>
      <c r="D265" s="51"/>
      <c r="E265" s="51"/>
      <c r="F265" s="51"/>
      <c r="G265" s="51"/>
      <c r="H265" s="51"/>
      <c r="I265" s="5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row>
    <row r="266" spans="1:35">
      <c r="A266" s="51"/>
      <c r="B266" s="51"/>
      <c r="C266" s="51"/>
      <c r="D266" s="51"/>
      <c r="E266" s="51"/>
      <c r="F266" s="51"/>
      <c r="G266" s="51"/>
      <c r="H266" s="51"/>
      <c r="I266" s="5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row>
    <row r="267" spans="1:35">
      <c r="A267" s="51"/>
      <c r="B267" s="51"/>
      <c r="C267" s="51"/>
      <c r="D267" s="51"/>
      <c r="E267" s="51"/>
      <c r="F267" s="51"/>
      <c r="G267" s="51"/>
      <c r="H267" s="51"/>
      <c r="I267" s="5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row>
    <row r="268" spans="1:35">
      <c r="A268" s="51"/>
      <c r="B268" s="51"/>
      <c r="C268" s="51"/>
      <c r="D268" s="51"/>
      <c r="E268" s="51"/>
      <c r="F268" s="51"/>
      <c r="G268" s="51"/>
      <c r="H268" s="51"/>
      <c r="I268" s="5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row>
    <row r="269" spans="1:35">
      <c r="A269" s="51"/>
      <c r="B269" s="51"/>
      <c r="C269" s="51"/>
      <c r="D269" s="51"/>
      <c r="E269" s="51"/>
      <c r="F269" s="51"/>
      <c r="G269" s="51"/>
      <c r="H269" s="51"/>
      <c r="I269" s="5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row>
    <row r="270" spans="1:35">
      <c r="A270" s="51"/>
      <c r="B270" s="51"/>
      <c r="C270" s="51"/>
      <c r="D270" s="51"/>
      <c r="E270" s="51"/>
      <c r="F270" s="51"/>
      <c r="G270" s="51"/>
      <c r="H270" s="51"/>
      <c r="I270" s="5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row>
    <row r="271" spans="1:35">
      <c r="A271" s="51"/>
      <c r="B271" s="51"/>
      <c r="C271" s="51"/>
      <c r="D271" s="51"/>
      <c r="E271" s="51"/>
      <c r="F271" s="51"/>
      <c r="G271" s="51"/>
      <c r="H271" s="51"/>
      <c r="I271" s="5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row>
    <row r="272" spans="1:35">
      <c r="A272" s="51"/>
      <c r="B272" s="51"/>
      <c r="C272" s="51"/>
      <c r="D272" s="51"/>
      <c r="E272" s="51"/>
      <c r="F272" s="51"/>
      <c r="G272" s="51"/>
      <c r="H272" s="51"/>
      <c r="I272" s="5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row>
    <row r="273" spans="1:35">
      <c r="A273" s="51"/>
      <c r="B273" s="51"/>
      <c r="C273" s="51"/>
      <c r="D273" s="51"/>
      <c r="E273" s="51"/>
      <c r="F273" s="51"/>
      <c r="G273" s="51"/>
      <c r="H273" s="51"/>
      <c r="I273" s="5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row>
    <row r="274" spans="1:35">
      <c r="A274" s="51"/>
      <c r="B274" s="51"/>
      <c r="C274" s="51"/>
      <c r="D274" s="51"/>
      <c r="E274" s="51"/>
      <c r="F274" s="51"/>
      <c r="G274" s="51"/>
      <c r="H274" s="51"/>
      <c r="I274" s="5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row>
    <row r="275" spans="1:35">
      <c r="A275" s="51"/>
      <c r="B275" s="51"/>
      <c r="C275" s="51"/>
      <c r="D275" s="51"/>
      <c r="E275" s="51"/>
      <c r="F275" s="51"/>
      <c r="G275" s="51"/>
      <c r="H275" s="51"/>
      <c r="I275" s="5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row>
    <row r="276" spans="1:35">
      <c r="A276" s="51"/>
      <c r="B276" s="51"/>
      <c r="C276" s="51"/>
      <c r="D276" s="51"/>
      <c r="E276" s="51"/>
      <c r="F276" s="51"/>
      <c r="G276" s="51"/>
      <c r="H276" s="51"/>
      <c r="I276" s="5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row>
    <row r="277" spans="1:35">
      <c r="A277" s="51"/>
      <c r="B277" s="51"/>
      <c r="C277" s="51"/>
      <c r="D277" s="51"/>
      <c r="E277" s="51"/>
      <c r="F277" s="51"/>
      <c r="G277" s="51"/>
      <c r="H277" s="51"/>
      <c r="I277" s="5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row>
    <row r="278" spans="1:35">
      <c r="A278" s="51"/>
      <c r="B278" s="51"/>
      <c r="C278" s="51"/>
      <c r="D278" s="51"/>
      <c r="E278" s="51"/>
      <c r="F278" s="51"/>
      <c r="G278" s="51"/>
      <c r="H278" s="51"/>
      <c r="I278" s="5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row>
    <row r="279" spans="1:35">
      <c r="A279" s="51"/>
      <c r="B279" s="51"/>
      <c r="C279" s="51"/>
      <c r="D279" s="51"/>
      <c r="E279" s="51"/>
      <c r="F279" s="51"/>
      <c r="G279" s="51"/>
      <c r="H279" s="51"/>
      <c r="I279" s="5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row>
    <row r="280" spans="1:35">
      <c r="A280" s="51"/>
      <c r="B280" s="51"/>
      <c r="C280" s="51"/>
      <c r="D280" s="51"/>
      <c r="E280" s="51"/>
      <c r="F280" s="51"/>
      <c r="G280" s="51"/>
      <c r="H280" s="51"/>
      <c r="I280" s="5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row>
    <row r="281" spans="1:35">
      <c r="A281" s="51"/>
      <c r="B281" s="51"/>
      <c r="C281" s="51"/>
      <c r="D281" s="51"/>
      <c r="E281" s="51"/>
      <c r="F281" s="51"/>
      <c r="G281" s="51"/>
      <c r="H281" s="51"/>
      <c r="I281" s="5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row>
    <row r="282" spans="1:35">
      <c r="A282" s="51"/>
      <c r="B282" s="51"/>
      <c r="C282" s="51"/>
      <c r="D282" s="51"/>
      <c r="E282" s="51"/>
      <c r="F282" s="51"/>
      <c r="G282" s="51"/>
      <c r="H282" s="51"/>
      <c r="I282" s="5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row>
    <row r="283" spans="1:35">
      <c r="A283" s="51"/>
      <c r="B283" s="51"/>
      <c r="C283" s="51"/>
      <c r="D283" s="51"/>
      <c r="E283" s="51"/>
      <c r="F283" s="51"/>
      <c r="G283" s="51"/>
      <c r="H283" s="51"/>
      <c r="I283" s="5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row>
    <row r="284" spans="1:35">
      <c r="A284" s="51"/>
      <c r="B284" s="51"/>
      <c r="C284" s="51"/>
      <c r="D284" s="51"/>
      <c r="E284" s="51"/>
      <c r="F284" s="51"/>
      <c r="G284" s="51"/>
      <c r="H284" s="51"/>
      <c r="I284" s="5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row>
    <row r="285" spans="1:35">
      <c r="A285" s="51"/>
      <c r="B285" s="51"/>
      <c r="C285" s="51"/>
      <c r="D285" s="51"/>
      <c r="E285" s="51"/>
      <c r="F285" s="51"/>
      <c r="G285" s="51"/>
      <c r="H285" s="51"/>
      <c r="I285" s="5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row>
    <row r="286" spans="1:35">
      <c r="A286" s="51"/>
      <c r="B286" s="51"/>
      <c r="C286" s="51"/>
      <c r="D286" s="51"/>
      <c r="E286" s="51"/>
      <c r="F286" s="51"/>
      <c r="G286" s="51"/>
      <c r="H286" s="51"/>
      <c r="I286" s="5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row>
    <row r="287" spans="1:35">
      <c r="A287" s="51"/>
      <c r="B287" s="51"/>
      <c r="C287" s="51"/>
      <c r="D287" s="51"/>
      <c r="E287" s="51"/>
      <c r="F287" s="51"/>
      <c r="G287" s="51"/>
      <c r="H287" s="51"/>
      <c r="I287" s="5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row>
    <row r="288" spans="1:35">
      <c r="A288" s="51"/>
      <c r="B288" s="51"/>
      <c r="C288" s="51"/>
      <c r="D288" s="51"/>
      <c r="E288" s="51"/>
      <c r="F288" s="51"/>
      <c r="G288" s="51"/>
      <c r="H288" s="51"/>
      <c r="I288" s="5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row>
    <row r="289" spans="1:35">
      <c r="A289" s="51"/>
      <c r="B289" s="51"/>
      <c r="C289" s="51"/>
      <c r="D289" s="51"/>
      <c r="E289" s="51"/>
      <c r="F289" s="51"/>
      <c r="G289" s="51"/>
      <c r="H289" s="51"/>
      <c r="I289" s="5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row>
    <row r="290" spans="1:35">
      <c r="A290" s="51"/>
      <c r="B290" s="51"/>
      <c r="C290" s="51"/>
      <c r="D290" s="51"/>
      <c r="E290" s="51"/>
      <c r="F290" s="51"/>
      <c r="G290" s="51"/>
      <c r="H290" s="51"/>
      <c r="I290" s="5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row>
    <row r="291" spans="1:35">
      <c r="A291" s="51"/>
      <c r="B291" s="51"/>
      <c r="C291" s="51"/>
      <c r="D291" s="51"/>
      <c r="E291" s="51"/>
      <c r="F291" s="51"/>
      <c r="G291" s="51"/>
      <c r="H291" s="51"/>
      <c r="I291" s="5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row>
    <row r="292" spans="1:35">
      <c r="A292" s="51"/>
      <c r="B292" s="51"/>
      <c r="C292" s="51"/>
      <c r="D292" s="51"/>
      <c r="E292" s="51"/>
      <c r="F292" s="51"/>
      <c r="G292" s="51"/>
      <c r="H292" s="51"/>
      <c r="I292" s="5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row>
    <row r="293" spans="1:35">
      <c r="A293" s="51"/>
      <c r="B293" s="51"/>
      <c r="C293" s="51"/>
      <c r="D293" s="51"/>
      <c r="E293" s="51"/>
      <c r="F293" s="51"/>
      <c r="G293" s="51"/>
      <c r="H293" s="51"/>
      <c r="I293" s="5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row>
    <row r="294" spans="1:35">
      <c r="A294" s="51"/>
      <c r="B294" s="51"/>
      <c r="C294" s="51"/>
      <c r="D294" s="51"/>
      <c r="E294" s="51"/>
      <c r="F294" s="51"/>
      <c r="G294" s="51"/>
      <c r="H294" s="51"/>
      <c r="I294" s="5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row>
    <row r="295" spans="1:35">
      <c r="A295" s="51"/>
      <c r="B295" s="51"/>
      <c r="C295" s="51"/>
      <c r="D295" s="51"/>
      <c r="E295" s="51"/>
      <c r="F295" s="51"/>
      <c r="G295" s="51"/>
      <c r="H295" s="51"/>
      <c r="I295" s="5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row>
    <row r="296" spans="1:35">
      <c r="A296" s="51"/>
      <c r="B296" s="51"/>
      <c r="C296" s="51"/>
      <c r="D296" s="51"/>
      <c r="E296" s="51"/>
      <c r="F296" s="51"/>
      <c r="G296" s="51"/>
      <c r="H296" s="51"/>
      <c r="I296" s="5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row>
    <row r="297" spans="1:35">
      <c r="A297" s="51"/>
      <c r="B297" s="51"/>
      <c r="C297" s="51"/>
      <c r="D297" s="51"/>
      <c r="E297" s="51"/>
      <c r="F297" s="51"/>
      <c r="G297" s="51"/>
      <c r="H297" s="51"/>
      <c r="I297" s="5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row>
    <row r="298" spans="1:35">
      <c r="A298" s="51"/>
      <c r="B298" s="51"/>
      <c r="C298" s="51"/>
      <c r="D298" s="51"/>
      <c r="E298" s="51"/>
      <c r="F298" s="51"/>
      <c r="G298" s="51"/>
      <c r="H298" s="51"/>
      <c r="I298" s="5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row>
    <row r="299" spans="1:35">
      <c r="A299" s="51"/>
      <c r="B299" s="51"/>
      <c r="C299" s="51"/>
      <c r="D299" s="51"/>
      <c r="E299" s="51"/>
      <c r="F299" s="51"/>
      <c r="G299" s="51"/>
      <c r="H299" s="51"/>
      <c r="I299" s="5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row>
    <row r="300" spans="1:35">
      <c r="A300" s="51"/>
      <c r="B300" s="51"/>
      <c r="C300" s="51"/>
      <c r="D300" s="51"/>
      <c r="E300" s="51"/>
      <c r="F300" s="51"/>
      <c r="G300" s="51"/>
      <c r="H300" s="51"/>
      <c r="I300" s="5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row>
    <row r="301" spans="1:35">
      <c r="A301" s="51"/>
      <c r="B301" s="51"/>
      <c r="C301" s="51"/>
      <c r="D301" s="51"/>
      <c r="E301" s="51"/>
      <c r="F301" s="51"/>
      <c r="G301" s="51"/>
      <c r="H301" s="51"/>
      <c r="I301" s="5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row>
    <row r="302" spans="1:35">
      <c r="A302" s="51"/>
      <c r="B302" s="51"/>
      <c r="C302" s="51"/>
      <c r="D302" s="51"/>
      <c r="E302" s="51"/>
      <c r="F302" s="51"/>
      <c r="G302" s="51"/>
      <c r="H302" s="51"/>
      <c r="I302" s="5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row>
    <row r="303" spans="1:35">
      <c r="A303" s="51"/>
      <c r="B303" s="51"/>
      <c r="C303" s="51"/>
      <c r="D303" s="51"/>
      <c r="E303" s="51"/>
      <c r="F303" s="51"/>
      <c r="G303" s="51"/>
      <c r="H303" s="51"/>
      <c r="I303" s="5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row>
    <row r="304" spans="1:35">
      <c r="A304" s="51"/>
      <c r="B304" s="51"/>
      <c r="C304" s="51"/>
      <c r="D304" s="51"/>
      <c r="E304" s="51"/>
      <c r="F304" s="51"/>
      <c r="G304" s="51"/>
      <c r="H304" s="51"/>
      <c r="I304" s="5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row>
    <row r="305" spans="1:35">
      <c r="A305" s="51"/>
      <c r="B305" s="51"/>
      <c r="C305" s="51"/>
      <c r="D305" s="51"/>
      <c r="E305" s="51"/>
      <c r="F305" s="51"/>
      <c r="G305" s="51"/>
      <c r="H305" s="51"/>
      <c r="I305" s="5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row>
    <row r="306" spans="1:35">
      <c r="A306" s="51"/>
      <c r="B306" s="51"/>
      <c r="C306" s="51"/>
      <c r="D306" s="51"/>
      <c r="E306" s="51"/>
      <c r="F306" s="51"/>
      <c r="G306" s="51"/>
      <c r="H306" s="51"/>
      <c r="I306" s="5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row>
    <row r="307" spans="1:35">
      <c r="A307" s="51"/>
      <c r="B307" s="51"/>
      <c r="C307" s="51"/>
      <c r="D307" s="51"/>
      <c r="E307" s="51"/>
      <c r="F307" s="51"/>
      <c r="G307" s="51"/>
      <c r="H307" s="51"/>
      <c r="I307" s="5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row>
    <row r="308" spans="1:35">
      <c r="A308" s="51"/>
      <c r="B308" s="51"/>
      <c r="C308" s="51"/>
      <c r="D308" s="51"/>
      <c r="E308" s="51"/>
      <c r="F308" s="51"/>
      <c r="G308" s="51"/>
      <c r="H308" s="51"/>
      <c r="I308" s="5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row>
    <row r="309" spans="1:35">
      <c r="A309" s="51"/>
      <c r="B309" s="51"/>
      <c r="C309" s="51"/>
      <c r="D309" s="51"/>
      <c r="E309" s="51"/>
      <c r="F309" s="51"/>
      <c r="G309" s="51"/>
      <c r="H309" s="51"/>
      <c r="I309" s="5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row>
    <row r="310" spans="1:35">
      <c r="A310" s="51"/>
      <c r="B310" s="51"/>
      <c r="C310" s="51"/>
      <c r="D310" s="51"/>
      <c r="E310" s="51"/>
      <c r="F310" s="51"/>
      <c r="G310" s="51"/>
      <c r="H310" s="51"/>
      <c r="I310" s="5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row>
    <row r="311" spans="1:35">
      <c r="A311" s="51"/>
      <c r="B311" s="51"/>
      <c r="C311" s="51"/>
      <c r="D311" s="51"/>
      <c r="E311" s="51"/>
      <c r="F311" s="51"/>
      <c r="G311" s="51"/>
      <c r="H311" s="51"/>
      <c r="I311" s="5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row>
    <row r="312" spans="1:35">
      <c r="A312" s="51"/>
      <c r="B312" s="51"/>
      <c r="C312" s="51"/>
      <c r="D312" s="51"/>
      <c r="E312" s="51"/>
      <c r="F312" s="51"/>
      <c r="G312" s="51"/>
      <c r="H312" s="51"/>
      <c r="I312" s="5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row>
    <row r="313" spans="1:35">
      <c r="A313" s="51"/>
      <c r="B313" s="51"/>
      <c r="C313" s="51"/>
      <c r="D313" s="51"/>
      <c r="E313" s="51"/>
      <c r="F313" s="51"/>
      <c r="G313" s="51"/>
      <c r="H313" s="51"/>
      <c r="I313" s="5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row>
    <row r="314" spans="1:35">
      <c r="A314" s="51"/>
      <c r="B314" s="51"/>
      <c r="C314" s="51"/>
      <c r="D314" s="51"/>
      <c r="E314" s="51"/>
      <c r="F314" s="51"/>
      <c r="G314" s="51"/>
      <c r="H314" s="51"/>
      <c r="I314" s="5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row>
    <row r="315" spans="1:35">
      <c r="A315" s="51"/>
      <c r="B315" s="51"/>
      <c r="C315" s="51"/>
      <c r="D315" s="51"/>
      <c r="E315" s="51"/>
      <c r="F315" s="51"/>
      <c r="G315" s="51"/>
      <c r="H315" s="51"/>
      <c r="I315" s="5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row>
    <row r="316" spans="1:35">
      <c r="A316" s="51"/>
      <c r="B316" s="51"/>
      <c r="C316" s="51"/>
      <c r="D316" s="51"/>
      <c r="E316" s="51"/>
      <c r="F316" s="51"/>
      <c r="G316" s="51"/>
      <c r="H316" s="51"/>
      <c r="I316" s="5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row>
    <row r="317" spans="1:35">
      <c r="A317" s="51"/>
      <c r="B317" s="51"/>
      <c r="C317" s="51"/>
      <c r="D317" s="51"/>
      <c r="E317" s="51"/>
      <c r="F317" s="51"/>
      <c r="G317" s="51"/>
      <c r="H317" s="51"/>
      <c r="I317" s="5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row>
    <row r="318" spans="1:35">
      <c r="A318" s="51"/>
      <c r="B318" s="51"/>
      <c r="C318" s="51"/>
      <c r="D318" s="51"/>
      <c r="E318" s="51"/>
      <c r="F318" s="51"/>
      <c r="G318" s="51"/>
      <c r="H318" s="51"/>
      <c r="I318" s="5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row>
    <row r="319" spans="1:35">
      <c r="A319" s="51"/>
      <c r="B319" s="51"/>
      <c r="C319" s="51"/>
      <c r="D319" s="51"/>
      <c r="E319" s="51"/>
      <c r="F319" s="51"/>
      <c r="G319" s="51"/>
      <c r="H319" s="51"/>
      <c r="I319" s="5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row>
    <row r="320" spans="1:35">
      <c r="A320" s="51"/>
      <c r="B320" s="51"/>
      <c r="C320" s="51"/>
      <c r="D320" s="51"/>
      <c r="E320" s="51"/>
      <c r="F320" s="51"/>
      <c r="G320" s="51"/>
      <c r="H320" s="51"/>
      <c r="I320" s="5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row>
    <row r="321" spans="1:35">
      <c r="A321" s="51"/>
      <c r="B321" s="51"/>
      <c r="C321" s="51"/>
      <c r="D321" s="51"/>
      <c r="E321" s="51"/>
      <c r="F321" s="51"/>
      <c r="G321" s="51"/>
      <c r="H321" s="51"/>
      <c r="I321" s="5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row>
    <row r="322" spans="1:35">
      <c r="A322" s="51"/>
      <c r="B322" s="51"/>
      <c r="C322" s="51"/>
      <c r="D322" s="51"/>
      <c r="E322" s="51"/>
      <c r="F322" s="51"/>
      <c r="G322" s="51"/>
      <c r="H322" s="51"/>
      <c r="I322" s="5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row>
    <row r="323" spans="1:35">
      <c r="A323" s="51"/>
      <c r="B323" s="51"/>
      <c r="C323" s="51"/>
      <c r="D323" s="51"/>
      <c r="E323" s="51"/>
      <c r="F323" s="51"/>
      <c r="G323" s="51"/>
      <c r="H323" s="51"/>
      <c r="I323" s="5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row>
    <row r="324" spans="1:35">
      <c r="A324" s="51"/>
      <c r="B324" s="51"/>
      <c r="C324" s="51"/>
      <c r="D324" s="51"/>
      <c r="E324" s="51"/>
      <c r="F324" s="51"/>
      <c r="G324" s="51"/>
      <c r="H324" s="51"/>
      <c r="I324" s="5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row>
    <row r="325" spans="1:35">
      <c r="A325" s="51"/>
      <c r="B325" s="51"/>
      <c r="C325" s="51"/>
      <c r="D325" s="51"/>
      <c r="E325" s="51"/>
      <c r="F325" s="51"/>
      <c r="G325" s="51"/>
      <c r="H325" s="51"/>
      <c r="I325" s="5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row>
    <row r="326" spans="1:35">
      <c r="A326" s="51"/>
      <c r="B326" s="51"/>
      <c r="C326" s="51"/>
      <c r="D326" s="51"/>
      <c r="E326" s="51"/>
      <c r="F326" s="51"/>
      <c r="G326" s="51"/>
      <c r="H326" s="51"/>
      <c r="I326" s="5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row>
    <row r="327" spans="1:35">
      <c r="A327" s="51"/>
      <c r="B327" s="51"/>
      <c r="C327" s="51"/>
      <c r="D327" s="51"/>
      <c r="E327" s="51"/>
      <c r="F327" s="51"/>
      <c r="G327" s="51"/>
      <c r="H327" s="51"/>
      <c r="I327" s="5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row>
    <row r="328" spans="1:35">
      <c r="A328" s="51"/>
      <c r="B328" s="51"/>
      <c r="C328" s="51"/>
      <c r="D328" s="51"/>
      <c r="E328" s="51"/>
      <c r="F328" s="51"/>
      <c r="G328" s="51"/>
      <c r="H328" s="51"/>
      <c r="I328" s="5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row>
    <row r="329" spans="1:35">
      <c r="A329" s="51"/>
      <c r="B329" s="51"/>
      <c r="C329" s="51"/>
      <c r="D329" s="51"/>
      <c r="E329" s="51"/>
      <c r="F329" s="51"/>
      <c r="G329" s="51"/>
      <c r="H329" s="51"/>
      <c r="I329" s="5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row>
    <row r="330" spans="1:35">
      <c r="A330" s="51"/>
      <c r="B330" s="51"/>
      <c r="C330" s="51"/>
      <c r="D330" s="51"/>
      <c r="E330" s="51"/>
      <c r="F330" s="51"/>
      <c r="G330" s="51"/>
      <c r="H330" s="51"/>
      <c r="I330" s="5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row>
    <row r="331" spans="1:35">
      <c r="A331" s="51"/>
      <c r="B331" s="51"/>
      <c r="C331" s="51"/>
      <c r="D331" s="51"/>
      <c r="E331" s="51"/>
      <c r="F331" s="51"/>
      <c r="G331" s="51"/>
      <c r="H331" s="51"/>
      <c r="I331" s="5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row>
    <row r="332" spans="1:35">
      <c r="A332" s="51"/>
      <c r="B332" s="51"/>
      <c r="C332" s="51"/>
      <c r="D332" s="51"/>
      <c r="E332" s="51"/>
      <c r="F332" s="51"/>
      <c r="G332" s="51"/>
      <c r="H332" s="51"/>
      <c r="I332" s="5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row>
    <row r="333" spans="1:35">
      <c r="A333" s="51"/>
      <c r="B333" s="51"/>
      <c r="C333" s="51"/>
      <c r="D333" s="51"/>
      <c r="E333" s="51"/>
      <c r="F333" s="51"/>
      <c r="G333" s="51"/>
      <c r="H333" s="51"/>
      <c r="I333" s="5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row>
    <row r="334" spans="1:35">
      <c r="A334" s="51"/>
      <c r="B334" s="51"/>
      <c r="C334" s="51"/>
      <c r="D334" s="51"/>
      <c r="E334" s="51"/>
      <c r="F334" s="51"/>
      <c r="G334" s="51"/>
      <c r="H334" s="51"/>
      <c r="I334" s="5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row>
    <row r="335" spans="1:35">
      <c r="A335" s="51"/>
      <c r="B335" s="51"/>
      <c r="C335" s="51"/>
      <c r="D335" s="51"/>
      <c r="E335" s="51"/>
      <c r="F335" s="51"/>
      <c r="G335" s="51"/>
      <c r="H335" s="51"/>
      <c r="I335" s="5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row>
    <row r="336" spans="1:35">
      <c r="A336" s="51"/>
      <c r="B336" s="51"/>
      <c r="C336" s="51"/>
      <c r="D336" s="51"/>
      <c r="E336" s="51"/>
      <c r="F336" s="51"/>
      <c r="G336" s="51"/>
      <c r="H336" s="51"/>
      <c r="I336" s="5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row>
    <row r="337" spans="1:35">
      <c r="A337" s="51"/>
      <c r="B337" s="51"/>
      <c r="C337" s="51"/>
      <c r="D337" s="51"/>
      <c r="E337" s="51"/>
      <c r="F337" s="51"/>
      <c r="G337" s="51"/>
      <c r="H337" s="51"/>
      <c r="I337" s="5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row>
    <row r="338" spans="1:35">
      <c r="A338" s="51"/>
      <c r="B338" s="51"/>
      <c r="C338" s="51"/>
      <c r="D338" s="51"/>
      <c r="E338" s="51"/>
      <c r="F338" s="51"/>
      <c r="G338" s="51"/>
      <c r="H338" s="51"/>
      <c r="I338" s="5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row>
    <row r="339" spans="1:35">
      <c r="A339" s="51"/>
      <c r="B339" s="51"/>
      <c r="C339" s="51"/>
      <c r="D339" s="51"/>
      <c r="E339" s="51"/>
      <c r="F339" s="51"/>
      <c r="G339" s="51"/>
      <c r="H339" s="51"/>
      <c r="I339" s="5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row>
    <row r="340" spans="1:35">
      <c r="A340" s="51"/>
      <c r="B340" s="51"/>
      <c r="C340" s="51"/>
      <c r="D340" s="51"/>
      <c r="E340" s="51"/>
      <c r="F340" s="51"/>
      <c r="G340" s="51"/>
      <c r="H340" s="51"/>
      <c r="I340" s="5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row>
    <row r="341" spans="1:35">
      <c r="A341" s="51"/>
      <c r="B341" s="51"/>
      <c r="C341" s="51"/>
      <c r="D341" s="51"/>
      <c r="E341" s="51"/>
      <c r="F341" s="51"/>
      <c r="G341" s="51"/>
      <c r="H341" s="51"/>
      <c r="I341" s="5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row>
    <row r="342" spans="1:35">
      <c r="A342" s="51"/>
      <c r="B342" s="51"/>
      <c r="C342" s="51"/>
      <c r="D342" s="51"/>
      <c r="E342" s="51"/>
      <c r="F342" s="51"/>
      <c r="G342" s="51"/>
      <c r="H342" s="51"/>
      <c r="I342" s="5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row>
    <row r="343" spans="1:35">
      <c r="A343" s="51"/>
      <c r="B343" s="51"/>
      <c r="C343" s="51"/>
      <c r="D343" s="51"/>
      <c r="E343" s="51"/>
      <c r="F343" s="51"/>
      <c r="G343" s="51"/>
      <c r="H343" s="51"/>
      <c r="I343" s="5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row>
    <row r="344" spans="1:35">
      <c r="A344" s="51"/>
      <c r="B344" s="51"/>
      <c r="C344" s="51"/>
      <c r="D344" s="51"/>
      <c r="E344" s="51"/>
      <c r="F344" s="51"/>
      <c r="G344" s="51"/>
      <c r="H344" s="51"/>
      <c r="I344" s="5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row>
    <row r="345" spans="1:35">
      <c r="A345" s="51"/>
      <c r="B345" s="51"/>
      <c r="C345" s="51"/>
      <c r="D345" s="51"/>
      <c r="E345" s="51"/>
      <c r="F345" s="51"/>
      <c r="G345" s="51"/>
      <c r="H345" s="51"/>
      <c r="I345" s="5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row>
    <row r="346" spans="1:35">
      <c r="A346" s="51"/>
      <c r="B346" s="51"/>
      <c r="C346" s="51"/>
      <c r="D346" s="51"/>
      <c r="E346" s="51"/>
      <c r="F346" s="51"/>
      <c r="G346" s="51"/>
      <c r="H346" s="51"/>
      <c r="I346" s="5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row>
    <row r="347" spans="1:35">
      <c r="A347" s="51"/>
      <c r="B347" s="51"/>
      <c r="C347" s="51"/>
      <c r="D347" s="51"/>
      <c r="E347" s="51"/>
      <c r="F347" s="51"/>
      <c r="G347" s="51"/>
      <c r="H347" s="51"/>
      <c r="I347" s="5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row>
    <row r="348" spans="1:35">
      <c r="A348" s="51"/>
      <c r="B348" s="51"/>
      <c r="C348" s="51"/>
      <c r="D348" s="51"/>
      <c r="E348" s="51"/>
      <c r="F348" s="51"/>
      <c r="G348" s="51"/>
      <c r="H348" s="51"/>
      <c r="I348" s="5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row>
    <row r="349" spans="1:35">
      <c r="A349" s="51"/>
      <c r="B349" s="51"/>
      <c r="C349" s="51"/>
      <c r="D349" s="51"/>
      <c r="E349" s="51"/>
      <c r="F349" s="51"/>
      <c r="G349" s="51"/>
      <c r="H349" s="51"/>
      <c r="I349" s="5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row>
    <row r="350" spans="1:35">
      <c r="A350" s="51"/>
      <c r="B350" s="51"/>
      <c r="C350" s="51"/>
      <c r="D350" s="51"/>
      <c r="E350" s="51"/>
      <c r="F350" s="51"/>
      <c r="G350" s="51"/>
      <c r="H350" s="51"/>
      <c r="I350" s="5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row>
    <row r="351" spans="1:35">
      <c r="A351" s="51"/>
      <c r="B351" s="51"/>
      <c r="C351" s="51"/>
      <c r="D351" s="51"/>
      <c r="E351" s="51"/>
      <c r="F351" s="51"/>
      <c r="G351" s="51"/>
      <c r="H351" s="51"/>
      <c r="I351" s="5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row>
    <row r="352" spans="1:35">
      <c r="A352" s="51"/>
      <c r="B352" s="51"/>
      <c r="C352" s="51"/>
      <c r="D352" s="51"/>
      <c r="E352" s="51"/>
      <c r="F352" s="51"/>
      <c r="G352" s="51"/>
      <c r="H352" s="51"/>
      <c r="I352" s="5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row>
    <row r="353" spans="1:35">
      <c r="A353" s="51"/>
      <c r="B353" s="51"/>
      <c r="C353" s="51"/>
      <c r="D353" s="51"/>
      <c r="E353" s="51"/>
      <c r="F353" s="51"/>
      <c r="G353" s="51"/>
      <c r="H353" s="51"/>
      <c r="I353" s="5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row>
    <row r="354" spans="1:35">
      <c r="A354" s="51"/>
      <c r="B354" s="51"/>
      <c r="C354" s="51"/>
      <c r="D354" s="51"/>
      <c r="E354" s="51"/>
      <c r="F354" s="51"/>
      <c r="G354" s="51"/>
      <c r="H354" s="51"/>
      <c r="I354" s="5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row>
    <row r="355" spans="1:35">
      <c r="A355" s="51"/>
      <c r="B355" s="51"/>
      <c r="C355" s="51"/>
      <c r="D355" s="51"/>
      <c r="E355" s="51"/>
      <c r="F355" s="51"/>
      <c r="G355" s="51"/>
      <c r="H355" s="51"/>
      <c r="I355" s="5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row>
    <row r="356" spans="1:35">
      <c r="A356" s="51"/>
      <c r="B356" s="51"/>
      <c r="C356" s="51"/>
      <c r="D356" s="51"/>
      <c r="E356" s="51"/>
      <c r="F356" s="51"/>
      <c r="G356" s="51"/>
      <c r="H356" s="51"/>
      <c r="I356" s="5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row>
    <row r="357" spans="1:35">
      <c r="A357" s="51"/>
      <c r="B357" s="51"/>
      <c r="C357" s="51"/>
      <c r="D357" s="51"/>
      <c r="E357" s="51"/>
      <c r="F357" s="51"/>
      <c r="G357" s="51"/>
      <c r="H357" s="51"/>
      <c r="I357" s="5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row>
    <row r="358" spans="1:35">
      <c r="A358" s="51"/>
      <c r="B358" s="51"/>
      <c r="C358" s="51"/>
      <c r="D358" s="51"/>
      <c r="E358" s="51"/>
      <c r="F358" s="51"/>
      <c r="G358" s="51"/>
      <c r="H358" s="51"/>
      <c r="I358" s="5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row>
    <row r="359" spans="1:35">
      <c r="A359" s="51"/>
      <c r="B359" s="51"/>
      <c r="C359" s="51"/>
      <c r="D359" s="51"/>
      <c r="E359" s="51"/>
      <c r="F359" s="51"/>
      <c r="G359" s="51"/>
      <c r="H359" s="51"/>
      <c r="I359" s="5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row>
    <row r="360" spans="1:35">
      <c r="A360" s="51"/>
      <c r="B360" s="51"/>
      <c r="C360" s="51"/>
      <c r="D360" s="51"/>
      <c r="E360" s="51"/>
      <c r="F360" s="51"/>
      <c r="G360" s="51"/>
      <c r="H360" s="51"/>
      <c r="I360" s="5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row>
    <row r="361" spans="1:35">
      <c r="A361" s="51"/>
      <c r="B361" s="51"/>
      <c r="C361" s="51"/>
      <c r="D361" s="51"/>
      <c r="E361" s="51"/>
      <c r="F361" s="51"/>
      <c r="G361" s="51"/>
      <c r="H361" s="51"/>
      <c r="I361" s="5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row>
    <row r="362" spans="1:35">
      <c r="A362" s="51"/>
      <c r="B362" s="51"/>
      <c r="C362" s="51"/>
      <c r="D362" s="51"/>
      <c r="E362" s="51"/>
      <c r="F362" s="51"/>
      <c r="G362" s="51"/>
      <c r="H362" s="51"/>
      <c r="I362" s="5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row>
    <row r="363" spans="1:35">
      <c r="A363" s="51"/>
      <c r="B363" s="51"/>
      <c r="C363" s="51"/>
      <c r="D363" s="51"/>
      <c r="E363" s="51"/>
      <c r="F363" s="51"/>
      <c r="G363" s="51"/>
      <c r="H363" s="51"/>
      <c r="I363" s="5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row>
    <row r="364" spans="1:35">
      <c r="A364" s="51"/>
      <c r="B364" s="51"/>
      <c r="C364" s="51"/>
      <c r="D364" s="51"/>
      <c r="E364" s="51"/>
      <c r="F364" s="51"/>
      <c r="G364" s="51"/>
      <c r="H364" s="51"/>
      <c r="I364" s="5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row>
    <row r="365" spans="1:35">
      <c r="A365" s="51"/>
      <c r="B365" s="51"/>
      <c r="C365" s="51"/>
      <c r="D365" s="51"/>
      <c r="E365" s="51"/>
      <c r="F365" s="51"/>
      <c r="G365" s="51"/>
      <c r="H365" s="51"/>
      <c r="I365" s="5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row>
    <row r="366" spans="1:35">
      <c r="A366" s="51"/>
      <c r="B366" s="51"/>
      <c r="C366" s="51"/>
      <c r="D366" s="51"/>
      <c r="E366" s="51"/>
      <c r="F366" s="51"/>
      <c r="G366" s="51"/>
      <c r="H366" s="51"/>
      <c r="I366" s="5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row>
    <row r="367" spans="1:35">
      <c r="A367" s="51"/>
      <c r="B367" s="51"/>
      <c r="C367" s="51"/>
      <c r="D367" s="51"/>
      <c r="E367" s="51"/>
      <c r="F367" s="51"/>
      <c r="G367" s="51"/>
      <c r="H367" s="51"/>
      <c r="I367" s="5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row>
    <row r="368" spans="1:35">
      <c r="A368" s="51"/>
      <c r="B368" s="51"/>
      <c r="C368" s="51"/>
      <c r="D368" s="51"/>
      <c r="E368" s="51"/>
      <c r="F368" s="51"/>
      <c r="G368" s="51"/>
      <c r="H368" s="51"/>
      <c r="I368" s="5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row>
    <row r="369" spans="1:35">
      <c r="A369" s="51"/>
      <c r="B369" s="51"/>
      <c r="C369" s="51"/>
      <c r="D369" s="51"/>
      <c r="E369" s="51"/>
      <c r="F369" s="51"/>
      <c r="G369" s="51"/>
      <c r="H369" s="51"/>
      <c r="I369" s="5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row>
    <row r="370" spans="1:35">
      <c r="A370" s="51"/>
      <c r="B370" s="51"/>
      <c r="C370" s="51"/>
      <c r="D370" s="51"/>
      <c r="E370" s="51"/>
      <c r="F370" s="51"/>
      <c r="G370" s="51"/>
      <c r="H370" s="51"/>
      <c r="I370" s="5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row>
    <row r="371" spans="1:35">
      <c r="A371" s="51"/>
      <c r="B371" s="51"/>
      <c r="C371" s="51"/>
      <c r="D371" s="51"/>
      <c r="E371" s="51"/>
      <c r="F371" s="51"/>
      <c r="G371" s="51"/>
      <c r="H371" s="51"/>
      <c r="I371" s="5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row>
    <row r="372" spans="1:35">
      <c r="A372" s="51"/>
      <c r="B372" s="51"/>
      <c r="C372" s="51"/>
      <c r="D372" s="51"/>
      <c r="E372" s="51"/>
      <c r="F372" s="51"/>
      <c r="G372" s="51"/>
      <c r="H372" s="51"/>
      <c r="I372" s="5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row>
    <row r="373" spans="1:35">
      <c r="A373" s="51"/>
      <c r="B373" s="51"/>
      <c r="C373" s="51"/>
      <c r="D373" s="51"/>
      <c r="E373" s="51"/>
      <c r="F373" s="51"/>
      <c r="G373" s="51"/>
      <c r="H373" s="51"/>
      <c r="I373" s="5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row>
    <row r="374" spans="1:35">
      <c r="A374" s="51"/>
      <c r="B374" s="51"/>
      <c r="C374" s="51"/>
      <c r="D374" s="51"/>
      <c r="E374" s="51"/>
      <c r="F374" s="51"/>
      <c r="G374" s="51"/>
      <c r="H374" s="51"/>
      <c r="I374" s="5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row>
    <row r="375" spans="1:35">
      <c r="A375" s="51"/>
      <c r="B375" s="51"/>
      <c r="C375" s="51"/>
      <c r="D375" s="51"/>
      <c r="E375" s="51"/>
      <c r="F375" s="51"/>
      <c r="G375" s="51"/>
      <c r="H375" s="51"/>
      <c r="I375" s="5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row>
    <row r="376" spans="1:35">
      <c r="A376" s="51"/>
      <c r="B376" s="51"/>
      <c r="C376" s="51"/>
      <c r="D376" s="51"/>
      <c r="E376" s="51"/>
      <c r="F376" s="51"/>
      <c r="G376" s="51"/>
      <c r="H376" s="51"/>
      <c r="I376" s="5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row>
    <row r="377" spans="1:35">
      <c r="A377" s="51"/>
      <c r="B377" s="51"/>
      <c r="C377" s="51"/>
      <c r="D377" s="51"/>
      <c r="E377" s="51"/>
      <c r="F377" s="51"/>
      <c r="G377" s="51"/>
      <c r="H377" s="51"/>
      <c r="I377" s="5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row>
    <row r="378" spans="1:35">
      <c r="A378" s="51"/>
      <c r="B378" s="51"/>
      <c r="C378" s="51"/>
      <c r="D378" s="51"/>
      <c r="E378" s="51"/>
      <c r="F378" s="51"/>
      <c r="G378" s="51"/>
      <c r="H378" s="51"/>
      <c r="I378" s="5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row>
    <row r="379" spans="1:35">
      <c r="A379" s="51"/>
      <c r="B379" s="51"/>
      <c r="C379" s="51"/>
      <c r="D379" s="51"/>
      <c r="E379" s="51"/>
      <c r="F379" s="51"/>
      <c r="G379" s="51"/>
      <c r="H379" s="51"/>
      <c r="I379" s="5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row>
    <row r="380" spans="1:35">
      <c r="A380" s="51"/>
      <c r="B380" s="51"/>
      <c r="C380" s="51"/>
      <c r="D380" s="51"/>
      <c r="E380" s="51"/>
      <c r="F380" s="51"/>
      <c r="G380" s="51"/>
      <c r="H380" s="51"/>
      <c r="I380" s="5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row>
    <row r="381" spans="1:35">
      <c r="A381" s="51"/>
      <c r="B381" s="51"/>
      <c r="C381" s="51"/>
      <c r="D381" s="51"/>
      <c r="E381" s="51"/>
      <c r="F381" s="51"/>
      <c r="G381" s="51"/>
      <c r="H381" s="51"/>
      <c r="I381" s="5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row>
    <row r="382" spans="1:35">
      <c r="A382" s="51"/>
      <c r="B382" s="51"/>
      <c r="C382" s="51"/>
      <c r="D382" s="51"/>
      <c r="E382" s="51"/>
      <c r="F382" s="51"/>
      <c r="G382" s="51"/>
      <c r="H382" s="51"/>
      <c r="I382" s="5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row>
    <row r="383" spans="1:35">
      <c r="A383" s="51"/>
      <c r="B383" s="51"/>
      <c r="C383" s="51"/>
      <c r="D383" s="51"/>
      <c r="E383" s="51"/>
      <c r="F383" s="51"/>
      <c r="G383" s="51"/>
      <c r="H383" s="51"/>
      <c r="I383" s="5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row>
    <row r="384" spans="1:35">
      <c r="A384" s="51"/>
      <c r="B384" s="51"/>
      <c r="C384" s="51"/>
      <c r="D384" s="51"/>
      <c r="E384" s="51"/>
      <c r="F384" s="51"/>
      <c r="G384" s="51"/>
      <c r="H384" s="51"/>
      <c r="I384" s="5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row>
    <row r="385" spans="1:35">
      <c r="A385" s="51"/>
      <c r="B385" s="51"/>
      <c r="C385" s="51"/>
      <c r="D385" s="51"/>
      <c r="E385" s="51"/>
      <c r="F385" s="51"/>
      <c r="G385" s="51"/>
      <c r="H385" s="51"/>
      <c r="I385" s="5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row>
    <row r="386" spans="1:35">
      <c r="A386" s="51"/>
      <c r="B386" s="51"/>
      <c r="C386" s="51"/>
      <c r="D386" s="51"/>
      <c r="E386" s="51"/>
      <c r="F386" s="51"/>
      <c r="G386" s="51"/>
      <c r="H386" s="51"/>
      <c r="I386" s="5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row>
    <row r="387" spans="1:35">
      <c r="A387" s="51"/>
      <c r="B387" s="51"/>
      <c r="C387" s="51"/>
      <c r="D387" s="51"/>
      <c r="E387" s="51"/>
      <c r="F387" s="51"/>
      <c r="G387" s="51"/>
      <c r="H387" s="51"/>
      <c r="I387" s="5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row>
    <row r="388" spans="1:35">
      <c r="A388" s="51"/>
      <c r="B388" s="51"/>
      <c r="C388" s="51"/>
      <c r="D388" s="51"/>
      <c r="E388" s="51"/>
      <c r="F388" s="51"/>
      <c r="G388" s="51"/>
      <c r="H388" s="51"/>
      <c r="I388" s="5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row>
    <row r="389" spans="1:35">
      <c r="A389" s="51"/>
      <c r="B389" s="51"/>
      <c r="C389" s="51"/>
      <c r="D389" s="51"/>
      <c r="E389" s="51"/>
      <c r="F389" s="51"/>
      <c r="G389" s="51"/>
      <c r="H389" s="51"/>
      <c r="I389" s="5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row>
    <row r="390" spans="1:35">
      <c r="A390" s="51"/>
      <c r="B390" s="51"/>
      <c r="C390" s="51"/>
      <c r="D390" s="51"/>
      <c r="E390" s="51"/>
      <c r="F390" s="51"/>
      <c r="G390" s="51"/>
      <c r="H390" s="51"/>
      <c r="I390" s="5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row>
    <row r="391" spans="1:35">
      <c r="A391" s="51"/>
      <c r="B391" s="51"/>
      <c r="C391" s="51"/>
      <c r="D391" s="51"/>
      <c r="E391" s="51"/>
      <c r="F391" s="51"/>
      <c r="G391" s="51"/>
      <c r="H391" s="51"/>
      <c r="I391" s="5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row>
    <row r="392" spans="1:35">
      <c r="A392" s="51"/>
      <c r="B392" s="51"/>
      <c r="C392" s="51"/>
      <c r="D392" s="51"/>
      <c r="E392" s="51"/>
      <c r="F392" s="51"/>
      <c r="G392" s="51"/>
      <c r="H392" s="51"/>
      <c r="I392" s="5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row>
    <row r="393" spans="1:35">
      <c r="A393" s="51"/>
      <c r="B393" s="51"/>
      <c r="C393" s="51"/>
      <c r="D393" s="51"/>
      <c r="E393" s="51"/>
      <c r="F393" s="51"/>
      <c r="G393" s="51"/>
      <c r="H393" s="51"/>
      <c r="I393" s="5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row>
    <row r="394" spans="1:35">
      <c r="A394" s="51"/>
      <c r="B394" s="51"/>
      <c r="C394" s="51"/>
      <c r="D394" s="51"/>
      <c r="E394" s="51"/>
      <c r="F394" s="51"/>
      <c r="G394" s="51"/>
      <c r="H394" s="51"/>
      <c r="I394" s="5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row>
    <row r="395" spans="1:35">
      <c r="A395" s="51"/>
      <c r="B395" s="51"/>
      <c r="C395" s="51"/>
      <c r="D395" s="51"/>
      <c r="E395" s="51"/>
      <c r="F395" s="51"/>
      <c r="G395" s="51"/>
      <c r="H395" s="51"/>
      <c r="I395" s="5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row>
    <row r="396" spans="1:35">
      <c r="A396" s="51"/>
      <c r="B396" s="51"/>
      <c r="C396" s="51"/>
      <c r="D396" s="51"/>
      <c r="E396" s="51"/>
      <c r="F396" s="51"/>
      <c r="G396" s="51"/>
      <c r="H396" s="51"/>
      <c r="I396" s="5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row>
    <row r="397" spans="1:35">
      <c r="A397" s="51"/>
      <c r="B397" s="51"/>
      <c r="C397" s="51"/>
      <c r="D397" s="51"/>
      <c r="E397" s="51"/>
      <c r="F397" s="51"/>
      <c r="G397" s="51"/>
      <c r="H397" s="51"/>
      <c r="I397" s="5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row>
    <row r="398" spans="1:35">
      <c r="A398" s="51"/>
      <c r="B398" s="51"/>
      <c r="C398" s="51"/>
      <c r="D398" s="51"/>
      <c r="E398" s="51"/>
      <c r="F398" s="51"/>
      <c r="G398" s="51"/>
      <c r="H398" s="51"/>
      <c r="I398" s="5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row>
    <row r="399" spans="1:35">
      <c r="A399" s="51"/>
      <c r="B399" s="51"/>
      <c r="C399" s="51"/>
      <c r="D399" s="51"/>
      <c r="E399" s="51"/>
      <c r="F399" s="51"/>
      <c r="G399" s="51"/>
      <c r="H399" s="51"/>
      <c r="I399" s="5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row>
    <row r="400" spans="1:35">
      <c r="A400" s="51"/>
      <c r="B400" s="51"/>
      <c r="C400" s="51"/>
      <c r="D400" s="51"/>
      <c r="E400" s="51"/>
      <c r="F400" s="51"/>
      <c r="G400" s="51"/>
      <c r="H400" s="51"/>
      <c r="I400" s="5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row>
    <row r="401" spans="1:35">
      <c r="A401" s="51"/>
      <c r="B401" s="51"/>
      <c r="C401" s="51"/>
      <c r="D401" s="51"/>
      <c r="E401" s="51"/>
      <c r="F401" s="51"/>
      <c r="G401" s="51"/>
      <c r="H401" s="51"/>
      <c r="I401" s="5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row>
    <row r="402" spans="1:35">
      <c r="A402" s="51"/>
      <c r="B402" s="51"/>
      <c r="C402" s="51"/>
      <c r="D402" s="51"/>
      <c r="E402" s="51"/>
      <c r="F402" s="51"/>
      <c r="G402" s="51"/>
      <c r="H402" s="51"/>
      <c r="I402" s="5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row>
    <row r="403" spans="1:35">
      <c r="A403" s="51"/>
      <c r="B403" s="51"/>
      <c r="C403" s="51"/>
      <c r="D403" s="51"/>
      <c r="E403" s="51"/>
      <c r="F403" s="51"/>
      <c r="G403" s="51"/>
      <c r="H403" s="51"/>
      <c r="I403" s="5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row>
    <row r="404" spans="1:35">
      <c r="A404" s="51"/>
      <c r="B404" s="51"/>
      <c r="C404" s="51"/>
      <c r="D404" s="51"/>
      <c r="E404" s="51"/>
      <c r="F404" s="51"/>
      <c r="G404" s="51"/>
      <c r="H404" s="51"/>
      <c r="I404" s="5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row>
    <row r="405" spans="1:35">
      <c r="A405" s="51"/>
      <c r="B405" s="51"/>
      <c r="C405" s="51"/>
      <c r="D405" s="51"/>
      <c r="E405" s="51"/>
      <c r="F405" s="51"/>
      <c r="G405" s="51"/>
      <c r="H405" s="51"/>
      <c r="I405" s="5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row>
    <row r="406" spans="1:35">
      <c r="A406" s="51"/>
      <c r="B406" s="51"/>
      <c r="C406" s="51"/>
      <c r="D406" s="51"/>
      <c r="E406" s="51"/>
      <c r="F406" s="51"/>
      <c r="G406" s="51"/>
      <c r="H406" s="51"/>
      <c r="I406" s="5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row>
    <row r="407" spans="1:35">
      <c r="A407" s="51"/>
      <c r="B407" s="51"/>
      <c r="C407" s="51"/>
      <c r="D407" s="51"/>
      <c r="E407" s="51"/>
      <c r="F407" s="51"/>
      <c r="G407" s="51"/>
      <c r="H407" s="51"/>
      <c r="I407" s="5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row>
    <row r="408" spans="1:35">
      <c r="A408" s="51"/>
      <c r="B408" s="51"/>
      <c r="C408" s="51"/>
      <c r="D408" s="51"/>
      <c r="E408" s="51"/>
      <c r="F408" s="51"/>
      <c r="G408" s="51"/>
      <c r="H408" s="51"/>
      <c r="I408" s="5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row>
    <row r="409" spans="1:35">
      <c r="A409" s="51"/>
      <c r="B409" s="51"/>
      <c r="C409" s="51"/>
      <c r="D409" s="51"/>
      <c r="E409" s="51"/>
      <c r="F409" s="51"/>
      <c r="G409" s="51"/>
      <c r="H409" s="51"/>
      <c r="I409" s="5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row>
    <row r="410" spans="1:35">
      <c r="A410" s="51"/>
      <c r="B410" s="51"/>
      <c r="C410" s="51"/>
      <c r="D410" s="51"/>
      <c r="E410" s="51"/>
      <c r="F410" s="51"/>
      <c r="G410" s="51"/>
      <c r="H410" s="51"/>
      <c r="I410" s="5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row>
    <row r="411" spans="1:35">
      <c r="A411" s="51"/>
      <c r="B411" s="51"/>
      <c r="C411" s="51"/>
      <c r="D411" s="51"/>
      <c r="E411" s="51"/>
      <c r="F411" s="51"/>
      <c r="G411" s="51"/>
      <c r="H411" s="51"/>
      <c r="I411" s="5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row>
    <row r="412" spans="1:35">
      <c r="A412" s="51"/>
      <c r="B412" s="51"/>
      <c r="C412" s="51"/>
      <c r="D412" s="51"/>
      <c r="E412" s="51"/>
      <c r="F412" s="51"/>
      <c r="G412" s="51"/>
      <c r="H412" s="51"/>
      <c r="I412" s="5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row>
    <row r="413" spans="1:35">
      <c r="A413" s="51"/>
      <c r="B413" s="51"/>
      <c r="C413" s="51"/>
      <c r="D413" s="51"/>
      <c r="E413" s="51"/>
      <c r="F413" s="51"/>
      <c r="G413" s="51"/>
      <c r="H413" s="51"/>
      <c r="I413" s="5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row>
    <row r="414" spans="1:35">
      <c r="A414" s="51"/>
      <c r="B414" s="51"/>
      <c r="C414" s="51"/>
      <c r="D414" s="51"/>
      <c r="E414" s="51"/>
      <c r="F414" s="51"/>
      <c r="G414" s="51"/>
      <c r="H414" s="51"/>
      <c r="I414" s="5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row>
    <row r="415" spans="1:35">
      <c r="A415" s="51"/>
      <c r="B415" s="51"/>
      <c r="C415" s="51"/>
      <c r="D415" s="51"/>
      <c r="E415" s="51"/>
      <c r="F415" s="51"/>
      <c r="G415" s="51"/>
      <c r="H415" s="51"/>
      <c r="I415" s="5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row>
    <row r="416" spans="1:35">
      <c r="A416" s="51"/>
      <c r="B416" s="51"/>
      <c r="C416" s="51"/>
      <c r="D416" s="51"/>
      <c r="E416" s="51"/>
      <c r="F416" s="51"/>
      <c r="G416" s="51"/>
      <c r="H416" s="51"/>
      <c r="I416" s="5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row>
    <row r="417" spans="1:35">
      <c r="A417" s="51"/>
      <c r="B417" s="51"/>
      <c r="C417" s="51"/>
      <c r="D417" s="51"/>
      <c r="E417" s="51"/>
      <c r="F417" s="51"/>
      <c r="G417" s="51"/>
      <c r="H417" s="51"/>
      <c r="I417" s="5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row>
    <row r="418" spans="1:35">
      <c r="A418" s="51"/>
      <c r="B418" s="51"/>
      <c r="C418" s="51"/>
      <c r="D418" s="51"/>
      <c r="E418" s="51"/>
      <c r="F418" s="51"/>
      <c r="G418" s="51"/>
      <c r="H418" s="51"/>
      <c r="I418" s="5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row>
    <row r="419" spans="1:35">
      <c r="A419" s="51"/>
      <c r="B419" s="51"/>
      <c r="C419" s="51"/>
      <c r="D419" s="51"/>
      <c r="E419" s="51"/>
      <c r="F419" s="51"/>
      <c r="G419" s="51"/>
      <c r="H419" s="51"/>
      <c r="I419" s="5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row>
    <row r="420" spans="1:35">
      <c r="A420" s="51"/>
      <c r="B420" s="51"/>
      <c r="C420" s="51"/>
      <c r="D420" s="51"/>
      <c r="E420" s="51"/>
      <c r="F420" s="51"/>
      <c r="G420" s="51"/>
      <c r="H420" s="51"/>
      <c r="I420" s="5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row>
    <row r="421" spans="1:35">
      <c r="A421" s="51"/>
      <c r="B421" s="51"/>
      <c r="C421" s="51"/>
      <c r="D421" s="51"/>
      <c r="E421" s="51"/>
      <c r="F421" s="51"/>
      <c r="G421" s="51"/>
      <c r="H421" s="51"/>
      <c r="I421" s="5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row>
    <row r="422" spans="1:35">
      <c r="A422" s="51"/>
      <c r="B422" s="51"/>
      <c r="C422" s="51"/>
      <c r="D422" s="51"/>
      <c r="E422" s="51"/>
      <c r="F422" s="51"/>
      <c r="G422" s="51"/>
      <c r="H422" s="51"/>
      <c r="I422" s="5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row>
    <row r="423" spans="1:35">
      <c r="A423" s="51"/>
      <c r="B423" s="51"/>
      <c r="C423" s="51"/>
      <c r="D423" s="51"/>
      <c r="E423" s="51"/>
      <c r="F423" s="51"/>
      <c r="G423" s="51"/>
      <c r="H423" s="51"/>
      <c r="I423" s="5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row>
    <row r="424" spans="1:35">
      <c r="A424" s="51"/>
      <c r="B424" s="51"/>
      <c r="C424" s="51"/>
      <c r="D424" s="51"/>
      <c r="E424" s="51"/>
      <c r="F424" s="51"/>
      <c r="G424" s="51"/>
      <c r="H424" s="51"/>
      <c r="I424" s="5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row>
    <row r="425" spans="1:35">
      <c r="A425" s="51"/>
      <c r="B425" s="51"/>
      <c r="C425" s="51"/>
      <c r="D425" s="51"/>
      <c r="E425" s="51"/>
      <c r="F425" s="51"/>
      <c r="G425" s="51"/>
      <c r="H425" s="51"/>
      <c r="I425" s="5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row>
    <row r="426" spans="1:35">
      <c r="A426" s="51"/>
      <c r="B426" s="51"/>
      <c r="C426" s="51"/>
      <c r="D426" s="51"/>
      <c r="E426" s="51"/>
      <c r="F426" s="51"/>
      <c r="G426" s="51"/>
      <c r="H426" s="51"/>
      <c r="I426" s="5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row>
    <row r="427" spans="1:35">
      <c r="A427" s="51"/>
      <c r="B427" s="51"/>
      <c r="C427" s="51"/>
      <c r="D427" s="51"/>
      <c r="E427" s="51"/>
      <c r="F427" s="51"/>
      <c r="G427" s="51"/>
      <c r="H427" s="51"/>
      <c r="I427" s="5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row>
    <row r="428" spans="1:35">
      <c r="A428" s="51"/>
      <c r="B428" s="51"/>
      <c r="C428" s="51"/>
      <c r="D428" s="51"/>
      <c r="E428" s="51"/>
      <c r="F428" s="51"/>
      <c r="G428" s="51"/>
      <c r="H428" s="51"/>
      <c r="I428" s="5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row>
    <row r="429" spans="1:35">
      <c r="A429" s="51"/>
      <c r="B429" s="51"/>
      <c r="C429" s="51"/>
      <c r="D429" s="51"/>
      <c r="E429" s="51"/>
      <c r="F429" s="51"/>
      <c r="G429" s="51"/>
      <c r="H429" s="51"/>
      <c r="I429" s="5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row>
    <row r="430" spans="1:35">
      <c r="A430" s="51"/>
      <c r="B430" s="51"/>
      <c r="C430" s="51"/>
      <c r="D430" s="51"/>
      <c r="E430" s="51"/>
      <c r="F430" s="51"/>
      <c r="G430" s="51"/>
      <c r="H430" s="51"/>
      <c r="I430" s="5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row>
    <row r="431" spans="1:35">
      <c r="A431" s="51"/>
      <c r="B431" s="51"/>
      <c r="C431" s="51"/>
      <c r="D431" s="51"/>
      <c r="E431" s="51"/>
      <c r="F431" s="51"/>
      <c r="G431" s="51"/>
      <c r="H431" s="51"/>
      <c r="I431" s="5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row>
    <row r="432" spans="1:35">
      <c r="A432" s="51"/>
      <c r="B432" s="51"/>
      <c r="C432" s="51"/>
      <c r="D432" s="51"/>
      <c r="E432" s="51"/>
      <c r="F432" s="51"/>
      <c r="G432" s="51"/>
      <c r="H432" s="51"/>
      <c r="I432" s="5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row>
    <row r="433" spans="1:35">
      <c r="A433" s="51"/>
      <c r="B433" s="51"/>
      <c r="C433" s="51"/>
      <c r="D433" s="51"/>
      <c r="E433" s="51"/>
      <c r="F433" s="51"/>
      <c r="G433" s="51"/>
      <c r="H433" s="51"/>
      <c r="I433" s="5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row>
    <row r="434" spans="1:35">
      <c r="A434" s="51"/>
      <c r="B434" s="51"/>
      <c r="C434" s="51"/>
      <c r="D434" s="51"/>
      <c r="E434" s="51"/>
      <c r="F434" s="51"/>
      <c r="G434" s="51"/>
      <c r="H434" s="51"/>
      <c r="I434" s="5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row>
    <row r="435" spans="1:35">
      <c r="A435" s="51"/>
      <c r="B435" s="51"/>
      <c r="C435" s="51"/>
      <c r="D435" s="51"/>
      <c r="E435" s="51"/>
      <c r="F435" s="51"/>
      <c r="G435" s="51"/>
      <c r="H435" s="51"/>
      <c r="I435" s="5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row>
    <row r="436" spans="1:35">
      <c r="A436" s="51"/>
      <c r="B436" s="51"/>
      <c r="C436" s="51"/>
      <c r="D436" s="51"/>
      <c r="E436" s="51"/>
      <c r="F436" s="51"/>
      <c r="G436" s="51"/>
      <c r="H436" s="51"/>
      <c r="I436" s="5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row>
    <row r="437" spans="1:35">
      <c r="A437" s="51"/>
      <c r="B437" s="51"/>
      <c r="C437" s="51"/>
      <c r="D437" s="51"/>
      <c r="E437" s="51"/>
      <c r="F437" s="51"/>
      <c r="G437" s="51"/>
      <c r="H437" s="51"/>
      <c r="I437" s="5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row>
    <row r="438" spans="1:35">
      <c r="A438" s="51"/>
      <c r="B438" s="51"/>
      <c r="C438" s="51"/>
      <c r="D438" s="51"/>
      <c r="E438" s="51"/>
      <c r="F438" s="51"/>
      <c r="G438" s="51"/>
      <c r="H438" s="51"/>
      <c r="I438" s="5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row>
    <row r="439" spans="1:35">
      <c r="A439" s="51"/>
      <c r="B439" s="51"/>
      <c r="C439" s="51"/>
      <c r="D439" s="51"/>
      <c r="E439" s="51"/>
      <c r="F439" s="51"/>
      <c r="G439" s="51"/>
      <c r="H439" s="51"/>
      <c r="I439" s="5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row>
    <row r="440" spans="1:35">
      <c r="A440" s="51"/>
      <c r="B440" s="51"/>
      <c r="C440" s="51"/>
      <c r="D440" s="51"/>
      <c r="E440" s="51"/>
      <c r="F440" s="51"/>
      <c r="G440" s="51"/>
      <c r="H440" s="51"/>
      <c r="I440" s="5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row>
    <row r="441" spans="1:35">
      <c r="A441" s="51"/>
      <c r="B441" s="51"/>
      <c r="C441" s="51"/>
      <c r="D441" s="51"/>
      <c r="E441" s="51"/>
      <c r="F441" s="51"/>
      <c r="G441" s="51"/>
      <c r="H441" s="51"/>
      <c r="I441" s="5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row>
    <row r="442" spans="1:35">
      <c r="A442" s="51"/>
      <c r="B442" s="51"/>
      <c r="C442" s="51"/>
      <c r="D442" s="51"/>
      <c r="E442" s="51"/>
      <c r="F442" s="51"/>
      <c r="G442" s="51"/>
      <c r="H442" s="51"/>
      <c r="I442" s="5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row>
    <row r="443" spans="1:35">
      <c r="A443" s="51"/>
      <c r="B443" s="51"/>
      <c r="C443" s="51"/>
      <c r="D443" s="51"/>
      <c r="E443" s="51"/>
      <c r="F443" s="51"/>
      <c r="G443" s="51"/>
      <c r="H443" s="51"/>
      <c r="I443" s="5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row>
    <row r="444" spans="1:35">
      <c r="A444" s="51"/>
      <c r="B444" s="51"/>
      <c r="C444" s="51"/>
      <c r="D444" s="51"/>
      <c r="E444" s="51"/>
      <c r="F444" s="51"/>
      <c r="G444" s="51"/>
      <c r="H444" s="51"/>
      <c r="I444" s="5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row>
    <row r="445" spans="1:35">
      <c r="A445" s="51"/>
      <c r="B445" s="51"/>
      <c r="C445" s="51"/>
      <c r="D445" s="51"/>
      <c r="E445" s="51"/>
      <c r="F445" s="51"/>
      <c r="G445" s="51"/>
      <c r="H445" s="51"/>
      <c r="I445" s="5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row>
    <row r="446" spans="1:35">
      <c r="A446" s="51"/>
      <c r="B446" s="51"/>
      <c r="C446" s="51"/>
      <c r="D446" s="51"/>
      <c r="E446" s="51"/>
      <c r="F446" s="51"/>
      <c r="G446" s="51"/>
      <c r="H446" s="51"/>
      <c r="I446" s="5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row>
    <row r="447" spans="1:35">
      <c r="A447" s="51"/>
      <c r="B447" s="51"/>
      <c r="C447" s="51"/>
      <c r="D447" s="51"/>
      <c r="E447" s="51"/>
      <c r="F447" s="51"/>
      <c r="G447" s="51"/>
      <c r="H447" s="51"/>
      <c r="I447" s="5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row>
    <row r="448" spans="1:35">
      <c r="A448" s="51"/>
      <c r="B448" s="51"/>
      <c r="C448" s="51"/>
      <c r="D448" s="51"/>
      <c r="E448" s="51"/>
      <c r="F448" s="51"/>
      <c r="G448" s="51"/>
      <c r="H448" s="51"/>
      <c r="I448" s="5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row>
    <row r="449" spans="1:35">
      <c r="A449" s="51"/>
      <c r="B449" s="51"/>
      <c r="C449" s="51"/>
      <c r="D449" s="51"/>
      <c r="E449" s="51"/>
      <c r="F449" s="51"/>
      <c r="G449" s="51"/>
      <c r="H449" s="51"/>
      <c r="I449" s="5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row>
    <row r="450" spans="1:35">
      <c r="A450" s="51"/>
      <c r="B450" s="51"/>
      <c r="C450" s="51"/>
      <c r="D450" s="51"/>
      <c r="E450" s="51"/>
      <c r="F450" s="51"/>
      <c r="G450" s="51"/>
      <c r="H450" s="51"/>
      <c r="I450" s="5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row>
    <row r="451" spans="1:35">
      <c r="A451" s="51"/>
      <c r="B451" s="51"/>
      <c r="C451" s="51"/>
      <c r="D451" s="51"/>
      <c r="E451" s="51"/>
      <c r="F451" s="51"/>
      <c r="G451" s="51"/>
      <c r="H451" s="51"/>
      <c r="I451" s="5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row>
    <row r="452" spans="1:35">
      <c r="A452" s="51"/>
      <c r="B452" s="51"/>
      <c r="C452" s="51"/>
      <c r="D452" s="51"/>
      <c r="E452" s="51"/>
      <c r="F452" s="51"/>
      <c r="G452" s="51"/>
      <c r="H452" s="51"/>
      <c r="I452" s="5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row>
    <row r="453" spans="1:35">
      <c r="A453" s="51"/>
      <c r="B453" s="51"/>
      <c r="C453" s="51"/>
      <c r="D453" s="51"/>
      <c r="E453" s="51"/>
      <c r="F453" s="51"/>
      <c r="G453" s="51"/>
      <c r="H453" s="51"/>
      <c r="I453" s="5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row>
    <row r="454" spans="1:35">
      <c r="A454" s="51"/>
      <c r="B454" s="51"/>
      <c r="C454" s="51"/>
      <c r="D454" s="51"/>
      <c r="E454" s="51"/>
      <c r="F454" s="51"/>
      <c r="G454" s="51"/>
      <c r="H454" s="51"/>
      <c r="I454" s="5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row>
    <row r="455" spans="1:35">
      <c r="A455" s="51"/>
      <c r="B455" s="51"/>
      <c r="C455" s="51"/>
      <c r="D455" s="51"/>
      <c r="E455" s="51"/>
      <c r="F455" s="51"/>
      <c r="G455" s="51"/>
      <c r="H455" s="51"/>
      <c r="I455" s="5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row>
    <row r="456" spans="1:35">
      <c r="A456" s="51"/>
      <c r="B456" s="51"/>
      <c r="C456" s="51"/>
      <c r="D456" s="51"/>
      <c r="E456" s="51"/>
      <c r="F456" s="51"/>
      <c r="G456" s="51"/>
      <c r="H456" s="51"/>
      <c r="I456" s="5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row>
    <row r="457" spans="1:35">
      <c r="A457" s="51"/>
      <c r="B457" s="51"/>
      <c r="C457" s="51"/>
      <c r="D457" s="51"/>
      <c r="E457" s="51"/>
      <c r="F457" s="51"/>
      <c r="G457" s="51"/>
      <c r="H457" s="51"/>
      <c r="I457" s="5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row>
    <row r="458" spans="1:35">
      <c r="A458" s="51"/>
      <c r="B458" s="51"/>
      <c r="C458" s="51"/>
      <c r="D458" s="51"/>
      <c r="E458" s="51"/>
      <c r="F458" s="51"/>
      <c r="G458" s="51"/>
      <c r="H458" s="51"/>
      <c r="I458" s="5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row>
    <row r="459" spans="1:35">
      <c r="A459" s="51"/>
      <c r="B459" s="51"/>
      <c r="C459" s="51"/>
      <c r="D459" s="51"/>
      <c r="E459" s="51"/>
      <c r="F459" s="51"/>
      <c r="G459" s="51"/>
      <c r="H459" s="51"/>
      <c r="I459" s="5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row>
    <row r="460" spans="1:35">
      <c r="A460" s="51"/>
      <c r="B460" s="51"/>
      <c r="C460" s="51"/>
      <c r="D460" s="51"/>
      <c r="E460" s="51"/>
      <c r="F460" s="51"/>
      <c r="G460" s="51"/>
      <c r="H460" s="51"/>
      <c r="I460" s="5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row>
    <row r="461" spans="1:35">
      <c r="A461" s="51"/>
      <c r="B461" s="51"/>
      <c r="C461" s="51"/>
      <c r="D461" s="51"/>
      <c r="E461" s="51"/>
      <c r="F461" s="51"/>
      <c r="G461" s="51"/>
      <c r="H461" s="51"/>
      <c r="I461" s="5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row>
    <row r="462" spans="1:35">
      <c r="A462" s="51"/>
      <c r="B462" s="51"/>
      <c r="C462" s="51"/>
      <c r="D462" s="51"/>
      <c r="E462" s="51"/>
      <c r="F462" s="51"/>
      <c r="G462" s="51"/>
      <c r="H462" s="51"/>
      <c r="I462" s="5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row>
    <row r="463" spans="1:35">
      <c r="A463" s="51"/>
      <c r="B463" s="51"/>
      <c r="C463" s="51"/>
      <c r="D463" s="51"/>
      <c r="E463" s="51"/>
      <c r="F463" s="51"/>
      <c r="G463" s="51"/>
      <c r="H463" s="51"/>
      <c r="I463" s="5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row>
    <row r="464" spans="1:35">
      <c r="A464" s="51"/>
      <c r="B464" s="51"/>
      <c r="C464" s="51"/>
      <c r="D464" s="51"/>
      <c r="E464" s="51"/>
      <c r="F464" s="51"/>
      <c r="G464" s="51"/>
      <c r="H464" s="51"/>
      <c r="I464" s="5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row>
    <row r="465" spans="1:35">
      <c r="A465" s="51"/>
      <c r="B465" s="51"/>
      <c r="C465" s="51"/>
      <c r="D465" s="51"/>
      <c r="E465" s="51"/>
      <c r="F465" s="51"/>
      <c r="G465" s="51"/>
      <c r="H465" s="51"/>
      <c r="I465" s="5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row>
    <row r="466" spans="1:35">
      <c r="A466" s="51"/>
      <c r="B466" s="51"/>
      <c r="C466" s="51"/>
      <c r="D466" s="51"/>
      <c r="E466" s="51"/>
      <c r="F466" s="51"/>
      <c r="G466" s="51"/>
      <c r="H466" s="51"/>
      <c r="I466" s="5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row>
    <row r="467" spans="1:35">
      <c r="A467" s="51"/>
      <c r="B467" s="51"/>
      <c r="C467" s="51"/>
      <c r="D467" s="51"/>
      <c r="E467" s="51"/>
      <c r="F467" s="51"/>
      <c r="G467" s="51"/>
      <c r="H467" s="51"/>
      <c r="I467" s="5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row>
    <row r="468" spans="1:35">
      <c r="A468" s="51"/>
      <c r="B468" s="51"/>
      <c r="C468" s="51"/>
      <c r="D468" s="51"/>
      <c r="E468" s="51"/>
      <c r="F468" s="51"/>
      <c r="G468" s="51"/>
      <c r="H468" s="51"/>
      <c r="I468" s="5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row>
    <row r="469" spans="1:35">
      <c r="A469" s="51"/>
      <c r="B469" s="51"/>
      <c r="C469" s="51"/>
      <c r="D469" s="51"/>
      <c r="E469" s="51"/>
      <c r="F469" s="51"/>
      <c r="G469" s="51"/>
      <c r="H469" s="51"/>
      <c r="I469" s="5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row>
    <row r="470" spans="1:35">
      <c r="A470" s="51"/>
      <c r="B470" s="51"/>
      <c r="C470" s="51"/>
      <c r="D470" s="51"/>
      <c r="E470" s="51"/>
      <c r="F470" s="51"/>
      <c r="G470" s="51"/>
      <c r="H470" s="51"/>
      <c r="I470" s="5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row>
    <row r="471" spans="1:35">
      <c r="A471" s="51"/>
      <c r="B471" s="51"/>
      <c r="C471" s="51"/>
      <c r="D471" s="51"/>
      <c r="E471" s="51"/>
      <c r="F471" s="51"/>
      <c r="G471" s="51"/>
      <c r="H471" s="51"/>
      <c r="I471" s="5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row>
    <row r="472" spans="1:35">
      <c r="A472" s="51"/>
      <c r="B472" s="51"/>
      <c r="C472" s="51"/>
      <c r="D472" s="51"/>
      <c r="E472" s="51"/>
      <c r="F472" s="51"/>
      <c r="G472" s="51"/>
      <c r="H472" s="51"/>
      <c r="I472" s="5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row>
    <row r="473" spans="1:35">
      <c r="A473" s="51"/>
      <c r="B473" s="51"/>
      <c r="C473" s="51"/>
      <c r="D473" s="51"/>
      <c r="E473" s="51"/>
      <c r="F473" s="51"/>
      <c r="G473" s="51"/>
      <c r="H473" s="51"/>
      <c r="I473" s="5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row>
    <row r="474" spans="1:35">
      <c r="A474" s="51"/>
      <c r="B474" s="51"/>
      <c r="C474" s="51"/>
      <c r="D474" s="51"/>
      <c r="E474" s="51"/>
      <c r="F474" s="51"/>
      <c r="G474" s="51"/>
      <c r="H474" s="51"/>
      <c r="I474" s="5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row>
    <row r="475" spans="1:35">
      <c r="A475" s="51"/>
      <c r="B475" s="51"/>
      <c r="C475" s="51"/>
      <c r="D475" s="51"/>
      <c r="E475" s="51"/>
      <c r="F475" s="51"/>
      <c r="G475" s="51"/>
      <c r="H475" s="51"/>
      <c r="I475" s="5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row>
    <row r="476" spans="1:35">
      <c r="A476" s="51"/>
      <c r="B476" s="51"/>
      <c r="C476" s="51"/>
      <c r="D476" s="51"/>
      <c r="E476" s="51"/>
      <c r="F476" s="51"/>
      <c r="G476" s="51"/>
      <c r="H476" s="51"/>
      <c r="I476" s="5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row>
    <row r="477" spans="1:35">
      <c r="A477" s="51"/>
      <c r="B477" s="51"/>
      <c r="C477" s="51"/>
      <c r="D477" s="51"/>
      <c r="E477" s="51"/>
      <c r="F477" s="51"/>
      <c r="G477" s="51"/>
      <c r="H477" s="51"/>
      <c r="I477" s="5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row>
    <row r="478" spans="1:35">
      <c r="A478" s="51"/>
      <c r="B478" s="51"/>
      <c r="C478" s="51"/>
      <c r="D478" s="51"/>
      <c r="E478" s="51"/>
      <c r="F478" s="51"/>
      <c r="G478" s="51"/>
      <c r="H478" s="51"/>
      <c r="I478" s="5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row>
    <row r="479" spans="1:35">
      <c r="A479" s="51"/>
      <c r="B479" s="51"/>
      <c r="C479" s="51"/>
      <c r="D479" s="51"/>
      <c r="E479" s="51"/>
      <c r="F479" s="51"/>
      <c r="G479" s="51"/>
      <c r="H479" s="51"/>
      <c r="I479" s="5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row>
    <row r="480" spans="1:35">
      <c r="A480" s="51"/>
      <c r="B480" s="51"/>
      <c r="C480" s="51"/>
      <c r="D480" s="51"/>
      <c r="E480" s="51"/>
      <c r="F480" s="51"/>
      <c r="G480" s="51"/>
      <c r="H480" s="51"/>
      <c r="I480" s="5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row>
    <row r="481" spans="1:35">
      <c r="A481" s="51"/>
      <c r="B481" s="51"/>
      <c r="C481" s="51"/>
      <c r="D481" s="51"/>
      <c r="E481" s="51"/>
      <c r="F481" s="51"/>
      <c r="G481" s="51"/>
      <c r="H481" s="51"/>
      <c r="I481" s="5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row>
    <row r="482" spans="1:35">
      <c r="A482" s="51"/>
      <c r="B482" s="51"/>
      <c r="C482" s="51"/>
      <c r="D482" s="51"/>
      <c r="E482" s="51"/>
      <c r="F482" s="51"/>
      <c r="G482" s="51"/>
      <c r="H482" s="51"/>
      <c r="I482" s="5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row>
    <row r="483" spans="1:35">
      <c r="A483" s="51"/>
      <c r="B483" s="51"/>
      <c r="C483" s="51"/>
      <c r="D483" s="51"/>
      <c r="E483" s="51"/>
      <c r="F483" s="51"/>
      <c r="G483" s="51"/>
      <c r="H483" s="51"/>
      <c r="I483" s="5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row>
    <row r="484" spans="1:35">
      <c r="A484" s="51"/>
      <c r="B484" s="51"/>
      <c r="C484" s="51"/>
      <c r="D484" s="51"/>
      <c r="E484" s="51"/>
      <c r="F484" s="51"/>
      <c r="G484" s="51"/>
      <c r="H484" s="51"/>
      <c r="I484" s="5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row>
    <row r="485" spans="1:35">
      <c r="A485" s="51"/>
      <c r="B485" s="51"/>
      <c r="C485" s="51"/>
      <c r="D485" s="51"/>
      <c r="E485" s="51"/>
      <c r="F485" s="51"/>
      <c r="G485" s="51"/>
      <c r="H485" s="51"/>
      <c r="I485" s="5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row>
    <row r="486" spans="1:35">
      <c r="A486" s="51"/>
      <c r="B486" s="51"/>
      <c r="C486" s="51"/>
      <c r="D486" s="51"/>
      <c r="E486" s="51"/>
      <c r="F486" s="51"/>
      <c r="G486" s="51"/>
      <c r="H486" s="51"/>
      <c r="I486" s="5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row>
    <row r="487" spans="1:35">
      <c r="A487" s="51"/>
      <c r="B487" s="51"/>
      <c r="C487" s="51"/>
      <c r="D487" s="51"/>
      <c r="E487" s="51"/>
      <c r="F487" s="51"/>
      <c r="G487" s="51"/>
      <c r="H487" s="51"/>
      <c r="I487" s="5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row>
    <row r="488" spans="1:35">
      <c r="A488" s="51"/>
      <c r="B488" s="51"/>
      <c r="C488" s="51"/>
      <c r="D488" s="51"/>
      <c r="E488" s="51"/>
      <c r="F488" s="51"/>
      <c r="G488" s="51"/>
      <c r="H488" s="51"/>
      <c r="I488" s="5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row>
    <row r="489" spans="1:35">
      <c r="A489" s="51"/>
      <c r="B489" s="51"/>
      <c r="C489" s="51"/>
      <c r="D489" s="51"/>
      <c r="E489" s="51"/>
      <c r="F489" s="51"/>
      <c r="G489" s="51"/>
      <c r="H489" s="51"/>
      <c r="I489" s="5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row>
    <row r="490" spans="1:35">
      <c r="A490" s="51"/>
      <c r="B490" s="51"/>
      <c r="C490" s="51"/>
      <c r="D490" s="51"/>
      <c r="E490" s="51"/>
      <c r="F490" s="51"/>
      <c r="G490" s="51"/>
      <c r="H490" s="51"/>
      <c r="I490" s="5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row>
    <row r="491" spans="1:35">
      <c r="A491" s="51"/>
      <c r="B491" s="51"/>
      <c r="C491" s="51"/>
      <c r="D491" s="51"/>
      <c r="E491" s="51"/>
      <c r="F491" s="51"/>
      <c r="G491" s="51"/>
      <c r="H491" s="51"/>
      <c r="I491" s="5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row>
    <row r="492" spans="1:35">
      <c r="A492" s="51"/>
      <c r="B492" s="51"/>
      <c r="C492" s="51"/>
      <c r="D492" s="51"/>
      <c r="E492" s="51"/>
      <c r="F492" s="51"/>
      <c r="G492" s="51"/>
      <c r="H492" s="51"/>
      <c r="I492" s="5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row>
    <row r="493" spans="1:35">
      <c r="A493" s="51"/>
      <c r="B493" s="51"/>
      <c r="C493" s="51"/>
      <c r="D493" s="51"/>
      <c r="E493" s="51"/>
      <c r="F493" s="51"/>
      <c r="G493" s="51"/>
      <c r="H493" s="51"/>
      <c r="I493" s="5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row>
    <row r="494" spans="1:35">
      <c r="A494" s="51"/>
      <c r="B494" s="51"/>
      <c r="C494" s="51"/>
      <c r="D494" s="51"/>
      <c r="E494" s="51"/>
      <c r="F494" s="51"/>
      <c r="G494" s="51"/>
      <c r="H494" s="51"/>
      <c r="I494" s="5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row>
    <row r="495" spans="1:35">
      <c r="A495" s="51"/>
      <c r="B495" s="51"/>
      <c r="C495" s="51"/>
      <c r="D495" s="51"/>
      <c r="E495" s="51"/>
      <c r="F495" s="51"/>
      <c r="G495" s="51"/>
      <c r="H495" s="51"/>
      <c r="I495" s="5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row>
    <row r="496" spans="1:35">
      <c r="A496" s="51"/>
      <c r="B496" s="51"/>
      <c r="C496" s="51"/>
      <c r="D496" s="51"/>
      <c r="E496" s="51"/>
      <c r="F496" s="51"/>
      <c r="G496" s="51"/>
      <c r="H496" s="51"/>
      <c r="I496" s="5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row>
    <row r="497" spans="1:35">
      <c r="A497" s="51"/>
      <c r="B497" s="51"/>
      <c r="C497" s="51"/>
      <c r="D497" s="51"/>
      <c r="E497" s="51"/>
      <c r="F497" s="51"/>
      <c r="G497" s="51"/>
      <c r="H497" s="51"/>
      <c r="I497" s="5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row>
    <row r="498" spans="1:35">
      <c r="A498" s="51"/>
      <c r="B498" s="51"/>
      <c r="C498" s="51"/>
      <c r="D498" s="51"/>
      <c r="E498" s="51"/>
      <c r="F498" s="51"/>
      <c r="G498" s="51"/>
      <c r="H498" s="51"/>
      <c r="I498" s="5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row>
    <row r="499" spans="1:35">
      <c r="A499" s="51"/>
      <c r="B499" s="51"/>
      <c r="C499" s="51"/>
      <c r="D499" s="51"/>
      <c r="E499" s="51"/>
      <c r="F499" s="51"/>
      <c r="G499" s="51"/>
      <c r="H499" s="51"/>
      <c r="I499" s="5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row>
    <row r="500" spans="1:35">
      <c r="A500" s="51"/>
      <c r="B500" s="51"/>
      <c r="C500" s="51"/>
      <c r="D500" s="51"/>
      <c r="E500" s="51"/>
      <c r="F500" s="51"/>
      <c r="G500" s="51"/>
      <c r="H500" s="51"/>
      <c r="I500" s="5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row>
    <row r="501" spans="1:35">
      <c r="A501" s="51"/>
      <c r="B501" s="51"/>
      <c r="C501" s="51"/>
      <c r="D501" s="51"/>
      <c r="E501" s="51"/>
      <c r="F501" s="51"/>
      <c r="G501" s="51"/>
      <c r="H501" s="51"/>
      <c r="I501" s="5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row>
    <row r="502" spans="1:35">
      <c r="A502" s="51"/>
      <c r="B502" s="51"/>
      <c r="C502" s="51"/>
      <c r="D502" s="51"/>
      <c r="E502" s="51"/>
      <c r="F502" s="51"/>
      <c r="G502" s="51"/>
      <c r="H502" s="51"/>
      <c r="I502" s="5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row>
    <row r="503" spans="1:35">
      <c r="A503" s="51"/>
      <c r="B503" s="51"/>
      <c r="C503" s="51"/>
      <c r="D503" s="51"/>
      <c r="E503" s="51"/>
      <c r="F503" s="51"/>
      <c r="G503" s="51"/>
      <c r="H503" s="51"/>
      <c r="I503" s="5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row>
    <row r="504" spans="1:35">
      <c r="A504" s="51"/>
      <c r="B504" s="51"/>
      <c r="C504" s="51"/>
      <c r="D504" s="51"/>
      <c r="E504" s="51"/>
      <c r="F504" s="51"/>
      <c r="G504" s="51"/>
      <c r="H504" s="51"/>
      <c r="I504" s="5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row>
    <row r="505" spans="1:35">
      <c r="A505" s="51"/>
      <c r="B505" s="51"/>
      <c r="C505" s="51"/>
      <c r="D505" s="51"/>
      <c r="E505" s="51"/>
      <c r="F505" s="51"/>
      <c r="G505" s="51"/>
      <c r="H505" s="51"/>
      <c r="I505" s="5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row>
    <row r="506" spans="1:35">
      <c r="A506" s="51"/>
      <c r="B506" s="51"/>
      <c r="C506" s="51"/>
      <c r="D506" s="51"/>
      <c r="E506" s="51"/>
      <c r="F506" s="51"/>
      <c r="G506" s="51"/>
      <c r="H506" s="51"/>
      <c r="I506" s="5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row>
    <row r="507" spans="1:35">
      <c r="A507" s="51"/>
      <c r="B507" s="51"/>
      <c r="C507" s="51"/>
      <c r="D507" s="51"/>
      <c r="E507" s="51"/>
      <c r="F507" s="51"/>
      <c r="G507" s="51"/>
      <c r="H507" s="51"/>
      <c r="I507" s="5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row>
    <row r="508" spans="1:35">
      <c r="A508" s="51"/>
      <c r="B508" s="51"/>
      <c r="C508" s="51"/>
      <c r="D508" s="51"/>
      <c r="E508" s="51"/>
      <c r="F508" s="51"/>
      <c r="G508" s="51"/>
      <c r="H508" s="51"/>
      <c r="I508" s="5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row>
    <row r="509" spans="1:35">
      <c r="A509" s="51"/>
      <c r="B509" s="51"/>
      <c r="C509" s="51"/>
      <c r="D509" s="51"/>
      <c r="E509" s="51"/>
      <c r="F509" s="51"/>
      <c r="G509" s="51"/>
      <c r="H509" s="51"/>
      <c r="I509" s="5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row>
    <row r="510" spans="1:35">
      <c r="A510" s="51"/>
      <c r="B510" s="51"/>
      <c r="C510" s="51"/>
      <c r="D510" s="51"/>
      <c r="E510" s="51"/>
      <c r="F510" s="51"/>
      <c r="G510" s="51"/>
      <c r="H510" s="51"/>
      <c r="I510" s="5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row>
    <row r="511" spans="1:35">
      <c r="A511" s="51"/>
      <c r="B511" s="51"/>
      <c r="C511" s="51"/>
      <c r="D511" s="51"/>
      <c r="E511" s="51"/>
      <c r="F511" s="51"/>
      <c r="G511" s="51"/>
      <c r="H511" s="51"/>
      <c r="I511" s="5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row>
    <row r="512" spans="1:35">
      <c r="A512" s="51"/>
      <c r="B512" s="51"/>
      <c r="C512" s="51"/>
      <c r="D512" s="51"/>
      <c r="E512" s="51"/>
      <c r="F512" s="51"/>
      <c r="G512" s="51"/>
      <c r="H512" s="51"/>
      <c r="I512" s="5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row>
    <row r="513" spans="1:35">
      <c r="A513" s="51"/>
      <c r="B513" s="51"/>
      <c r="C513" s="51"/>
      <c r="D513" s="51"/>
      <c r="E513" s="51"/>
      <c r="F513" s="51"/>
      <c r="G513" s="51"/>
      <c r="H513" s="51"/>
      <c r="I513" s="5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row>
    <row r="514" spans="1:35">
      <c r="A514" s="51"/>
      <c r="B514" s="51"/>
      <c r="C514" s="51"/>
      <c r="D514" s="51"/>
      <c r="E514" s="51"/>
      <c r="F514" s="51"/>
      <c r="G514" s="51"/>
      <c r="H514" s="51"/>
      <c r="I514" s="5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row>
    <row r="515" spans="1:35">
      <c r="A515" s="51"/>
      <c r="B515" s="51"/>
      <c r="C515" s="51"/>
      <c r="D515" s="51"/>
      <c r="E515" s="51"/>
      <c r="F515" s="51"/>
      <c r="G515" s="51"/>
      <c r="H515" s="51"/>
      <c r="I515" s="5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row>
    <row r="516" spans="1:35">
      <c r="A516" s="51"/>
      <c r="B516" s="51"/>
      <c r="C516" s="51"/>
      <c r="D516" s="51"/>
      <c r="E516" s="51"/>
      <c r="F516" s="51"/>
      <c r="G516" s="51"/>
      <c r="H516" s="51"/>
      <c r="I516" s="5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row>
    <row r="517" spans="1:35">
      <c r="A517" s="51"/>
      <c r="B517" s="51"/>
      <c r="C517" s="51"/>
      <c r="D517" s="51"/>
      <c r="E517" s="51"/>
      <c r="F517" s="51"/>
      <c r="G517" s="51"/>
      <c r="H517" s="51"/>
      <c r="I517" s="5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row>
    <row r="518" spans="1:35">
      <c r="A518" s="51"/>
      <c r="B518" s="51"/>
      <c r="C518" s="51"/>
      <c r="D518" s="51"/>
      <c r="E518" s="51"/>
      <c r="F518" s="51"/>
      <c r="G518" s="51"/>
      <c r="H518" s="51"/>
      <c r="I518" s="5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row>
    <row r="519" spans="1:35">
      <c r="A519" s="51"/>
      <c r="B519" s="51"/>
      <c r="C519" s="51"/>
      <c r="D519" s="51"/>
      <c r="E519" s="51"/>
      <c r="F519" s="51"/>
      <c r="G519" s="51"/>
      <c r="H519" s="51"/>
      <c r="I519" s="5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row>
    <row r="520" spans="1:35">
      <c r="A520" s="51"/>
      <c r="B520" s="51"/>
      <c r="C520" s="51"/>
      <c r="D520" s="51"/>
      <c r="E520" s="51"/>
      <c r="F520" s="51"/>
      <c r="G520" s="51"/>
      <c r="H520" s="51"/>
      <c r="I520" s="5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row>
    <row r="521" spans="1:35">
      <c r="A521" s="51"/>
      <c r="B521" s="51"/>
      <c r="C521" s="51"/>
      <c r="D521" s="51"/>
      <c r="E521" s="51"/>
      <c r="F521" s="51"/>
      <c r="G521" s="51"/>
      <c r="H521" s="51"/>
      <c r="I521" s="5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row>
    <row r="522" spans="1:35">
      <c r="A522" s="51"/>
      <c r="B522" s="51"/>
      <c r="C522" s="51"/>
      <c r="D522" s="51"/>
      <c r="E522" s="51"/>
      <c r="F522" s="51"/>
      <c r="G522" s="51"/>
      <c r="H522" s="51"/>
      <c r="I522" s="5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row>
    <row r="523" spans="1:35">
      <c r="A523" s="51"/>
      <c r="B523" s="51"/>
      <c r="C523" s="51"/>
      <c r="D523" s="51"/>
      <c r="E523" s="51"/>
      <c r="F523" s="51"/>
      <c r="G523" s="51"/>
      <c r="H523" s="51"/>
      <c r="I523" s="5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row>
    <row r="524" spans="1:35">
      <c r="A524" s="51"/>
      <c r="B524" s="51"/>
      <c r="C524" s="51"/>
      <c r="D524" s="51"/>
      <c r="E524" s="51"/>
      <c r="F524" s="51"/>
      <c r="G524" s="51"/>
      <c r="H524" s="51"/>
      <c r="I524" s="5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row>
    <row r="525" spans="1:35">
      <c r="A525" s="51"/>
      <c r="B525" s="51"/>
      <c r="C525" s="51"/>
      <c r="D525" s="51"/>
      <c r="E525" s="51"/>
      <c r="F525" s="51"/>
      <c r="G525" s="51"/>
      <c r="H525" s="51"/>
      <c r="I525" s="5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row>
    <row r="526" spans="1:35">
      <c r="A526" s="51"/>
      <c r="B526" s="51"/>
      <c r="C526" s="51"/>
      <c r="D526" s="51"/>
      <c r="E526" s="51"/>
      <c r="F526" s="51"/>
      <c r="G526" s="51"/>
      <c r="H526" s="51"/>
      <c r="I526" s="5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row>
    <row r="527" spans="1:35">
      <c r="A527" s="51"/>
      <c r="B527" s="51"/>
      <c r="C527" s="51"/>
      <c r="D527" s="51"/>
      <c r="E527" s="51"/>
      <c r="F527" s="51"/>
      <c r="G527" s="51"/>
      <c r="H527" s="51"/>
      <c r="I527" s="5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row>
    <row r="528" spans="1:35">
      <c r="A528" s="51"/>
      <c r="B528" s="51"/>
      <c r="C528" s="51"/>
      <c r="D528" s="51"/>
      <c r="E528" s="51"/>
      <c r="F528" s="51"/>
      <c r="G528" s="51"/>
      <c r="H528" s="51"/>
      <c r="I528" s="5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row>
    <row r="529" spans="1:35">
      <c r="A529" s="51"/>
      <c r="B529" s="51"/>
      <c r="C529" s="51"/>
      <c r="D529" s="51"/>
      <c r="E529" s="51"/>
      <c r="F529" s="51"/>
      <c r="G529" s="51"/>
      <c r="H529" s="51"/>
      <c r="I529" s="5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row>
    <row r="530" spans="1:35">
      <c r="A530" s="51"/>
      <c r="B530" s="51"/>
      <c r="C530" s="51"/>
      <c r="D530" s="51"/>
      <c r="E530" s="51"/>
      <c r="F530" s="51"/>
      <c r="G530" s="51"/>
      <c r="H530" s="51"/>
      <c r="I530" s="5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row>
    <row r="531" spans="1:35">
      <c r="A531" s="51"/>
      <c r="B531" s="51"/>
      <c r="C531" s="51"/>
      <c r="D531" s="51"/>
      <c r="E531" s="51"/>
      <c r="F531" s="51"/>
      <c r="G531" s="51"/>
      <c r="H531" s="51"/>
      <c r="I531" s="5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row>
    <row r="532" spans="1:35">
      <c r="A532" s="51"/>
      <c r="B532" s="51"/>
      <c r="C532" s="51"/>
      <c r="D532" s="51"/>
      <c r="E532" s="51"/>
      <c r="F532" s="51"/>
      <c r="G532" s="51"/>
      <c r="H532" s="51"/>
      <c r="I532" s="5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row>
    <row r="533" spans="1:35">
      <c r="A533" s="51"/>
      <c r="B533" s="51"/>
      <c r="C533" s="51"/>
      <c r="D533" s="51"/>
      <c r="E533" s="51"/>
      <c r="F533" s="51"/>
      <c r="G533" s="51"/>
      <c r="H533" s="51"/>
      <c r="I533" s="5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row>
    <row r="534" spans="1:35">
      <c r="A534" s="51"/>
      <c r="B534" s="51"/>
      <c r="C534" s="51"/>
      <c r="D534" s="51"/>
      <c r="E534" s="51"/>
      <c r="F534" s="51"/>
      <c r="G534" s="51"/>
      <c r="H534" s="51"/>
      <c r="I534" s="5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row>
    <row r="535" spans="1:35">
      <c r="A535" s="51"/>
      <c r="B535" s="51"/>
      <c r="C535" s="51"/>
      <c r="D535" s="51"/>
      <c r="E535" s="51"/>
      <c r="F535" s="51"/>
      <c r="G535" s="51"/>
      <c r="H535" s="51"/>
      <c r="I535" s="5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row>
    <row r="536" spans="1:35">
      <c r="A536" s="51"/>
      <c r="B536" s="51"/>
      <c r="C536" s="51"/>
      <c r="D536" s="51"/>
      <c r="E536" s="51"/>
      <c r="F536" s="51"/>
      <c r="G536" s="51"/>
      <c r="H536" s="51"/>
      <c r="I536" s="5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row>
    <row r="537" spans="1:35">
      <c r="A537" s="51"/>
      <c r="B537" s="51"/>
      <c r="C537" s="51"/>
      <c r="D537" s="51"/>
      <c r="E537" s="51"/>
      <c r="F537" s="51"/>
      <c r="G537" s="51"/>
      <c r="H537" s="51"/>
      <c r="I537" s="5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row>
    <row r="538" spans="1:35">
      <c r="A538" s="51"/>
      <c r="B538" s="51"/>
      <c r="C538" s="51"/>
      <c r="D538" s="51"/>
      <c r="E538" s="51"/>
      <c r="F538" s="51"/>
      <c r="G538" s="51"/>
      <c r="H538" s="51"/>
      <c r="I538" s="5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row>
    <row r="539" spans="1:35">
      <c r="A539" s="51"/>
      <c r="B539" s="51"/>
      <c r="C539" s="51"/>
      <c r="D539" s="51"/>
      <c r="E539" s="51"/>
      <c r="F539" s="51"/>
      <c r="G539" s="51"/>
      <c r="H539" s="51"/>
      <c r="I539" s="5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row>
    <row r="540" spans="1:35">
      <c r="A540" s="51"/>
      <c r="B540" s="51"/>
      <c r="C540" s="51"/>
      <c r="D540" s="51"/>
      <c r="E540" s="51"/>
      <c r="F540" s="51"/>
      <c r="G540" s="51"/>
      <c r="H540" s="51"/>
      <c r="I540" s="5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row>
    <row r="541" spans="1:35">
      <c r="A541" s="51"/>
      <c r="B541" s="51"/>
      <c r="C541" s="51"/>
      <c r="D541" s="51"/>
      <c r="E541" s="51"/>
      <c r="F541" s="51"/>
      <c r="G541" s="51"/>
      <c r="H541" s="51"/>
      <c r="I541" s="5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row>
    <row r="542" spans="1:35">
      <c r="A542" s="51"/>
      <c r="B542" s="51"/>
      <c r="C542" s="51"/>
      <c r="D542" s="51"/>
      <c r="E542" s="51"/>
      <c r="F542" s="51"/>
      <c r="G542" s="51"/>
      <c r="H542" s="51"/>
      <c r="I542" s="5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row>
    <row r="543" spans="1:35">
      <c r="A543" s="51"/>
      <c r="B543" s="51"/>
      <c r="C543" s="51"/>
      <c r="D543" s="51"/>
      <c r="E543" s="51"/>
      <c r="F543" s="51"/>
      <c r="G543" s="51"/>
      <c r="H543" s="51"/>
      <c r="I543" s="5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row>
    <row r="544" spans="1:35">
      <c r="A544" s="51"/>
      <c r="B544" s="51"/>
      <c r="C544" s="51"/>
      <c r="D544" s="51"/>
      <c r="E544" s="51"/>
      <c r="F544" s="51"/>
      <c r="G544" s="51"/>
      <c r="H544" s="51"/>
      <c r="I544" s="5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row>
    <row r="545" spans="1:35">
      <c r="A545" s="51"/>
      <c r="B545" s="51"/>
      <c r="C545" s="51"/>
      <c r="D545" s="51"/>
      <c r="E545" s="51"/>
      <c r="F545" s="51"/>
      <c r="G545" s="51"/>
      <c r="H545" s="51"/>
      <c r="I545" s="5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row>
    <row r="546" spans="1:35">
      <c r="A546" s="51"/>
      <c r="B546" s="51"/>
      <c r="C546" s="51"/>
      <c r="D546" s="51"/>
      <c r="E546" s="51"/>
      <c r="F546" s="51"/>
      <c r="G546" s="51"/>
      <c r="H546" s="51"/>
      <c r="I546" s="5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row>
    <row r="547" spans="1:35">
      <c r="A547" s="51"/>
      <c r="B547" s="51"/>
      <c r="C547" s="51"/>
      <c r="D547" s="51"/>
      <c r="E547" s="51"/>
      <c r="F547" s="51"/>
      <c r="G547" s="51"/>
      <c r="H547" s="51"/>
      <c r="I547" s="5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row>
    <row r="548" spans="1:35">
      <c r="A548" s="51"/>
      <c r="B548" s="51"/>
      <c r="C548" s="51"/>
      <c r="D548" s="51"/>
      <c r="E548" s="51"/>
      <c r="F548" s="51"/>
      <c r="G548" s="51"/>
      <c r="H548" s="51"/>
      <c r="I548" s="5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row>
    <row r="549" spans="1:35">
      <c r="A549" s="51"/>
      <c r="B549" s="51"/>
      <c r="C549" s="51"/>
      <c r="D549" s="51"/>
      <c r="E549" s="51"/>
      <c r="F549" s="51"/>
      <c r="G549" s="51"/>
      <c r="H549" s="51"/>
      <c r="I549" s="5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row>
    <row r="550" spans="1:35">
      <c r="A550" s="51"/>
      <c r="B550" s="51"/>
      <c r="C550" s="51"/>
      <c r="D550" s="51"/>
      <c r="E550" s="51"/>
      <c r="F550" s="51"/>
      <c r="G550" s="51"/>
      <c r="H550" s="51"/>
      <c r="I550" s="5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row>
    <row r="551" spans="1:35">
      <c r="A551" s="51"/>
      <c r="B551" s="51"/>
      <c r="C551" s="51"/>
      <c r="D551" s="51"/>
      <c r="E551" s="51"/>
      <c r="F551" s="51"/>
      <c r="G551" s="51"/>
      <c r="H551" s="51"/>
      <c r="I551" s="5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row>
    <row r="552" spans="1:35">
      <c r="A552" s="51"/>
      <c r="B552" s="51"/>
      <c r="C552" s="51"/>
      <c r="D552" s="51"/>
      <c r="E552" s="51"/>
      <c r="F552" s="51"/>
      <c r="G552" s="51"/>
      <c r="H552" s="51"/>
      <c r="I552" s="5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row>
    <row r="553" spans="1:35">
      <c r="A553" s="51"/>
      <c r="B553" s="51"/>
      <c r="C553" s="51"/>
      <c r="D553" s="51"/>
      <c r="E553" s="51"/>
      <c r="F553" s="51"/>
      <c r="G553" s="51"/>
      <c r="H553" s="51"/>
      <c r="I553" s="5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row>
    <row r="554" spans="1:35">
      <c r="A554" s="51"/>
      <c r="B554" s="51"/>
      <c r="C554" s="51"/>
      <c r="D554" s="51"/>
      <c r="E554" s="51"/>
      <c r="F554" s="51"/>
      <c r="G554" s="51"/>
      <c r="H554" s="51"/>
      <c r="I554" s="5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row>
    <row r="555" spans="1:35">
      <c r="A555" s="51"/>
      <c r="B555" s="51"/>
      <c r="C555" s="51"/>
      <c r="D555" s="51"/>
      <c r="E555" s="51"/>
      <c r="F555" s="51"/>
      <c r="G555" s="51"/>
      <c r="H555" s="51"/>
      <c r="I555" s="5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row>
    <row r="556" spans="1:35">
      <c r="A556" s="51"/>
      <c r="B556" s="51"/>
      <c r="C556" s="51"/>
      <c r="D556" s="51"/>
      <c r="E556" s="51"/>
      <c r="F556" s="51"/>
      <c r="G556" s="51"/>
      <c r="H556" s="51"/>
      <c r="I556" s="5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row>
    <row r="557" spans="1:35">
      <c r="R557" s="51"/>
      <c r="S557" s="51"/>
      <c r="T557" s="51"/>
      <c r="U557" s="51"/>
      <c r="V557" s="51"/>
      <c r="W557" s="51"/>
      <c r="X557" s="51"/>
      <c r="Y557" s="51"/>
      <c r="Z557" s="51"/>
      <c r="AA557" s="51"/>
      <c r="AB557" s="51"/>
      <c r="AC557" s="51"/>
      <c r="AD557" s="51"/>
      <c r="AE557" s="51"/>
      <c r="AF557" s="51"/>
      <c r="AG557" s="51"/>
      <c r="AH557" s="51"/>
      <c r="AI557" s="51"/>
    </row>
    <row r="558" spans="1:35">
      <c r="R558" s="51"/>
      <c r="S558" s="51"/>
      <c r="T558" s="51"/>
      <c r="U558" s="51"/>
      <c r="V558" s="51"/>
      <c r="W558" s="51"/>
      <c r="X558" s="51"/>
      <c r="Y558" s="51"/>
      <c r="Z558" s="51"/>
      <c r="AA558" s="51"/>
      <c r="AB558" s="51"/>
      <c r="AC558" s="51"/>
      <c r="AD558" s="51"/>
      <c r="AE558" s="51"/>
      <c r="AF558" s="51"/>
      <c r="AG558" s="51"/>
      <c r="AH558" s="51"/>
      <c r="AI558" s="51"/>
    </row>
    <row r="559" spans="1:35">
      <c r="R559" s="51"/>
      <c r="S559" s="51"/>
      <c r="T559" s="51"/>
      <c r="U559" s="51"/>
      <c r="V559" s="51"/>
      <c r="W559" s="51"/>
      <c r="X559" s="51"/>
      <c r="Y559" s="51"/>
      <c r="Z559" s="51"/>
      <c r="AA559" s="51"/>
      <c r="AB559" s="51"/>
      <c r="AC559" s="51"/>
      <c r="AD559" s="51"/>
      <c r="AE559" s="51"/>
      <c r="AF559" s="51"/>
      <c r="AG559" s="51"/>
      <c r="AH559" s="51"/>
      <c r="AI559" s="51"/>
    </row>
    <row r="560" spans="1:35">
      <c r="R560" s="51"/>
      <c r="S560" s="51"/>
      <c r="T560" s="51"/>
      <c r="U560" s="51"/>
      <c r="V560" s="51"/>
      <c r="W560" s="51"/>
      <c r="X560" s="51"/>
      <c r="Y560" s="51"/>
      <c r="Z560" s="51"/>
      <c r="AA560" s="51"/>
      <c r="AB560" s="51"/>
      <c r="AC560" s="51"/>
      <c r="AD560" s="51"/>
      <c r="AE560" s="51"/>
      <c r="AF560" s="51"/>
      <c r="AG560" s="51"/>
      <c r="AH560" s="51"/>
      <c r="AI560" s="51"/>
    </row>
  </sheetData>
  <sheetProtection objects="1" scenarios="1"/>
  <mergeCells count="16">
    <mergeCell ref="D132:N133"/>
    <mergeCell ref="D142:N150"/>
    <mergeCell ref="C1:I1"/>
    <mergeCell ref="D181:N182"/>
    <mergeCell ref="D175:N177"/>
    <mergeCell ref="D179:N180"/>
    <mergeCell ref="D153:N156"/>
    <mergeCell ref="D171:N173"/>
    <mergeCell ref="S2:Y2"/>
    <mergeCell ref="S13:AD16"/>
    <mergeCell ref="S10:AD11"/>
    <mergeCell ref="H4:K7"/>
    <mergeCell ref="A100:A123"/>
    <mergeCell ref="E110:N112"/>
    <mergeCell ref="E117:N118"/>
    <mergeCell ref="S3:AD8"/>
  </mergeCells>
  <phoneticPr fontId="0" type="noConversion"/>
  <pageMargins left="1.19" right="0.75" top="1" bottom="1" header="0.5" footer="0.5"/>
  <pageSetup scale="65" fitToHeight="5" orientation="landscape" horizontalDpi="4294967292" verticalDpi="300" r:id="rId1"/>
  <headerFooter alignWithMargins="0">
    <oddHeader>&amp;C&amp;"Arial,Bold"&amp;12Bear River Spreadsheet Model
Dry Year Conditions</oddHeader>
    <oddFooter>&amp;L&amp;F &amp;A&amp;RAPPENDIX A (Page &amp;P of &amp;N)</oddFooter>
  </headerFooter>
  <legacyDrawing r:id="rId2"/>
</worksheet>
</file>

<file path=xl/worksheets/sheet2.xml><?xml version="1.0" encoding="utf-8"?>
<worksheet xmlns="http://schemas.openxmlformats.org/spreadsheetml/2006/main" xmlns:r="http://schemas.openxmlformats.org/officeDocument/2006/relationships">
  <sheetPr codeName="Sheet3">
    <pageSetUpPr autoPageBreaks="0"/>
  </sheetPr>
  <dimension ref="H2:S10"/>
  <sheetViews>
    <sheetView showGridLines="0" showRowColHeaders="0" zoomScale="65" zoomScaleNormal="65" zoomScaleSheetLayoutView="75" workbookViewId="0">
      <selection activeCell="B26" sqref="B26"/>
    </sheetView>
  </sheetViews>
  <sheetFormatPr defaultRowHeight="12.75"/>
  <sheetData>
    <row r="2" spans="8:19" ht="20.25">
      <c r="I2" s="376" t="s">
        <v>536</v>
      </c>
    </row>
    <row r="3" spans="8:19">
      <c r="H3" s="420"/>
      <c r="I3" s="420"/>
      <c r="J3" s="420"/>
      <c r="K3" s="420"/>
      <c r="L3" s="420"/>
      <c r="M3" s="420"/>
      <c r="N3" s="420"/>
      <c r="O3" s="420"/>
      <c r="P3" s="420"/>
      <c r="Q3" s="420"/>
      <c r="R3" s="420"/>
      <c r="S3" s="420"/>
    </row>
    <row r="4" spans="8:19" ht="13.5" thickBot="1"/>
    <row r="5" spans="8:19">
      <c r="K5" s="648" t="s">
        <v>448</v>
      </c>
      <c r="L5" s="649"/>
      <c r="M5" s="649"/>
      <c r="N5" s="649"/>
      <c r="O5" s="650"/>
    </row>
    <row r="6" spans="8:19">
      <c r="K6" s="651"/>
      <c r="L6" s="652"/>
      <c r="M6" s="652"/>
      <c r="N6" s="652"/>
      <c r="O6" s="653"/>
    </row>
    <row r="7" spans="8:19">
      <c r="K7" s="651"/>
      <c r="L7" s="652"/>
      <c r="M7" s="652"/>
      <c r="N7" s="652"/>
      <c r="O7" s="653"/>
    </row>
    <row r="8" spans="8:19">
      <c r="K8" s="651"/>
      <c r="L8" s="652"/>
      <c r="M8" s="652"/>
      <c r="N8" s="652"/>
      <c r="O8" s="653"/>
    </row>
    <row r="9" spans="8:19">
      <c r="K9" s="651"/>
      <c r="L9" s="652"/>
      <c r="M9" s="652"/>
      <c r="N9" s="652"/>
      <c r="O9" s="653"/>
    </row>
    <row r="10" spans="8:19" ht="13.5" thickBot="1">
      <c r="K10" s="654"/>
      <c r="L10" s="655"/>
      <c r="M10" s="655"/>
      <c r="N10" s="655"/>
      <c r="O10" s="656"/>
    </row>
  </sheetData>
  <mergeCells count="1">
    <mergeCell ref="K5:O10"/>
  </mergeCells>
  <phoneticPr fontId="0" type="noConversion"/>
  <pageMargins left="0.75" right="0.75" top="1" bottom="1" header="0.5" footer="0.5"/>
  <pageSetup scale="65" orientation="landscape" horizontalDpi="4294967292" verticalDpi="0" r:id="rId1"/>
  <headerFooter alignWithMargins="0">
    <oddHeader>&amp;C&amp;"Arial,Bold"&amp;12Bear River Spreadsheet Model
Dry Year Conditions</oddHeader>
    <oddFooter>&amp;L&amp;F &amp;A&amp;RAPPENDIX A (Page &amp;P of &amp;N)</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1">
    <pageSetUpPr autoPageBreaks="0"/>
  </sheetPr>
  <dimension ref="A1:S75"/>
  <sheetViews>
    <sheetView showGridLines="0" showRowColHeaders="0" zoomScale="75" zoomScaleNormal="75" workbookViewId="0">
      <pane ySplit="4" topLeftCell="A5" activePane="bottomLeft" state="frozen"/>
      <selection activeCell="B26" sqref="B26"/>
      <selection pane="bottomLeft" activeCell="B1" sqref="B1"/>
    </sheetView>
  </sheetViews>
  <sheetFormatPr defaultRowHeight="12.75"/>
  <cols>
    <col min="2" max="2" width="25.140625" bestFit="1" customWidth="1"/>
    <col min="4" max="4" width="12.7109375" customWidth="1"/>
    <col min="5" max="5" width="21.7109375" bestFit="1" customWidth="1"/>
  </cols>
  <sheetData>
    <row r="1" spans="1:19" ht="43.5" customHeight="1">
      <c r="A1" s="658"/>
    </row>
    <row r="2" spans="1:19" ht="25.5">
      <c r="A2" s="658"/>
      <c r="D2" s="657" t="s">
        <v>90</v>
      </c>
      <c r="E2" s="657"/>
      <c r="F2" s="657"/>
      <c r="G2" s="657"/>
      <c r="H2" s="657"/>
      <c r="I2" s="657"/>
      <c r="J2" s="657"/>
    </row>
    <row r="3" spans="1:19">
      <c r="A3" s="658"/>
      <c r="B3" s="122"/>
      <c r="D3" s="122"/>
      <c r="H3" s="420"/>
      <c r="I3" s="420"/>
      <c r="J3" s="420"/>
      <c r="K3" s="420"/>
      <c r="L3" s="420"/>
      <c r="M3" s="420"/>
      <c r="N3" s="420"/>
      <c r="O3" s="420"/>
      <c r="P3" s="420"/>
      <c r="Q3" s="420"/>
      <c r="R3" s="420"/>
      <c r="S3" s="420"/>
    </row>
    <row r="4" spans="1:19">
      <c r="A4" s="658"/>
    </row>
    <row r="5" spans="1:19" ht="15">
      <c r="D5" s="187" t="s">
        <v>76</v>
      </c>
      <c r="E5" s="172" t="s">
        <v>518</v>
      </c>
      <c r="R5" s="188"/>
    </row>
    <row r="6" spans="1:19" ht="15">
      <c r="D6" s="187" t="s">
        <v>58</v>
      </c>
      <c r="E6" s="172" t="s">
        <v>142</v>
      </c>
      <c r="R6" s="188"/>
    </row>
    <row r="7" spans="1:19" ht="15">
      <c r="D7" s="187" t="s">
        <v>59</v>
      </c>
      <c r="E7" s="172" t="s">
        <v>176</v>
      </c>
      <c r="R7" s="188"/>
    </row>
    <row r="8" spans="1:19" ht="15">
      <c r="D8" s="187" t="s">
        <v>60</v>
      </c>
      <c r="E8" s="172" t="s">
        <v>129</v>
      </c>
      <c r="R8" s="188"/>
    </row>
    <row r="9" spans="1:19" ht="15">
      <c r="D9" s="187" t="s">
        <v>61</v>
      </c>
      <c r="E9" s="172" t="s">
        <v>38</v>
      </c>
      <c r="R9" s="188"/>
    </row>
    <row r="10" spans="1:19" ht="15">
      <c r="D10" s="187" t="s">
        <v>62</v>
      </c>
      <c r="E10" s="172" t="s">
        <v>39</v>
      </c>
      <c r="R10" s="188"/>
    </row>
    <row r="11" spans="1:19" ht="15">
      <c r="D11" s="187" t="s">
        <v>63</v>
      </c>
      <c r="E11" s="172" t="s">
        <v>40</v>
      </c>
      <c r="R11" s="188"/>
    </row>
    <row r="12" spans="1:19" ht="15">
      <c r="D12" s="187" t="s">
        <v>64</v>
      </c>
      <c r="E12" s="172" t="s">
        <v>41</v>
      </c>
      <c r="R12" s="188"/>
    </row>
    <row r="13" spans="1:19" ht="15">
      <c r="D13" s="187" t="s">
        <v>65</v>
      </c>
      <c r="E13" s="172" t="s">
        <v>42</v>
      </c>
      <c r="R13" s="188"/>
    </row>
    <row r="14" spans="1:19" ht="15">
      <c r="D14" s="187" t="s">
        <v>66</v>
      </c>
      <c r="E14" s="172" t="s">
        <v>43</v>
      </c>
      <c r="R14" s="188"/>
    </row>
    <row r="15" spans="1:19" ht="15">
      <c r="D15" s="187" t="s">
        <v>67</v>
      </c>
      <c r="E15" s="172" t="s">
        <v>44</v>
      </c>
      <c r="R15" s="188"/>
    </row>
    <row r="16" spans="1:19" ht="15">
      <c r="D16" s="187" t="s">
        <v>68</v>
      </c>
      <c r="E16" s="172" t="s">
        <v>45</v>
      </c>
      <c r="R16" s="188"/>
    </row>
    <row r="17" spans="1:18" ht="15">
      <c r="D17" s="187" t="s">
        <v>69</v>
      </c>
      <c r="E17" s="172" t="s">
        <v>46</v>
      </c>
      <c r="R17" s="188"/>
    </row>
    <row r="18" spans="1:18" ht="15">
      <c r="D18" s="187" t="s">
        <v>70</v>
      </c>
      <c r="E18" s="172" t="s">
        <v>47</v>
      </c>
      <c r="R18" s="188"/>
    </row>
    <row r="19" spans="1:18" ht="15">
      <c r="D19" s="187" t="s">
        <v>315</v>
      </c>
      <c r="E19" s="172" t="s">
        <v>330</v>
      </c>
      <c r="R19" s="188"/>
    </row>
    <row r="20" spans="1:18" ht="15">
      <c r="D20" s="187" t="s">
        <v>319</v>
      </c>
      <c r="E20" s="172" t="s">
        <v>320</v>
      </c>
      <c r="R20" s="188"/>
    </row>
    <row r="21" spans="1:18" ht="15">
      <c r="D21" s="187" t="s">
        <v>77</v>
      </c>
      <c r="E21" s="172" t="s">
        <v>519</v>
      </c>
      <c r="R21" s="188"/>
    </row>
    <row r="22" spans="1:18" ht="15">
      <c r="D22" s="187" t="s">
        <v>78</v>
      </c>
      <c r="E22" s="172" t="s">
        <v>259</v>
      </c>
      <c r="R22" s="188"/>
    </row>
    <row r="23" spans="1:18" ht="15">
      <c r="D23" s="187" t="s">
        <v>161</v>
      </c>
      <c r="E23" s="172" t="s">
        <v>75</v>
      </c>
      <c r="R23" s="188"/>
    </row>
    <row r="24" spans="1:18" ht="15">
      <c r="D24" s="187" t="s">
        <v>189</v>
      </c>
      <c r="E24" s="172" t="s">
        <v>258</v>
      </c>
      <c r="L24" s="658"/>
      <c r="R24" s="188"/>
    </row>
    <row r="25" spans="1:18" ht="15">
      <c r="A25" s="237"/>
      <c r="D25" s="187" t="s">
        <v>79</v>
      </c>
      <c r="E25" s="172" t="s">
        <v>178</v>
      </c>
      <c r="L25" s="658"/>
      <c r="R25" s="188"/>
    </row>
    <row r="26" spans="1:18" ht="15">
      <c r="A26" s="237"/>
      <c r="D26" s="187" t="s">
        <v>71</v>
      </c>
      <c r="E26" s="172" t="s">
        <v>48</v>
      </c>
      <c r="L26" s="658"/>
      <c r="R26" s="188"/>
    </row>
    <row r="27" spans="1:18" ht="15">
      <c r="D27" s="187" t="s">
        <v>149</v>
      </c>
      <c r="E27" s="172" t="s">
        <v>150</v>
      </c>
      <c r="L27" s="658"/>
      <c r="R27" s="188"/>
    </row>
    <row r="28" spans="1:18" ht="15">
      <c r="D28" s="187" t="s">
        <v>119</v>
      </c>
      <c r="E28" s="172" t="s">
        <v>278</v>
      </c>
      <c r="L28" s="658"/>
      <c r="R28" s="188"/>
    </row>
    <row r="29" spans="1:18" ht="15">
      <c r="D29" s="187" t="s">
        <v>141</v>
      </c>
      <c r="E29" s="172" t="s">
        <v>321</v>
      </c>
      <c r="L29" s="658"/>
      <c r="R29" s="188"/>
    </row>
    <row r="30" spans="1:18" ht="15">
      <c r="D30" s="187" t="s">
        <v>153</v>
      </c>
      <c r="E30" s="172" t="s">
        <v>154</v>
      </c>
      <c r="L30" s="658"/>
      <c r="R30" s="188"/>
    </row>
    <row r="31" spans="1:18" ht="15">
      <c r="D31" s="187" t="s">
        <v>262</v>
      </c>
      <c r="E31" s="172" t="s">
        <v>263</v>
      </c>
      <c r="L31" s="658"/>
      <c r="R31" s="188"/>
    </row>
    <row r="32" spans="1:18" ht="15">
      <c r="D32" s="187" t="s">
        <v>167</v>
      </c>
      <c r="E32" s="172" t="s">
        <v>177</v>
      </c>
      <c r="L32" s="658"/>
      <c r="R32" s="188"/>
    </row>
    <row r="33" spans="4:18" ht="15">
      <c r="D33" s="187" t="s">
        <v>134</v>
      </c>
      <c r="E33" s="172" t="s">
        <v>169</v>
      </c>
      <c r="L33" s="658"/>
      <c r="R33" s="188"/>
    </row>
    <row r="34" spans="4:18" ht="15">
      <c r="D34" s="187" t="s">
        <v>143</v>
      </c>
      <c r="E34" s="172" t="s">
        <v>144</v>
      </c>
      <c r="L34" s="658"/>
      <c r="R34" s="188"/>
    </row>
    <row r="35" spans="4:18" ht="15">
      <c r="D35" s="187" t="s">
        <v>155</v>
      </c>
      <c r="E35" s="172" t="s">
        <v>266</v>
      </c>
      <c r="L35" s="658"/>
      <c r="R35" s="188"/>
    </row>
    <row r="36" spans="4:18" ht="15">
      <c r="D36" s="187" t="s">
        <v>265</v>
      </c>
      <c r="E36" s="172" t="s">
        <v>156</v>
      </c>
      <c r="L36" s="658"/>
      <c r="R36" s="188"/>
    </row>
    <row r="37" spans="4:18" ht="15">
      <c r="D37" s="187" t="s">
        <v>120</v>
      </c>
      <c r="E37" s="172" t="s">
        <v>279</v>
      </c>
      <c r="L37" s="658"/>
      <c r="R37" s="188"/>
    </row>
    <row r="38" spans="4:18" ht="15">
      <c r="D38" s="187" t="s">
        <v>162</v>
      </c>
      <c r="E38" s="172" t="s">
        <v>163</v>
      </c>
      <c r="L38" s="658"/>
      <c r="R38" s="188"/>
    </row>
    <row r="39" spans="4:18" ht="15">
      <c r="D39" s="187" t="s">
        <v>121</v>
      </c>
      <c r="E39" s="172" t="s">
        <v>280</v>
      </c>
      <c r="L39" s="658"/>
      <c r="R39" s="188"/>
    </row>
    <row r="40" spans="4:18" ht="15">
      <c r="D40" s="187" t="s">
        <v>139</v>
      </c>
      <c r="E40" s="172" t="s">
        <v>174</v>
      </c>
      <c r="L40" s="658"/>
      <c r="R40" s="188"/>
    </row>
    <row r="41" spans="4:18" ht="15">
      <c r="D41" s="187" t="s">
        <v>130</v>
      </c>
      <c r="E41" s="172" t="s">
        <v>131</v>
      </c>
      <c r="L41" s="658"/>
      <c r="R41" s="188"/>
    </row>
    <row r="42" spans="4:18" ht="15">
      <c r="D42" s="187" t="s">
        <v>230</v>
      </c>
      <c r="E42" s="172" t="s">
        <v>231</v>
      </c>
      <c r="L42" s="658"/>
      <c r="R42" s="188"/>
    </row>
    <row r="43" spans="4:18" ht="15">
      <c r="D43" s="187" t="s">
        <v>556</v>
      </c>
      <c r="E43" s="172" t="s">
        <v>557</v>
      </c>
      <c r="L43" s="658"/>
      <c r="R43" s="188"/>
    </row>
    <row r="44" spans="4:18" ht="15">
      <c r="D44" s="187" t="s">
        <v>122</v>
      </c>
      <c r="E44" s="172" t="s">
        <v>281</v>
      </c>
      <c r="L44" s="658"/>
      <c r="R44" s="188"/>
    </row>
    <row r="45" spans="4:18" ht="15">
      <c r="D45" s="187" t="s">
        <v>164</v>
      </c>
      <c r="E45" s="172" t="s">
        <v>165</v>
      </c>
      <c r="L45" s="658"/>
      <c r="R45" s="188"/>
    </row>
    <row r="46" spans="4:18" ht="15">
      <c r="D46" s="187" t="s">
        <v>270</v>
      </c>
      <c r="E46" s="172" t="s">
        <v>326</v>
      </c>
      <c r="L46" s="658"/>
      <c r="R46" s="188"/>
    </row>
    <row r="47" spans="4:18" ht="15">
      <c r="D47" s="187" t="s">
        <v>123</v>
      </c>
      <c r="E47" s="172" t="s">
        <v>520</v>
      </c>
      <c r="L47" s="658"/>
      <c r="R47" s="188"/>
    </row>
    <row r="48" spans="4:18" ht="15">
      <c r="D48" s="187" t="s">
        <v>166</v>
      </c>
      <c r="E48" s="172" t="s">
        <v>179</v>
      </c>
      <c r="L48" s="658"/>
      <c r="R48" s="188"/>
    </row>
    <row r="49" spans="4:18" ht="15">
      <c r="D49" s="187" t="s">
        <v>327</v>
      </c>
      <c r="E49" s="172" t="s">
        <v>271</v>
      </c>
      <c r="R49" s="188"/>
    </row>
    <row r="50" spans="4:18" ht="15">
      <c r="D50" s="187" t="s">
        <v>168</v>
      </c>
      <c r="E50" s="172" t="s">
        <v>148</v>
      </c>
      <c r="R50" s="188"/>
    </row>
    <row r="51" spans="4:18" ht="15">
      <c r="D51" s="187" t="s">
        <v>147</v>
      </c>
      <c r="E51" s="172" t="s">
        <v>554</v>
      </c>
      <c r="R51" s="188"/>
    </row>
    <row r="52" spans="4:18" ht="15">
      <c r="D52" s="187" t="s">
        <v>132</v>
      </c>
      <c r="E52" s="172" t="s">
        <v>133</v>
      </c>
      <c r="H52" s="172"/>
      <c r="R52" s="188"/>
    </row>
    <row r="53" spans="4:18" ht="15">
      <c r="D53" s="187" t="s">
        <v>138</v>
      </c>
      <c r="E53" s="172" t="s">
        <v>173</v>
      </c>
      <c r="R53" s="188"/>
    </row>
    <row r="54" spans="4:18" ht="15">
      <c r="D54" s="187" t="s">
        <v>136</v>
      </c>
      <c r="E54" s="172" t="s">
        <v>171</v>
      </c>
      <c r="R54" s="188"/>
    </row>
    <row r="55" spans="4:18" ht="15">
      <c r="D55" s="187" t="s">
        <v>137</v>
      </c>
      <c r="E55" s="172" t="s">
        <v>172</v>
      </c>
      <c r="R55" s="188"/>
    </row>
    <row r="56" spans="4:18" ht="15">
      <c r="D56" s="187" t="s">
        <v>157</v>
      </c>
      <c r="E56" s="172" t="s">
        <v>158</v>
      </c>
      <c r="R56" s="188"/>
    </row>
    <row r="57" spans="4:18" ht="15">
      <c r="D57" s="187" t="s">
        <v>140</v>
      </c>
      <c r="E57" s="172" t="s">
        <v>175</v>
      </c>
      <c r="R57" s="188"/>
    </row>
    <row r="58" spans="4:18" ht="15">
      <c r="D58" s="187" t="s">
        <v>159</v>
      </c>
      <c r="E58" s="172" t="s">
        <v>160</v>
      </c>
      <c r="R58" s="188"/>
    </row>
    <row r="59" spans="4:18" ht="15">
      <c r="D59" s="187" t="s">
        <v>151</v>
      </c>
      <c r="E59" s="172" t="s">
        <v>152</v>
      </c>
      <c r="R59" s="188"/>
    </row>
    <row r="60" spans="4:18" ht="15">
      <c r="D60" s="187" t="s">
        <v>312</v>
      </c>
      <c r="E60" s="172" t="s">
        <v>313</v>
      </c>
      <c r="R60" s="188"/>
    </row>
    <row r="61" spans="4:18" ht="15">
      <c r="D61" s="187" t="s">
        <v>124</v>
      </c>
      <c r="E61" s="172" t="s">
        <v>555</v>
      </c>
      <c r="R61" s="188"/>
    </row>
    <row r="62" spans="4:18" ht="15">
      <c r="D62" s="187" t="s">
        <v>127</v>
      </c>
      <c r="E62" s="172" t="s">
        <v>275</v>
      </c>
      <c r="R62" s="188"/>
    </row>
    <row r="63" spans="4:18" ht="15">
      <c r="D63" s="187" t="s">
        <v>145</v>
      </c>
      <c r="E63" s="172" t="s">
        <v>128</v>
      </c>
      <c r="R63" s="188"/>
    </row>
    <row r="64" spans="4:18" ht="15">
      <c r="D64" s="187" t="s">
        <v>135</v>
      </c>
      <c r="E64" s="172" t="s">
        <v>146</v>
      </c>
      <c r="F64" s="169"/>
      <c r="G64" s="169"/>
      <c r="R64" s="189"/>
    </row>
    <row r="65" spans="4:18" ht="15">
      <c r="D65" s="187" t="s">
        <v>274</v>
      </c>
      <c r="E65" s="172" t="s">
        <v>170</v>
      </c>
      <c r="R65" s="188"/>
    </row>
    <row r="66" spans="4:18" ht="15">
      <c r="D66" s="187" t="s">
        <v>125</v>
      </c>
      <c r="E66" s="172" t="s">
        <v>282</v>
      </c>
      <c r="R66" s="188"/>
    </row>
    <row r="67" spans="4:18" ht="15">
      <c r="D67" s="187" t="s">
        <v>238</v>
      </c>
      <c r="E67" s="172" t="s">
        <v>322</v>
      </c>
      <c r="R67" s="188"/>
    </row>
    <row r="68" spans="4:18" ht="15">
      <c r="D68" s="187" t="s">
        <v>239</v>
      </c>
      <c r="E68" s="172" t="s">
        <v>323</v>
      </c>
    </row>
    <row r="69" spans="4:18" ht="15">
      <c r="D69" s="187" t="s">
        <v>240</v>
      </c>
      <c r="E69" s="172" t="s">
        <v>475</v>
      </c>
    </row>
    <row r="70" spans="4:18" ht="15">
      <c r="D70" s="568" t="s">
        <v>324</v>
      </c>
      <c r="E70" s="172" t="s">
        <v>325</v>
      </c>
      <c r="F70" s="518"/>
    </row>
    <row r="71" spans="4:18">
      <c r="D71" t="s">
        <v>255</v>
      </c>
      <c r="E71" t="s">
        <v>255</v>
      </c>
    </row>
    <row r="72" spans="4:18" ht="15">
      <c r="D72" t="s">
        <v>188</v>
      </c>
      <c r="E72" s="172"/>
    </row>
    <row r="73" spans="4:18" ht="15">
      <c r="D73" t="s">
        <v>188</v>
      </c>
      <c r="E73" s="172"/>
    </row>
    <row r="75" spans="4:18" ht="15">
      <c r="D75" s="397" t="s">
        <v>516</v>
      </c>
      <c r="E75" s="397"/>
    </row>
  </sheetData>
  <sheetProtection objects="1" scenarios="1"/>
  <mergeCells count="3">
    <mergeCell ref="D2:J2"/>
    <mergeCell ref="L24:L48"/>
    <mergeCell ref="A1:A4"/>
  </mergeCells>
  <phoneticPr fontId="0" type="noConversion"/>
  <pageMargins left="0.75" right="0.75" top="1" bottom="1" header="0.5" footer="0.5"/>
  <pageSetup scale="65" orientation="landscape" horizontalDpi="4294967292" verticalDpi="0" r:id="rId1"/>
  <headerFooter alignWithMargins="0">
    <oddHeader>&amp;C&amp;"Arial,Bold"&amp;12Bear River Spreadsheet Model
Dry Year Conditions</oddHeader>
    <oddFooter>&amp;L&amp;F &amp;A&amp;RAPPENDIX A (Page &amp;P of &amp;N)</oddFooter>
  </headerFooter>
  <legacyDrawing r:id="rId2"/>
</worksheet>
</file>

<file path=xl/worksheets/sheet4.xml><?xml version="1.0" encoding="utf-8"?>
<worksheet xmlns="http://schemas.openxmlformats.org/spreadsheetml/2006/main" xmlns:r="http://schemas.openxmlformats.org/officeDocument/2006/relationships">
  <sheetPr codeName="Sheet4">
    <pageSetUpPr autoPageBreaks="0"/>
  </sheetPr>
  <dimension ref="A1:AK235"/>
  <sheetViews>
    <sheetView showGridLines="0" zoomScale="75" zoomScaleNormal="75" workbookViewId="0">
      <pane ySplit="2" topLeftCell="A3" activePane="bottomLeft" state="frozen"/>
      <selection activeCell="B26" sqref="B26"/>
      <selection pane="bottomLeft" activeCell="S16" sqref="S16"/>
    </sheetView>
  </sheetViews>
  <sheetFormatPr defaultColWidth="10.28515625" defaultRowHeight="12.75"/>
  <cols>
    <col min="1" max="1" width="2.28515625" style="4" customWidth="1"/>
    <col min="2" max="2" width="12.28515625" style="4" customWidth="1"/>
    <col min="3" max="3" width="25.28515625" style="4" customWidth="1"/>
    <col min="4" max="6" width="8.5703125" style="4" customWidth="1"/>
    <col min="7" max="9" width="9.85546875" style="4" customWidth="1"/>
    <col min="10" max="15" width="8.5703125" style="4" customWidth="1"/>
    <col min="16" max="23" width="10.28515625" style="4"/>
    <col min="24" max="24" width="14.7109375" style="4" customWidth="1"/>
    <col min="25" max="25" width="25.28515625" style="4" customWidth="1"/>
    <col min="26" max="26" width="9.42578125" style="4" customWidth="1"/>
    <col min="27" max="28" width="8.7109375" style="4" customWidth="1"/>
    <col min="29" max="32" width="9.85546875" style="4" customWidth="1"/>
    <col min="33" max="37" width="8.7109375" style="4" customWidth="1"/>
    <col min="38" max="16384" width="10.28515625" style="4"/>
  </cols>
  <sheetData>
    <row r="1" spans="1:37" ht="49.5" customHeight="1">
      <c r="A1" s="2"/>
      <c r="B1" s="3"/>
      <c r="C1" s="3"/>
      <c r="E1" s="661" t="s">
        <v>14</v>
      </c>
      <c r="F1" s="661"/>
      <c r="G1" s="661"/>
      <c r="H1" s="661"/>
      <c r="I1" s="661"/>
      <c r="J1" s="661"/>
      <c r="K1" s="661"/>
      <c r="L1" s="661"/>
      <c r="M1" s="661"/>
      <c r="W1" s="659" t="s">
        <v>206</v>
      </c>
      <c r="X1" s="659"/>
      <c r="Y1" s="659"/>
      <c r="Z1" s="659"/>
      <c r="AA1" s="659"/>
      <c r="AB1" s="659"/>
      <c r="AC1" s="659"/>
      <c r="AD1" s="659"/>
      <c r="AE1" s="659"/>
      <c r="AF1" s="659"/>
      <c r="AG1" s="659"/>
      <c r="AH1" s="659"/>
      <c r="AI1" s="659"/>
      <c r="AJ1" s="659"/>
    </row>
    <row r="2" spans="1:37" ht="15.75">
      <c r="A2" s="5"/>
      <c r="B2" s="6"/>
      <c r="C2" s="6"/>
      <c r="D2" s="6"/>
      <c r="E2" s="6"/>
      <c r="F2" s="6"/>
      <c r="G2" s="6"/>
      <c r="H2" s="7"/>
      <c r="I2" s="7"/>
      <c r="J2" s="7"/>
      <c r="K2" s="7"/>
      <c r="L2" s="7"/>
      <c r="M2" s="7"/>
      <c r="N2" s="7"/>
      <c r="O2" s="434" t="s">
        <v>540</v>
      </c>
    </row>
    <row r="3" spans="1:37" ht="18.75" customHeight="1" thickBot="1">
      <c r="A3" s="658"/>
      <c r="B3" s="108" t="s">
        <v>76</v>
      </c>
      <c r="C3" s="329" t="str">
        <f>VLOOKUP(B3,NodeList!$D$4:$E$121,2,FALSE)</f>
        <v>USGS 10011500:  Bear River near UT-WY State Line</v>
      </c>
      <c r="D3" s="329"/>
      <c r="E3" s="329"/>
      <c r="F3" s="329"/>
      <c r="G3" s="329"/>
      <c r="H3" s="329"/>
      <c r="I3" s="329"/>
      <c r="J3" s="329"/>
      <c r="K3" s="329"/>
      <c r="L3" s="329"/>
      <c r="M3" s="329"/>
      <c r="N3" s="426"/>
      <c r="O3" s="426"/>
      <c r="P3" s="429"/>
      <c r="Q3" s="429"/>
      <c r="R3" s="429"/>
      <c r="S3" s="429"/>
    </row>
    <row r="4" spans="1:37" ht="15" customHeight="1">
      <c r="A4" s="658"/>
      <c r="B4" s="9" t="s">
        <v>16</v>
      </c>
      <c r="C4" s="10"/>
      <c r="D4" s="11" t="s">
        <v>0</v>
      </c>
      <c r="E4" s="11" t="s">
        <v>1</v>
      </c>
      <c r="F4" s="11" t="s">
        <v>2</v>
      </c>
      <c r="G4" s="11" t="s">
        <v>3</v>
      </c>
      <c r="H4" s="11" t="s">
        <v>4</v>
      </c>
      <c r="I4" s="11" t="s">
        <v>5</v>
      </c>
      <c r="J4" s="11" t="s">
        <v>6</v>
      </c>
      <c r="K4" s="11" t="s">
        <v>7</v>
      </c>
      <c r="L4" s="11" t="s">
        <v>8</v>
      </c>
      <c r="M4" s="11" t="s">
        <v>9</v>
      </c>
      <c r="N4" s="11" t="s">
        <v>10</v>
      </c>
      <c r="O4" s="12" t="s">
        <v>11</v>
      </c>
      <c r="P4" s="661"/>
      <c r="Q4" s="661"/>
      <c r="R4" s="661"/>
      <c r="S4" s="661"/>
      <c r="T4" s="661"/>
      <c r="U4" s="661"/>
      <c r="V4" s="661"/>
      <c r="W4" s="661"/>
      <c r="X4" s="661"/>
    </row>
    <row r="5" spans="1:37" ht="14.25" customHeight="1">
      <c r="A5" s="658"/>
      <c r="B5" s="14" t="str">
        <f>+B3 &amp;" Gage Inflow"</f>
        <v>Node 1.00 Gage Inflow</v>
      </c>
      <c r="C5" s="13"/>
      <c r="D5" s="15">
        <f>VLOOKUP($B3,'USGS Gages'!$B$6:$P$19,4,FALSE)</f>
        <v>2333.4545454545455</v>
      </c>
      <c r="E5" s="15">
        <f>VLOOKUP($B3,'USGS Gages'!$B$6:$P$19,5,FALSE)</f>
        <v>1964.6528925619834</v>
      </c>
      <c r="F5" s="15">
        <f>VLOOKUP($B3,'USGS Gages'!$B$6:$P$19,6,FALSE)</f>
        <v>2438.7520661157023</v>
      </c>
      <c r="G5" s="15">
        <f>VLOOKUP($B3,'USGS Gages'!$B$6:$P$19,7,FALSE)</f>
        <v>6854.1322314049585</v>
      </c>
      <c r="H5" s="15">
        <f>VLOOKUP($B3,'USGS Gages'!$B$6:$P$19,8,FALSE)</f>
        <v>29154.34710743801</v>
      </c>
      <c r="I5" s="15">
        <f>VLOOKUP($B3,'USGS Gages'!$B$6:$P$19,9,FALSE)</f>
        <v>20546.776859504131</v>
      </c>
      <c r="J5" s="15">
        <f>VLOOKUP($B3,'USGS Gages'!$B$6:$P$19,10,FALSE)</f>
        <v>7386.9669421487597</v>
      </c>
      <c r="K5" s="15">
        <f>VLOOKUP($B3,'USGS Gages'!$B$6:$P$19,11,FALSE)</f>
        <v>3515.553719008265</v>
      </c>
      <c r="L5" s="15">
        <f>VLOOKUP($B3,'USGS Gages'!$B$6:$P$19,12,FALSE)</f>
        <v>2795.2066115702478</v>
      </c>
      <c r="M5" s="15">
        <f>VLOOKUP($B3,'USGS Gages'!$B$6:$P$19,13,FALSE)</f>
        <v>3160.4628099173551</v>
      </c>
      <c r="N5" s="15">
        <f>VLOOKUP($B3,'USGS Gages'!$B$6:$P$19,14,FALSE)</f>
        <v>2829.4214876033056</v>
      </c>
      <c r="O5" s="16">
        <f>VLOOKUP($B3,'USGS Gages'!$B$6:$P$19,15,FALSE)</f>
        <v>2511</v>
      </c>
      <c r="X5" s="660" t="s">
        <v>242</v>
      </c>
      <c r="Y5" s="660"/>
      <c r="Z5" s="660"/>
      <c r="AA5" s="660"/>
      <c r="AB5" s="660"/>
      <c r="AC5" s="660"/>
      <c r="AD5" s="660"/>
      <c r="AE5" s="660"/>
      <c r="AF5" s="660"/>
    </row>
    <row r="6" spans="1:37" ht="15" customHeight="1">
      <c r="A6" s="658"/>
      <c r="B6" s="14" t="str">
        <f>+B3 &amp;" Irrigation Returns"</f>
        <v>Node 1.00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c r="P6"/>
      <c r="X6" s="660"/>
      <c r="Y6" s="660"/>
      <c r="Z6" s="660"/>
      <c r="AA6" s="660"/>
      <c r="AB6" s="660"/>
      <c r="AC6" s="660"/>
      <c r="AD6" s="660"/>
      <c r="AE6" s="660"/>
      <c r="AF6" s="660"/>
    </row>
    <row r="7" spans="1:37" ht="14.25">
      <c r="A7" s="658"/>
      <c r="B7" s="14" t="s">
        <v>338</v>
      </c>
      <c r="C7" s="13" t="s">
        <v>180</v>
      </c>
      <c r="D7" s="54">
        <f>VLOOKUP($B7,GainLoss!$B$5:$O$14,3,FALSE)*0.97</f>
        <v>51.605972157299931</v>
      </c>
      <c r="E7" s="54">
        <f>VLOOKUP($B7,GainLoss!$B$5:$O$14,4,FALSE)*0.97</f>
        <v>768.78969657331061</v>
      </c>
      <c r="F7" s="54">
        <f>VLOOKUP($B7,GainLoss!$B$5:$O$14,5,FALSE)*0.97</f>
        <v>5158.032063450979</v>
      </c>
      <c r="G7" s="54">
        <f>VLOOKUP($B7,GainLoss!$B$5:$O$14,6,FALSE)*0.97</f>
        <v>3329.1369442420596</v>
      </c>
      <c r="H7" s="54">
        <f>VLOOKUP($B7,GainLoss!$B$5:$O$14,7,FALSE)*0.97</f>
        <v>2848.4945804620779</v>
      </c>
      <c r="I7" s="54">
        <f>VLOOKUP($B7,GainLoss!$B$5:$O$14,8,FALSE)*0.97</f>
        <v>2344.2010945905463</v>
      </c>
      <c r="J7" s="54">
        <f>VLOOKUP($B7,GainLoss!$B$5:$O$14,9,FALSE)*0.97</f>
        <v>0</v>
      </c>
      <c r="K7" s="54">
        <f>VLOOKUP($B7,GainLoss!$B$5:$O$14,10,FALSE)*0.97</f>
        <v>0</v>
      </c>
      <c r="L7" s="54">
        <f>VLOOKUP($B7,GainLoss!$B$5:$O$14,11,FALSE)*0.97</f>
        <v>0</v>
      </c>
      <c r="M7" s="54">
        <f>VLOOKUP($B7,GainLoss!$B$5:$O$14,12,FALSE)*0.97</f>
        <v>0</v>
      </c>
      <c r="N7" s="54">
        <f>VLOOKUP($B7,GainLoss!$B$5:$O$14,13,FALSE)*0.97</f>
        <v>0</v>
      </c>
      <c r="O7" s="110">
        <f>VLOOKUP($B7,GainLoss!$B$5:$O$14,14,FALSE)*0.97</f>
        <v>0</v>
      </c>
      <c r="X7" s="660"/>
      <c r="Y7" s="660"/>
      <c r="Z7" s="660"/>
      <c r="AA7" s="660"/>
      <c r="AB7" s="660"/>
      <c r="AC7" s="660"/>
      <c r="AD7" s="660"/>
      <c r="AE7" s="660"/>
      <c r="AF7" s="660"/>
    </row>
    <row r="8" spans="1:37" ht="14.25">
      <c r="A8" s="658"/>
      <c r="B8" s="14" t="str">
        <f>+B3 &amp;" Import/Export"</f>
        <v>Node 1.00 Import/Export</v>
      </c>
      <c r="C8" s="13"/>
      <c r="D8" s="190">
        <f>VLOOKUP($B3,ImportExport!$B$6:$O$68,3,FALSE)</f>
        <v>0</v>
      </c>
      <c r="E8" s="190">
        <f>VLOOKUP($B3,ImportExport!$B$6:$O$68,4,FALSE)</f>
        <v>0</v>
      </c>
      <c r="F8" s="190">
        <f>VLOOKUP($B3,ImportExport!$B$6:$O$68,5,FALSE)</f>
        <v>0</v>
      </c>
      <c r="G8" s="190">
        <f>VLOOKUP($B3,ImportExport!$B$6:$O$68,6,FALSE)</f>
        <v>0</v>
      </c>
      <c r="H8" s="190">
        <f>VLOOKUP($B3,ImportExport!$B$6:$O$68,7,FALSE)</f>
        <v>0</v>
      </c>
      <c r="I8" s="190">
        <f>VLOOKUP($B3,ImportExport!$B$6:$O$68,8,FALSE)</f>
        <v>0</v>
      </c>
      <c r="J8" s="190">
        <f>VLOOKUP($B3,ImportExport!$B$6:$O$68,9,FALSE)</f>
        <v>0</v>
      </c>
      <c r="K8" s="190">
        <f>VLOOKUP($B3,ImportExport!$B$6:$O$68,10,FALSE)</f>
        <v>0</v>
      </c>
      <c r="L8" s="190">
        <f>VLOOKUP($B3,ImportExport!$B$6:$O$68,11,FALSE)</f>
        <v>0</v>
      </c>
      <c r="M8" s="190">
        <f>VLOOKUP($B3,ImportExport!$B$6:$O$68,12,FALSE)</f>
        <v>0</v>
      </c>
      <c r="N8" s="190">
        <f>VLOOKUP($B3,ImportExport!$B$6:$O$68,13,FALSE)</f>
        <v>0</v>
      </c>
      <c r="O8" s="197">
        <f>VLOOKUP($B3,ImportExport!$B$6:$O$68,14,FALSE)</f>
        <v>0</v>
      </c>
      <c r="X8" s="660"/>
      <c r="Y8" s="660"/>
      <c r="Z8" s="660"/>
      <c r="AA8" s="660"/>
      <c r="AB8" s="660"/>
      <c r="AC8" s="660"/>
      <c r="AD8" s="660"/>
      <c r="AE8" s="660"/>
      <c r="AF8" s="660"/>
    </row>
    <row r="9" spans="1:37" ht="15.75" thickBot="1">
      <c r="A9" s="658"/>
      <c r="B9" s="18" t="str">
        <f>"Total "&amp; (B3)&amp;" Inflow"</f>
        <v>Total Node 1.00 Inflow</v>
      </c>
      <c r="C9" s="17"/>
      <c r="D9" s="25">
        <f>SUM(D5:D8)</f>
        <v>2385.0605176118456</v>
      </c>
      <c r="E9" s="25">
        <f t="shared" ref="E9:O9" si="0">SUM(E5:E8)</f>
        <v>2733.4425891352939</v>
      </c>
      <c r="F9" s="25">
        <f t="shared" si="0"/>
        <v>7596.7841295666813</v>
      </c>
      <c r="G9" s="25">
        <f t="shared" si="0"/>
        <v>10183.269175647018</v>
      </c>
      <c r="H9" s="25">
        <f t="shared" si="0"/>
        <v>32002.841687900087</v>
      </c>
      <c r="I9" s="25">
        <f t="shared" si="0"/>
        <v>22890.977954094677</v>
      </c>
      <c r="J9" s="25">
        <f t="shared" si="0"/>
        <v>7386.9669421487597</v>
      </c>
      <c r="K9" s="25">
        <f t="shared" si="0"/>
        <v>3515.553719008265</v>
      </c>
      <c r="L9" s="25">
        <f t="shared" si="0"/>
        <v>2795.2066115702478</v>
      </c>
      <c r="M9" s="25">
        <f t="shared" si="0"/>
        <v>3160.4628099173551</v>
      </c>
      <c r="N9" s="25">
        <f t="shared" si="0"/>
        <v>2829.4214876033056</v>
      </c>
      <c r="O9" s="26">
        <f t="shared" si="0"/>
        <v>2511</v>
      </c>
      <c r="X9" s="660"/>
      <c r="Y9" s="660"/>
      <c r="Z9" s="660"/>
      <c r="AA9" s="660"/>
      <c r="AB9" s="660"/>
      <c r="AC9" s="660"/>
      <c r="AD9" s="660"/>
      <c r="AE9" s="660"/>
      <c r="AF9" s="660"/>
    </row>
    <row r="10" spans="1:37" ht="15">
      <c r="A10" s="658"/>
      <c r="B10" s="19" t="s">
        <v>17</v>
      </c>
      <c r="C10" s="20"/>
      <c r="D10" s="282" t="str">
        <f>IF(((VLOOKUP($B3,'Diversion Data'!$B$3:$O$227,3,FALSE))-D12)&gt;0,"Short","")</f>
        <v/>
      </c>
      <c r="E10" s="282" t="str">
        <f>IF(((VLOOKUP($B3,'Diversion Data'!$B$3:$O$227,4,FALSE))-E12)&gt;0,"Short","")</f>
        <v/>
      </c>
      <c r="F10" s="282" t="str">
        <f>IF(((VLOOKUP($B3,'Diversion Data'!$B$3:$O$227,5,FALSE))-F12)&gt;0,"Short","")</f>
        <v/>
      </c>
      <c r="G10" s="282" t="str">
        <f>IF(((VLOOKUP($B3,'Diversion Data'!$B$3:$O$227,6,FALSE))-G12)&gt;0,"Short","")</f>
        <v/>
      </c>
      <c r="H10" s="282" t="str">
        <f>IF(((VLOOKUP($B3,'Diversion Data'!$B$3:$O$227,7,FALSE))-H12)&gt;0,"Short","")</f>
        <v/>
      </c>
      <c r="I10" s="282" t="str">
        <f>IF(((VLOOKUP($B3,'Diversion Data'!$B$3:$O$227,8,FALSE))-I12)&gt;0,"Short","")</f>
        <v/>
      </c>
      <c r="J10" s="282" t="str">
        <f>IF(((VLOOKUP($B3,'Diversion Data'!$B$3:$O$227,9,FALSE))-J12)&gt;0,"Short","")</f>
        <v/>
      </c>
      <c r="K10" s="282" t="str">
        <f>IF(((VLOOKUP($B3,'Diversion Data'!$B$3:$O$227,10,FALSE))-K12)&gt;0,"Short","")</f>
        <v/>
      </c>
      <c r="L10" s="282" t="str">
        <f>IF(((VLOOKUP($B3,'Diversion Data'!$B$3:$O$227,11,FALSE))-L12)&gt;0,"Short","")</f>
        <v/>
      </c>
      <c r="M10" s="282" t="str">
        <f>IF(((VLOOKUP($B3,'Diversion Data'!$B$3:$O$227,12,FALSE))-M12)&gt;0,"Short","")</f>
        <v/>
      </c>
      <c r="N10" s="282" t="str">
        <f>IF(((VLOOKUP($B3,'Diversion Data'!$B$3:$O$227,13,FALSE))-N12)&gt;0,"Short","")</f>
        <v/>
      </c>
      <c r="O10" s="283" t="str">
        <f>IF(((VLOOKUP($B3,'Diversion Data'!$B$3:$O$227,14,FALSE))-O12)&gt;0,"Short","")</f>
        <v/>
      </c>
    </row>
    <row r="11" spans="1:37" ht="15" customHeight="1" thickBot="1">
      <c r="A11" s="658"/>
      <c r="B11" s="14" t="s">
        <v>81</v>
      </c>
      <c r="C11" s="13" t="s">
        <v>181</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8">
        <f>VLOOKUP($B11,GainLoss!$B$19:$O$27,14,FALSE)</f>
        <v>0</v>
      </c>
      <c r="X11" s="235" t="s">
        <v>221</v>
      </c>
      <c r="Y11" s="109" t="s">
        <v>215</v>
      </c>
      <c r="Z11" s="6"/>
      <c r="AA11" s="6"/>
      <c r="AB11" s="6"/>
      <c r="AC11" s="6"/>
      <c r="AD11" s="7"/>
      <c r="AE11" s="7"/>
      <c r="AF11" s="7"/>
      <c r="AG11" s="7"/>
      <c r="AH11" s="7"/>
      <c r="AI11" s="7"/>
      <c r="AJ11" s="7"/>
      <c r="AK11" s="7"/>
    </row>
    <row r="12" spans="1:37" ht="15" customHeight="1">
      <c r="A12" s="658"/>
      <c r="B12" s="14" t="str">
        <f>+B3 &amp;" Diversions"</f>
        <v>Node 1.00 Diversions</v>
      </c>
      <c r="C12" s="13"/>
      <c r="D12" s="54">
        <f>MIN(VLOOKUP($B3,'Diversion Data'!$B$3:$O$227,3,FALSE),(D9-D11))</f>
        <v>0</v>
      </c>
      <c r="E12" s="54">
        <f>MIN(VLOOKUP($B3,'Diversion Data'!$B$3:$O$227,4,FALSE),(E9-E11))</f>
        <v>0</v>
      </c>
      <c r="F12" s="54">
        <f>MIN(VLOOKUP($B3,'Diversion Data'!$B$3:$O$227,5,FALSE),(F9-F11))</f>
        <v>0</v>
      </c>
      <c r="G12" s="54">
        <f>MIN(VLOOKUP($B3,'Diversion Data'!$B$3:$O$227,6,FALSE),(G9-G11))</f>
        <v>0</v>
      </c>
      <c r="H12" s="54">
        <f>MIN(VLOOKUP($B3,'Diversion Data'!$B$3:$O$227,7,FALSE),(H9-H11))</f>
        <v>0</v>
      </c>
      <c r="I12" s="54">
        <f>MIN(VLOOKUP($B3,'Diversion Data'!$B$3:$O$227,8,FALSE),(I9-I11))</f>
        <v>0</v>
      </c>
      <c r="J12" s="54">
        <f>MIN(VLOOKUP($B3,'Diversion Data'!$B$3:$O$227,9,FALSE),(J9-J11))</f>
        <v>0</v>
      </c>
      <c r="K12" s="54">
        <f>MIN(VLOOKUP($B3,'Diversion Data'!$B$3:$O$227,10,FALSE),(K9-K11))</f>
        <v>0</v>
      </c>
      <c r="L12" s="54">
        <f>MIN(VLOOKUP($B3,'Diversion Data'!$B$3:$O$227,11,FALSE),(L9-L11))</f>
        <v>0</v>
      </c>
      <c r="M12" s="54">
        <f>MIN(VLOOKUP($B3,'Diversion Data'!$B$3:$O$227,12,FALSE),(M9-M11))</f>
        <v>0</v>
      </c>
      <c r="N12" s="54">
        <f>MIN(VLOOKUP($B3,'Diversion Data'!$B$3:$O$227,13,FALSE),(N9-N11))</f>
        <v>0</v>
      </c>
      <c r="O12" s="110">
        <f>MIN(VLOOKUP($B3,'Diversion Data'!$B$3:$O$227,14,FALSE),(O9-O11))</f>
        <v>0</v>
      </c>
      <c r="X12" s="9" t="s">
        <v>16</v>
      </c>
      <c r="Y12" s="10"/>
      <c r="Z12" s="11" t="s">
        <v>0</v>
      </c>
      <c r="AA12" s="11" t="s">
        <v>1</v>
      </c>
      <c r="AB12" s="11" t="s">
        <v>2</v>
      </c>
      <c r="AC12" s="11" t="s">
        <v>3</v>
      </c>
      <c r="AD12" s="11" t="s">
        <v>4</v>
      </c>
      <c r="AE12" s="11" t="s">
        <v>5</v>
      </c>
      <c r="AF12" s="11" t="s">
        <v>6</v>
      </c>
      <c r="AG12" s="11" t="s">
        <v>7</v>
      </c>
      <c r="AH12" s="11" t="s">
        <v>8</v>
      </c>
      <c r="AI12" s="11" t="s">
        <v>9</v>
      </c>
      <c r="AJ12" s="11" t="s">
        <v>10</v>
      </c>
      <c r="AK12" s="12" t="s">
        <v>11</v>
      </c>
    </row>
    <row r="13" spans="1:37" ht="15.75" thickBot="1">
      <c r="A13" s="658"/>
      <c r="B13" s="24" t="str">
        <f>"Total " &amp; (B3) &amp;" Outflow"</f>
        <v>Total Node 1.00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c r="X13" s="212" t="s">
        <v>222</v>
      </c>
      <c r="Y13" s="13"/>
      <c r="Z13" s="15">
        <v>2440</v>
      </c>
      <c r="AA13" s="15">
        <v>2043.3333333333333</v>
      </c>
      <c r="AB13" s="15">
        <v>2276.6666666666665</v>
      </c>
      <c r="AC13" s="15">
        <v>6495</v>
      </c>
      <c r="AD13" s="15">
        <v>29835</v>
      </c>
      <c r="AE13" s="15">
        <v>23208.333333333332</v>
      </c>
      <c r="AF13" s="15">
        <v>7595</v>
      </c>
      <c r="AG13" s="15">
        <v>3576.6666666666665</v>
      </c>
      <c r="AH13" s="15">
        <v>2653.3333333333335</v>
      </c>
      <c r="AI13" s="15">
        <v>3361.6666666666665</v>
      </c>
      <c r="AJ13" s="15">
        <v>3033.3333333333335</v>
      </c>
      <c r="AK13" s="16">
        <v>2605</v>
      </c>
    </row>
    <row r="14" spans="1:37" ht="17.25" customHeight="1" thickBot="1">
      <c r="A14" s="658"/>
      <c r="B14" s="24" t="str">
        <f>(B3)&amp;" NET Flow (In - Out)"</f>
        <v>Node 1.00 NET Flow (In - Out)</v>
      </c>
      <c r="C14" s="23"/>
      <c r="D14" s="193">
        <f t="shared" ref="D14:O14" si="2">MAX(D9-D13,0)</f>
        <v>2385.0605176118456</v>
      </c>
      <c r="E14" s="193">
        <f t="shared" si="2"/>
        <v>2733.4425891352939</v>
      </c>
      <c r="F14" s="193">
        <f t="shared" si="2"/>
        <v>7596.7841295666813</v>
      </c>
      <c r="G14" s="193">
        <f t="shared" si="2"/>
        <v>10183.269175647018</v>
      </c>
      <c r="H14" s="193">
        <f t="shared" si="2"/>
        <v>32002.841687900087</v>
      </c>
      <c r="I14" s="193">
        <f t="shared" si="2"/>
        <v>22890.977954094677</v>
      </c>
      <c r="J14" s="193">
        <f t="shared" si="2"/>
        <v>7386.9669421487597</v>
      </c>
      <c r="K14" s="193">
        <f t="shared" si="2"/>
        <v>3515.553719008265</v>
      </c>
      <c r="L14" s="193">
        <f t="shared" si="2"/>
        <v>2795.2066115702478</v>
      </c>
      <c r="M14" s="193">
        <f t="shared" si="2"/>
        <v>3160.4628099173551</v>
      </c>
      <c r="N14" s="193">
        <f t="shared" si="2"/>
        <v>2829.4214876033056</v>
      </c>
      <c r="O14" s="200">
        <f t="shared" si="2"/>
        <v>2511</v>
      </c>
      <c r="X14" s="224" t="s">
        <v>216</v>
      </c>
      <c r="Y14" s="13"/>
      <c r="Z14" s="54">
        <v>0</v>
      </c>
      <c r="AA14" s="54">
        <v>0</v>
      </c>
      <c r="AB14" s="54">
        <v>0</v>
      </c>
      <c r="AC14" s="54">
        <v>0</v>
      </c>
      <c r="AD14" s="54">
        <v>0</v>
      </c>
      <c r="AE14" s="54">
        <v>0</v>
      </c>
      <c r="AF14" s="54">
        <v>0</v>
      </c>
      <c r="AG14" s="54">
        <v>0</v>
      </c>
      <c r="AH14" s="54">
        <v>0</v>
      </c>
      <c r="AI14" s="54">
        <v>0</v>
      </c>
      <c r="AJ14" s="54">
        <v>0</v>
      </c>
      <c r="AK14" s="110">
        <v>0</v>
      </c>
    </row>
    <row r="15" spans="1:37" ht="17.25" customHeight="1">
      <c r="A15" s="658"/>
      <c r="B15"/>
      <c r="C15"/>
      <c r="D15" s="177"/>
      <c r="E15" s="177"/>
      <c r="F15" s="177"/>
      <c r="G15" s="177"/>
      <c r="H15" s="177"/>
      <c r="I15" s="177"/>
      <c r="J15" s="177"/>
      <c r="K15" s="177"/>
      <c r="L15" s="177"/>
      <c r="M15" s="177"/>
      <c r="N15" s="177"/>
      <c r="O15" s="297"/>
      <c r="X15" s="224" t="s">
        <v>214</v>
      </c>
      <c r="Y15" s="13" t="s">
        <v>180</v>
      </c>
      <c r="Z15" s="54">
        <v>0</v>
      </c>
      <c r="AA15" s="54">
        <v>42.098952380952369</v>
      </c>
      <c r="AB15" s="54">
        <v>4407.8333333333339</v>
      </c>
      <c r="AC15" s="54">
        <v>7076.2285714285717</v>
      </c>
      <c r="AD15" s="54">
        <v>6627.8199291617457</v>
      </c>
      <c r="AE15" s="54">
        <v>9967.1750491932344</v>
      </c>
      <c r="AF15" s="54">
        <v>5247.8694403778009</v>
      </c>
      <c r="AG15" s="54">
        <v>1586.1527973238885</v>
      </c>
      <c r="AH15" s="54">
        <v>456.6985273514361</v>
      </c>
      <c r="AI15" s="54">
        <v>0</v>
      </c>
      <c r="AJ15" s="54">
        <v>0</v>
      </c>
      <c r="AK15" s="110">
        <v>0</v>
      </c>
    </row>
    <row r="16" spans="1:37" ht="17.25" customHeight="1">
      <c r="A16" s="237"/>
      <c r="B16"/>
      <c r="C16"/>
      <c r="D16" s="177"/>
      <c r="E16" s="177"/>
      <c r="F16" s="177"/>
      <c r="G16" s="177"/>
      <c r="H16" s="177"/>
      <c r="I16" s="177"/>
      <c r="J16" s="177"/>
      <c r="K16" s="177"/>
      <c r="L16" s="177"/>
      <c r="M16" s="177"/>
      <c r="N16" s="177"/>
      <c r="O16" s="177"/>
      <c r="X16" s="14" t="s">
        <v>217</v>
      </c>
      <c r="Y16" s="13"/>
      <c r="Z16" s="190">
        <v>0</v>
      </c>
      <c r="AA16" s="190">
        <v>0</v>
      </c>
      <c r="AB16" s="190">
        <v>0</v>
      </c>
      <c r="AC16" s="190">
        <v>0</v>
      </c>
      <c r="AD16" s="190">
        <v>0</v>
      </c>
      <c r="AE16" s="190">
        <v>0</v>
      </c>
      <c r="AF16" s="190">
        <v>0</v>
      </c>
      <c r="AG16" s="190">
        <v>0</v>
      </c>
      <c r="AH16" s="190">
        <v>0</v>
      </c>
      <c r="AI16" s="190">
        <v>0</v>
      </c>
      <c r="AJ16" s="190">
        <v>0</v>
      </c>
      <c r="AK16" s="197">
        <v>0</v>
      </c>
    </row>
    <row r="17" spans="1:37" customFormat="1" ht="15.75" thickBot="1">
      <c r="B17" s="108" t="s">
        <v>58</v>
      </c>
      <c r="C17" s="109" t="str">
        <f>VLOOKUP(B17,NodeList!$D$4:$E$121,2,FALSE)</f>
        <v>Lannon &amp; Lone Mountain</v>
      </c>
      <c r="D17" s="6"/>
      <c r="E17" s="6"/>
      <c r="F17" s="6"/>
      <c r="G17" s="6"/>
      <c r="H17" s="7"/>
      <c r="I17" s="7"/>
      <c r="J17" s="7"/>
      <c r="K17" s="7"/>
      <c r="L17" s="7"/>
      <c r="M17" s="7"/>
      <c r="N17" s="7"/>
      <c r="O17" s="7"/>
      <c r="X17" s="210" t="s">
        <v>218</v>
      </c>
      <c r="Y17" s="17"/>
      <c r="Z17" s="25">
        <v>2440</v>
      </c>
      <c r="AA17" s="25">
        <v>2085.4322857142856</v>
      </c>
      <c r="AB17" s="25">
        <v>6684.5</v>
      </c>
      <c r="AC17" s="25">
        <v>13571.228571428572</v>
      </c>
      <c r="AD17" s="25">
        <v>36462.819929161749</v>
      </c>
      <c r="AE17" s="25">
        <v>33175.508382526568</v>
      </c>
      <c r="AF17" s="25">
        <v>12842.869440377801</v>
      </c>
      <c r="AG17" s="25">
        <v>5162.8194639905551</v>
      </c>
      <c r="AH17" s="25">
        <v>3110.0318606847695</v>
      </c>
      <c r="AI17" s="25">
        <v>3361.6666666666665</v>
      </c>
      <c r="AJ17" s="25">
        <v>3033.3333333333335</v>
      </c>
      <c r="AK17" s="26">
        <v>2605</v>
      </c>
    </row>
    <row r="18" spans="1:37" customFormat="1" ht="15">
      <c r="B18" s="9" t="s">
        <v>16</v>
      </c>
      <c r="C18" s="10"/>
      <c r="D18" s="11" t="s">
        <v>0</v>
      </c>
      <c r="E18" s="11" t="s">
        <v>1</v>
      </c>
      <c r="F18" s="11" t="s">
        <v>2</v>
      </c>
      <c r="G18" s="11" t="s">
        <v>3</v>
      </c>
      <c r="H18" s="11" t="s">
        <v>4</v>
      </c>
      <c r="I18" s="11" t="s">
        <v>5</v>
      </c>
      <c r="J18" s="11" t="s">
        <v>6</v>
      </c>
      <c r="K18" s="11" t="s">
        <v>7</v>
      </c>
      <c r="L18" s="11" t="s">
        <v>8</v>
      </c>
      <c r="M18" s="11" t="s">
        <v>9</v>
      </c>
      <c r="N18" s="11" t="s">
        <v>10</v>
      </c>
      <c r="O18" s="12" t="s">
        <v>11</v>
      </c>
      <c r="X18" s="19" t="s">
        <v>17</v>
      </c>
      <c r="Y18" s="20"/>
      <c r="Z18" s="21"/>
      <c r="AA18" s="21"/>
      <c r="AB18" s="21"/>
      <c r="AC18" s="21"/>
      <c r="AD18" s="21"/>
      <c r="AE18" s="21"/>
      <c r="AF18" s="21"/>
      <c r="AG18" s="21"/>
      <c r="AH18" s="21"/>
      <c r="AI18" s="21"/>
      <c r="AJ18" s="21"/>
      <c r="AK18" s="22"/>
    </row>
    <row r="19" spans="1:37" customFormat="1" ht="14.25">
      <c r="B19" s="14" t="str">
        <f>+B17 &amp;" Node Inflow"</f>
        <v>Node 1.01 Node Inflow</v>
      </c>
      <c r="C19" s="13"/>
      <c r="D19" s="15">
        <f>+D14</f>
        <v>2385.0605176118456</v>
      </c>
      <c r="E19" s="15">
        <f t="shared" ref="E19:O19" si="3">+E14</f>
        <v>2733.4425891352939</v>
      </c>
      <c r="F19" s="15">
        <f t="shared" si="3"/>
        <v>7596.7841295666813</v>
      </c>
      <c r="G19" s="15">
        <f t="shared" si="3"/>
        <v>10183.269175647018</v>
      </c>
      <c r="H19" s="15">
        <f t="shared" si="3"/>
        <v>32002.841687900087</v>
      </c>
      <c r="I19" s="15">
        <f t="shared" si="3"/>
        <v>22890.977954094677</v>
      </c>
      <c r="J19" s="15">
        <f t="shared" si="3"/>
        <v>7386.9669421487597</v>
      </c>
      <c r="K19" s="15">
        <f t="shared" si="3"/>
        <v>3515.553719008265</v>
      </c>
      <c r="L19" s="15">
        <f t="shared" si="3"/>
        <v>2795.2066115702478</v>
      </c>
      <c r="M19" s="15">
        <f t="shared" si="3"/>
        <v>3160.4628099173551</v>
      </c>
      <c r="N19" s="15">
        <f t="shared" si="3"/>
        <v>2829.4214876033056</v>
      </c>
      <c r="O19" s="16">
        <f t="shared" si="3"/>
        <v>2511</v>
      </c>
      <c r="X19" s="224" t="s">
        <v>219</v>
      </c>
      <c r="Y19" s="13"/>
      <c r="Z19" s="54">
        <v>0</v>
      </c>
      <c r="AA19" s="54">
        <v>0</v>
      </c>
      <c r="AB19" s="54">
        <v>0</v>
      </c>
      <c r="AC19" s="54">
        <v>0</v>
      </c>
      <c r="AD19" s="54">
        <v>0</v>
      </c>
      <c r="AE19" s="54">
        <v>0</v>
      </c>
      <c r="AF19" s="54">
        <v>0</v>
      </c>
      <c r="AG19" s="54">
        <v>0</v>
      </c>
      <c r="AH19" s="54">
        <v>0</v>
      </c>
      <c r="AI19" s="54">
        <v>0</v>
      </c>
      <c r="AJ19" s="54">
        <v>0</v>
      </c>
      <c r="AK19" s="110">
        <v>0</v>
      </c>
    </row>
    <row r="20" spans="1:37" customFormat="1" ht="14.25">
      <c r="B20" s="14" t="str">
        <f>+B17 &amp;" Irrigation Returns"</f>
        <v>Node 1.01 Irrigation Returns</v>
      </c>
      <c r="C20" s="13"/>
      <c r="D20" s="54">
        <f>VLOOKUP(($B17),'Irrigation Returns'!$B$644:$P$930,4,FALSE)</f>
        <v>0</v>
      </c>
      <c r="E20" s="54">
        <f>VLOOKUP(($B17),'Irrigation Returns'!$B$644:$P$930,5,FALSE)</f>
        <v>0</v>
      </c>
      <c r="F20" s="54">
        <f>VLOOKUP(($B17),'Irrigation Returns'!$B$644:$P$930,6,FALSE)</f>
        <v>0</v>
      </c>
      <c r="G20" s="54">
        <f>VLOOKUP(($B17),'Irrigation Returns'!$B$644:$P$930,7,FALSE)</f>
        <v>0</v>
      </c>
      <c r="H20" s="54">
        <f>VLOOKUP(($B17),'Irrigation Returns'!$B$644:$P$930,8,FALSE)</f>
        <v>0</v>
      </c>
      <c r="I20" s="54">
        <f>VLOOKUP(($B17),'Irrigation Returns'!$B$644:$P$930,9,FALSE)</f>
        <v>0</v>
      </c>
      <c r="J20" s="54">
        <f>VLOOKUP(($B17),'Irrigation Returns'!$B$644:$P$930,10,FALSE)</f>
        <v>0</v>
      </c>
      <c r="K20" s="54">
        <f>VLOOKUP(($B17),'Irrigation Returns'!$B$644:$P$930,11,FALSE)</f>
        <v>0</v>
      </c>
      <c r="L20" s="54">
        <f>VLOOKUP(($B17),'Irrigation Returns'!$B$644:$P$930,12,FALSE)</f>
        <v>0</v>
      </c>
      <c r="M20" s="54">
        <f>VLOOKUP(($B17),'Irrigation Returns'!$B$644:$P$930,13,FALSE)</f>
        <v>0</v>
      </c>
      <c r="N20" s="54">
        <f>VLOOKUP(($B17),'Irrigation Returns'!$B$644:$P$930,14,FALSE)</f>
        <v>0</v>
      </c>
      <c r="O20" s="110">
        <f>VLOOKUP(($B17),'Irrigation Returns'!$B$644:$P$930,15,FALSE)</f>
        <v>0</v>
      </c>
      <c r="X20" s="224" t="s">
        <v>81</v>
      </c>
      <c r="Y20" s="13" t="s">
        <v>181</v>
      </c>
      <c r="Z20" s="171">
        <v>0</v>
      </c>
      <c r="AA20" s="171">
        <v>0</v>
      </c>
      <c r="AB20" s="171">
        <v>0</v>
      </c>
      <c r="AC20" s="171">
        <v>0</v>
      </c>
      <c r="AD20" s="171">
        <v>0</v>
      </c>
      <c r="AE20" s="171">
        <v>0</v>
      </c>
      <c r="AF20" s="171">
        <v>0</v>
      </c>
      <c r="AG20" s="171">
        <v>0</v>
      </c>
      <c r="AH20" s="171">
        <v>0</v>
      </c>
      <c r="AI20" s="171">
        <v>0</v>
      </c>
      <c r="AJ20" s="171">
        <v>0</v>
      </c>
      <c r="AK20" s="198">
        <v>0</v>
      </c>
    </row>
    <row r="21" spans="1:37" customFormat="1" ht="15.75" thickBot="1">
      <c r="B21" s="14" t="s">
        <v>328</v>
      </c>
      <c r="C21" s="13" t="s">
        <v>180</v>
      </c>
      <c r="D21" s="54">
        <f>VLOOKUP($B21,GainLoss!$B$5:$O$14,3,FALSE)</f>
        <v>0</v>
      </c>
      <c r="E21" s="54">
        <f>VLOOKUP($B21,GainLoss!$B$5:$O$14,4,FALSE)</f>
        <v>0</v>
      </c>
      <c r="F21" s="54">
        <f>VLOOKUP($B21,GainLoss!$B$5:$O$14,5,FALSE)</f>
        <v>0</v>
      </c>
      <c r="G21" s="54">
        <f>VLOOKUP($B21,GainLoss!$B$5:$O$14,6,FALSE)</f>
        <v>0</v>
      </c>
      <c r="H21" s="54">
        <f>VLOOKUP($B21,GainLoss!$B$5:$O$14,7,FALSE)</f>
        <v>0</v>
      </c>
      <c r="I21" s="54">
        <f>VLOOKUP($B21,GainLoss!$B$5:$O$14,8,FALSE)</f>
        <v>0</v>
      </c>
      <c r="J21" s="54">
        <f>VLOOKUP($B21,GainLoss!$B$5:$O$14,9,FALSE)</f>
        <v>0</v>
      </c>
      <c r="K21" s="54">
        <f>VLOOKUP($B21,GainLoss!$B$5:$O$14,10,FALSE)</f>
        <v>0</v>
      </c>
      <c r="L21" s="54">
        <f>VLOOKUP($B21,GainLoss!$B$5:$O$14,11,FALSE)</f>
        <v>0</v>
      </c>
      <c r="M21" s="54">
        <f>VLOOKUP($B21,GainLoss!$B$5:$O$14,12,FALSE)</f>
        <v>0</v>
      </c>
      <c r="N21" s="54">
        <f>VLOOKUP($B21,GainLoss!$B$5:$O$14,13,FALSE)</f>
        <v>0</v>
      </c>
      <c r="O21" s="110">
        <f>VLOOKUP($B21,GainLoss!$B$5:$O$14,14,FALSE)</f>
        <v>0</v>
      </c>
      <c r="X21" s="211" t="s">
        <v>220</v>
      </c>
      <c r="Y21" s="23"/>
      <c r="Z21" s="27">
        <v>0</v>
      </c>
      <c r="AA21" s="27">
        <v>0</v>
      </c>
      <c r="AB21" s="27">
        <v>0</v>
      </c>
      <c r="AC21" s="27">
        <v>0</v>
      </c>
      <c r="AD21" s="27">
        <v>0</v>
      </c>
      <c r="AE21" s="27">
        <v>0</v>
      </c>
      <c r="AF21" s="27">
        <v>0</v>
      </c>
      <c r="AG21" s="27">
        <v>0</v>
      </c>
      <c r="AH21" s="27">
        <v>0</v>
      </c>
      <c r="AI21" s="27">
        <v>0</v>
      </c>
      <c r="AJ21" s="27">
        <v>0</v>
      </c>
      <c r="AK21" s="28">
        <v>0</v>
      </c>
    </row>
    <row r="22" spans="1:37" customFormat="1" ht="15.75" thickBot="1">
      <c r="B22" s="14" t="str">
        <f>+B17 &amp;" Import/Export"</f>
        <v>Node 1.01 Import/Export</v>
      </c>
      <c r="C22" s="13"/>
      <c r="D22" s="190">
        <f>VLOOKUP($B17,ImportExport!$B$6:$O$68,3,FALSE)</f>
        <v>0</v>
      </c>
      <c r="E22" s="190">
        <f>VLOOKUP($B17,ImportExport!$B$6:$O$68,4,FALSE)</f>
        <v>0</v>
      </c>
      <c r="F22" s="190">
        <f>VLOOKUP($B17,ImportExport!$B$6:$O$68,5,FALSE)</f>
        <v>0</v>
      </c>
      <c r="G22" s="190">
        <f>VLOOKUP($B17,ImportExport!$B$6:$O$68,6,FALSE)</f>
        <v>0</v>
      </c>
      <c r="H22" s="190">
        <f>VLOOKUP($B17,ImportExport!$B$6:$O$68,7,FALSE)</f>
        <v>0</v>
      </c>
      <c r="I22" s="190">
        <f>VLOOKUP($B17,ImportExport!$B$6:$O$68,8,FALSE)</f>
        <v>0</v>
      </c>
      <c r="J22" s="190">
        <f>VLOOKUP($B17,ImportExport!$B$6:$O$68,9,FALSE)</f>
        <v>0</v>
      </c>
      <c r="K22" s="190">
        <f>VLOOKUP($B17,ImportExport!$B$6:$O$68,10,FALSE)</f>
        <v>0</v>
      </c>
      <c r="L22" s="190">
        <f>VLOOKUP($B17,ImportExport!$B$6:$O$68,11,FALSE)</f>
        <v>0</v>
      </c>
      <c r="M22" s="190">
        <f>VLOOKUP($B17,ImportExport!$B$6:$O$68,12,FALSE)</f>
        <v>0</v>
      </c>
      <c r="N22" s="190">
        <f>VLOOKUP($B17,ImportExport!$B$6:$O$68,13,FALSE)</f>
        <v>0</v>
      </c>
      <c r="O22" s="197">
        <f>VLOOKUP($B17,ImportExport!$B$6:$O$68,14,FALSE)</f>
        <v>0</v>
      </c>
      <c r="X22" s="211" t="s">
        <v>15</v>
      </c>
      <c r="Y22" s="23"/>
      <c r="Z22" s="192">
        <v>2440</v>
      </c>
      <c r="AA22" s="192">
        <v>2085.4322857142856</v>
      </c>
      <c r="AB22" s="192">
        <v>6684.5</v>
      </c>
      <c r="AC22" s="192">
        <v>13571.228571428572</v>
      </c>
      <c r="AD22" s="192">
        <v>36462.819929161749</v>
      </c>
      <c r="AE22" s="192">
        <v>33175.508382526568</v>
      </c>
      <c r="AF22" s="192">
        <v>12842.869440377801</v>
      </c>
      <c r="AG22" s="192">
        <v>5162.8194639905551</v>
      </c>
      <c r="AH22" s="192">
        <v>3110.0318606847695</v>
      </c>
      <c r="AI22" s="192">
        <v>3361.6666666666665</v>
      </c>
      <c r="AJ22" s="192">
        <v>3033.3333333333335</v>
      </c>
      <c r="AK22" s="199">
        <v>2605</v>
      </c>
    </row>
    <row r="23" spans="1:37" customFormat="1" ht="15.75" thickBot="1">
      <c r="B23" s="18" t="str">
        <f>"Total "&amp; (B17)&amp;" Inflow"</f>
        <v>Total Node 1.01 Inflow</v>
      </c>
      <c r="C23" s="17"/>
      <c r="D23" s="25">
        <f t="shared" ref="D23:O23" si="4">SUM(D19:D22)</f>
        <v>2385.0605176118456</v>
      </c>
      <c r="E23" s="25">
        <f t="shared" si="4"/>
        <v>2733.4425891352939</v>
      </c>
      <c r="F23" s="25">
        <f t="shared" si="4"/>
        <v>7596.7841295666813</v>
      </c>
      <c r="G23" s="25">
        <f t="shared" si="4"/>
        <v>10183.269175647018</v>
      </c>
      <c r="H23" s="25">
        <f t="shared" si="4"/>
        <v>32002.841687900087</v>
      </c>
      <c r="I23" s="25">
        <f t="shared" si="4"/>
        <v>22890.977954094677</v>
      </c>
      <c r="J23" s="25">
        <f t="shared" si="4"/>
        <v>7386.9669421487597</v>
      </c>
      <c r="K23" s="25">
        <f t="shared" si="4"/>
        <v>3515.553719008265</v>
      </c>
      <c r="L23" s="25">
        <f t="shared" si="4"/>
        <v>2795.2066115702478</v>
      </c>
      <c r="M23" s="25">
        <f t="shared" si="4"/>
        <v>3160.4628099173551</v>
      </c>
      <c r="N23" s="25">
        <f t="shared" si="4"/>
        <v>2829.4214876033056</v>
      </c>
      <c r="O23" s="26">
        <f t="shared" si="4"/>
        <v>2511</v>
      </c>
      <c r="X23" s="4"/>
      <c r="Y23" s="4"/>
      <c r="Z23" s="4"/>
      <c r="AA23" s="4"/>
      <c r="AB23" s="4"/>
      <c r="AC23" s="4"/>
      <c r="AD23" s="4"/>
      <c r="AE23" s="4"/>
      <c r="AF23" s="4"/>
      <c r="AG23" s="4"/>
      <c r="AH23" s="4"/>
      <c r="AI23" s="4"/>
      <c r="AJ23" s="4"/>
      <c r="AK23" s="4"/>
    </row>
    <row r="24" spans="1:37" customFormat="1" ht="15">
      <c r="B24" s="19" t="s">
        <v>17</v>
      </c>
      <c r="C24" s="20"/>
      <c r="D24" s="282" t="str">
        <f>IF(((VLOOKUP($B17,'Diversion Data'!$B$3:$O$227,3,FALSE))-D26)&gt;0,"Short","")</f>
        <v/>
      </c>
      <c r="E24" s="282" t="str">
        <f>IF(((VLOOKUP($B17,'Diversion Data'!$B$3:$O$227,4,FALSE))-E26)&gt;0,"Short","")</f>
        <v/>
      </c>
      <c r="F24" s="282" t="str">
        <f>IF(((VLOOKUP($B17,'Diversion Data'!$B$3:$O$227,5,FALSE))-F26)&gt;0,"Short","")</f>
        <v/>
      </c>
      <c r="G24" s="282" t="str">
        <f>IF(((VLOOKUP($B17,'Diversion Data'!$B$3:$O$227,6,FALSE))-G26)&gt;0,"Short","")</f>
        <v/>
      </c>
      <c r="H24" s="282" t="str">
        <f>IF(((VLOOKUP($B17,'Diversion Data'!$B$3:$O$227,7,FALSE))-H26)&gt;0,"Short","")</f>
        <v/>
      </c>
      <c r="I24" s="282" t="str">
        <f>IF(((VLOOKUP($B17,'Diversion Data'!$B$3:$O$227,8,FALSE))-I26)&gt;0,"Short","")</f>
        <v/>
      </c>
      <c r="J24" s="282" t="str">
        <f>IF(((VLOOKUP($B17,'Diversion Data'!$B$3:$O$227,9,FALSE))-J26)&gt;0,"Short","")</f>
        <v/>
      </c>
      <c r="K24" s="282" t="str">
        <f>IF(((VLOOKUP($B17,'Diversion Data'!$B$3:$O$227,10,FALSE))-K26)&gt;0,"Short","")</f>
        <v/>
      </c>
      <c r="L24" s="282" t="str">
        <f>IF(((VLOOKUP($B17,'Diversion Data'!$B$3:$O$227,11,FALSE))-L26)&gt;0,"Short","")</f>
        <v/>
      </c>
      <c r="M24" s="282" t="str">
        <f>IF(((VLOOKUP($B17,'Diversion Data'!$B$3:$O$227,12,FALSE))-M26)&gt;0,"Short","")</f>
        <v/>
      </c>
      <c r="N24" s="282" t="str">
        <f>IF(((VLOOKUP($B17,'Diversion Data'!$B$3:$O$227,13,FALSE))-N26)&gt;0,"Short","")</f>
        <v/>
      </c>
      <c r="O24" s="283" t="str">
        <f>IF(((VLOOKUP($B17,'Diversion Data'!$B$3:$O$227,14,FALSE))-O26)&gt;0,"Short","")</f>
        <v/>
      </c>
    </row>
    <row r="25" spans="1:37" customFormat="1" ht="14.25">
      <c r="B25" s="14" t="s">
        <v>81</v>
      </c>
      <c r="C25" s="13" t="s">
        <v>181</v>
      </c>
      <c r="D25" s="171">
        <f>VLOOKUP($B25,GainLoss!$B$19:$O$27,3,FALSE)</f>
        <v>0</v>
      </c>
      <c r="E25" s="171">
        <f>VLOOKUP($B25,GainLoss!$B$19:$O$27,4,FALSE)</f>
        <v>0</v>
      </c>
      <c r="F25" s="171">
        <f>VLOOKUP($B25,GainLoss!$B$19:$O$27,5,FALSE)</f>
        <v>0</v>
      </c>
      <c r="G25" s="171">
        <f>VLOOKUP($B25,GainLoss!$B$19:$O$27,6,FALSE)</f>
        <v>0</v>
      </c>
      <c r="H25" s="171">
        <f>VLOOKUP($B25,GainLoss!$B$19:$O$27,7,FALSE)</f>
        <v>0</v>
      </c>
      <c r="I25" s="171">
        <f>VLOOKUP($B25,GainLoss!$B$19:$O$27,8,FALSE)</f>
        <v>0</v>
      </c>
      <c r="J25" s="171">
        <f>VLOOKUP($B25,GainLoss!$B$19:$O$27,9,FALSE)</f>
        <v>0</v>
      </c>
      <c r="K25" s="171">
        <f>VLOOKUP($B25,GainLoss!$B$19:$O$27,10,FALSE)</f>
        <v>0</v>
      </c>
      <c r="L25" s="171">
        <f>VLOOKUP($B25,GainLoss!$B$19:$O$27,11,FALSE)</f>
        <v>0</v>
      </c>
      <c r="M25" s="171">
        <f>VLOOKUP($B25,GainLoss!$B$19:$O$27,12,FALSE)</f>
        <v>0</v>
      </c>
      <c r="N25" s="171">
        <f>VLOOKUP($B25,GainLoss!$B$19:$O$27,13,FALSE)</f>
        <v>0</v>
      </c>
      <c r="O25" s="198">
        <f>VLOOKUP($B25,GainLoss!$B$19:$O$27,14,FALSE)</f>
        <v>0</v>
      </c>
    </row>
    <row r="26" spans="1:37" customFormat="1" ht="14.25">
      <c r="B26" s="14" t="str">
        <f>+B17 &amp;" Diversions"</f>
        <v>Node 1.01 Diversions</v>
      </c>
      <c r="C26" s="13"/>
      <c r="D26" s="54">
        <f>MIN(VLOOKUP($B17,'Diversion Data'!$B$3:$O$227,3,FALSE),(D23-D25))</f>
        <v>0</v>
      </c>
      <c r="E26" s="54">
        <f>MIN(VLOOKUP($B17,'Diversion Data'!$B$3:$O$227,4,FALSE),(E23-E25))</f>
        <v>0</v>
      </c>
      <c r="F26" s="54">
        <f>MIN(VLOOKUP($B17,'Diversion Data'!$B$3:$O$227,5,FALSE),(F23-F25))</f>
        <v>0</v>
      </c>
      <c r="G26" s="54">
        <f>MIN(VLOOKUP($B17,'Diversion Data'!$B$3:$O$227,6,FALSE),(G23-G25))</f>
        <v>0</v>
      </c>
      <c r="H26" s="54">
        <f>MIN(VLOOKUP($B17,'Diversion Data'!$B$3:$O$227,7,FALSE),(H23-H25))</f>
        <v>783.79691711146677</v>
      </c>
      <c r="I26" s="54">
        <f>MIN(VLOOKUP($B17,'Diversion Data'!$B$3:$O$227,8,FALSE),(I23-I25))</f>
        <v>940.39186782582658</v>
      </c>
      <c r="J26" s="54">
        <f>MIN(VLOOKUP($B17,'Diversion Data'!$B$3:$O$227,9,FALSE),(J23-J25))</f>
        <v>530.45671204824384</v>
      </c>
      <c r="K26" s="54">
        <f>MIN(VLOOKUP($B17,'Diversion Data'!$B$3:$O$227,10,FALSE),(K23-K25))</f>
        <v>139.23067744886362</v>
      </c>
      <c r="L26" s="54">
        <f>MIN(VLOOKUP($B17,'Diversion Data'!$B$3:$O$227,11,FALSE),(L23-L25))</f>
        <v>56.579838640289253</v>
      </c>
      <c r="M26" s="54">
        <f>MIN(VLOOKUP($B17,'Diversion Data'!$B$3:$O$227,12,FALSE),(M23-M25))</f>
        <v>0</v>
      </c>
      <c r="N26" s="54">
        <f>MIN(VLOOKUP($B17,'Diversion Data'!$B$3:$O$227,13,FALSE),(N23-N25))</f>
        <v>0</v>
      </c>
      <c r="O26" s="110">
        <f>MIN(VLOOKUP($B17,'Diversion Data'!$B$3:$O$227,14,FALSE),(O23-O25))</f>
        <v>0</v>
      </c>
    </row>
    <row r="27" spans="1:37" customFormat="1" ht="15.75" thickBot="1">
      <c r="B27" s="24" t="str">
        <f>"Total " &amp; (B17) &amp;" Outflow"</f>
        <v>Total Node 1.01 Outflow</v>
      </c>
      <c r="C27" s="23"/>
      <c r="D27" s="27">
        <f t="shared" ref="D27:O27" si="5">SUM(D25:D26)</f>
        <v>0</v>
      </c>
      <c r="E27" s="27">
        <f t="shared" si="5"/>
        <v>0</v>
      </c>
      <c r="F27" s="27">
        <f t="shared" si="5"/>
        <v>0</v>
      </c>
      <c r="G27" s="27">
        <f t="shared" si="5"/>
        <v>0</v>
      </c>
      <c r="H27" s="27">
        <f t="shared" si="5"/>
        <v>783.79691711146677</v>
      </c>
      <c r="I27" s="27">
        <f t="shared" si="5"/>
        <v>940.39186782582658</v>
      </c>
      <c r="J27" s="27">
        <f t="shared" si="5"/>
        <v>530.45671204824384</v>
      </c>
      <c r="K27" s="27">
        <f t="shared" si="5"/>
        <v>139.23067744886362</v>
      </c>
      <c r="L27" s="27">
        <f t="shared" si="5"/>
        <v>56.579838640289253</v>
      </c>
      <c r="M27" s="27">
        <f t="shared" si="5"/>
        <v>0</v>
      </c>
      <c r="N27" s="27">
        <f t="shared" si="5"/>
        <v>0</v>
      </c>
      <c r="O27" s="28">
        <f t="shared" si="5"/>
        <v>0</v>
      </c>
    </row>
    <row r="28" spans="1:37" customFormat="1" ht="15.75" thickBot="1">
      <c r="B28" s="24" t="str">
        <f>(B17)&amp;" NET Flow (In - Out)"</f>
        <v>Node 1.01 NET Flow (In - Out)</v>
      </c>
      <c r="C28" s="23"/>
      <c r="D28" s="193">
        <f t="shared" ref="D28:O28" si="6">MAX(D23-D27,0)</f>
        <v>2385.0605176118456</v>
      </c>
      <c r="E28" s="193">
        <f t="shared" si="6"/>
        <v>2733.4425891352939</v>
      </c>
      <c r="F28" s="193">
        <f t="shared" si="6"/>
        <v>7596.7841295666813</v>
      </c>
      <c r="G28" s="193">
        <f t="shared" si="6"/>
        <v>10183.269175647018</v>
      </c>
      <c r="H28" s="193">
        <f t="shared" si="6"/>
        <v>31219.04477078862</v>
      </c>
      <c r="I28" s="193">
        <f t="shared" si="6"/>
        <v>21950.58608626885</v>
      </c>
      <c r="J28" s="193">
        <f t="shared" si="6"/>
        <v>6856.5102301005154</v>
      </c>
      <c r="K28" s="193">
        <f t="shared" si="6"/>
        <v>3376.3230415594016</v>
      </c>
      <c r="L28" s="193">
        <f t="shared" si="6"/>
        <v>2738.6267729299584</v>
      </c>
      <c r="M28" s="193">
        <f t="shared" si="6"/>
        <v>3160.4628099173551</v>
      </c>
      <c r="N28" s="193">
        <f t="shared" si="6"/>
        <v>2829.4214876033056</v>
      </c>
      <c r="O28" s="200">
        <f t="shared" si="6"/>
        <v>2511</v>
      </c>
    </row>
    <row r="29" spans="1:37">
      <c r="A29"/>
      <c r="B29"/>
      <c r="C29"/>
      <c r="D29"/>
      <c r="E29"/>
      <c r="F29"/>
      <c r="G29"/>
      <c r="H29"/>
      <c r="I29"/>
      <c r="J29"/>
      <c r="K29"/>
      <c r="L29"/>
      <c r="M29"/>
      <c r="N29"/>
      <c r="O29"/>
      <c r="P29"/>
      <c r="Q29"/>
      <c r="R29"/>
    </row>
    <row r="30" spans="1:37" ht="15.75" thickBot="1">
      <c r="A30"/>
      <c r="B30" s="108" t="s">
        <v>59</v>
      </c>
      <c r="C30" s="109" t="str">
        <f>VLOOKUP(B30,NodeList!$D$4:$E$121,2,FALSE)</f>
        <v>Hilliard West Side</v>
      </c>
      <c r="D30" s="6"/>
      <c r="E30" s="6"/>
      <c r="F30" s="6"/>
      <c r="G30" s="6"/>
      <c r="H30" s="7"/>
      <c r="I30" s="7"/>
      <c r="J30" s="7"/>
      <c r="K30" s="7"/>
      <c r="L30" s="7"/>
      <c r="M30" s="7"/>
      <c r="N30" s="7"/>
      <c r="O30" s="7"/>
    </row>
    <row r="31" spans="1:37" ht="15">
      <c r="A31"/>
      <c r="B31" s="9" t="s">
        <v>16</v>
      </c>
      <c r="C31" s="10"/>
      <c r="D31" s="11" t="s">
        <v>0</v>
      </c>
      <c r="E31" s="11" t="s">
        <v>1</v>
      </c>
      <c r="F31" s="11" t="s">
        <v>2</v>
      </c>
      <c r="G31" s="11" t="s">
        <v>3</v>
      </c>
      <c r="H31" s="11" t="s">
        <v>4</v>
      </c>
      <c r="I31" s="11" t="s">
        <v>5</v>
      </c>
      <c r="J31" s="11" t="s">
        <v>6</v>
      </c>
      <c r="K31" s="11" t="s">
        <v>7</v>
      </c>
      <c r="L31" s="11" t="s">
        <v>8</v>
      </c>
      <c r="M31" s="11" t="s">
        <v>9</v>
      </c>
      <c r="N31" s="11" t="s">
        <v>10</v>
      </c>
      <c r="O31" s="12" t="s">
        <v>11</v>
      </c>
    </row>
    <row r="32" spans="1:37" ht="14.25">
      <c r="A32"/>
      <c r="B32" s="14" t="str">
        <f>+B30 &amp;" Node Inflow"</f>
        <v>Node 1.02 Node Inflow</v>
      </c>
      <c r="C32" s="13"/>
      <c r="D32" s="15">
        <f>+D28</f>
        <v>2385.0605176118456</v>
      </c>
      <c r="E32" s="15">
        <f t="shared" ref="E32:O32" si="7">+E28</f>
        <v>2733.4425891352939</v>
      </c>
      <c r="F32" s="15">
        <f t="shared" si="7"/>
        <v>7596.7841295666813</v>
      </c>
      <c r="G32" s="15">
        <f t="shared" si="7"/>
        <v>10183.269175647018</v>
      </c>
      <c r="H32" s="15">
        <f t="shared" si="7"/>
        <v>31219.04477078862</v>
      </c>
      <c r="I32" s="15">
        <f t="shared" si="7"/>
        <v>21950.58608626885</v>
      </c>
      <c r="J32" s="15">
        <f t="shared" si="7"/>
        <v>6856.5102301005154</v>
      </c>
      <c r="K32" s="15">
        <f t="shared" si="7"/>
        <v>3376.3230415594016</v>
      </c>
      <c r="L32" s="15">
        <f t="shared" si="7"/>
        <v>2738.6267729299584</v>
      </c>
      <c r="M32" s="15">
        <f t="shared" si="7"/>
        <v>3160.4628099173551</v>
      </c>
      <c r="N32" s="15">
        <f t="shared" si="7"/>
        <v>2829.4214876033056</v>
      </c>
      <c r="O32" s="16">
        <f t="shared" si="7"/>
        <v>2511</v>
      </c>
    </row>
    <row r="33" spans="1:15" ht="14.25">
      <c r="A33"/>
      <c r="B33" s="14" t="str">
        <f>+B30 &amp;" Irrigation Returns"</f>
        <v>Node 1.02 Irrigation Returns</v>
      </c>
      <c r="C33" s="13"/>
      <c r="D33" s="54">
        <f>VLOOKUP(($B30),'Irrigation Returns'!$B$644:$P$930,4,FALSE)</f>
        <v>0</v>
      </c>
      <c r="E33" s="54">
        <f>VLOOKUP(($B30),'Irrigation Returns'!$B$644:$P$930,5,FALSE)</f>
        <v>0</v>
      </c>
      <c r="F33" s="54">
        <f>VLOOKUP(($B30),'Irrigation Returns'!$B$644:$P$930,6,FALSE)</f>
        <v>0</v>
      </c>
      <c r="G33" s="54">
        <f>VLOOKUP(($B30),'Irrigation Returns'!$B$644:$P$930,7,FALSE)</f>
        <v>0</v>
      </c>
      <c r="H33" s="54">
        <f>VLOOKUP(($B30),'Irrigation Returns'!$B$644:$P$930,8,FALSE)</f>
        <v>0</v>
      </c>
      <c r="I33" s="54">
        <f>VLOOKUP(($B30),'Irrigation Returns'!$B$644:$P$930,9,FALSE)</f>
        <v>0</v>
      </c>
      <c r="J33" s="54">
        <f>VLOOKUP(($B30),'Irrigation Returns'!$B$644:$P$930,10,FALSE)</f>
        <v>0</v>
      </c>
      <c r="K33" s="54">
        <f>VLOOKUP(($B30),'Irrigation Returns'!$B$644:$P$930,11,FALSE)</f>
        <v>0</v>
      </c>
      <c r="L33" s="54">
        <f>VLOOKUP(($B30),'Irrigation Returns'!$B$644:$P$930,12,FALSE)</f>
        <v>0</v>
      </c>
      <c r="M33" s="54">
        <f>VLOOKUP(($B30),'Irrigation Returns'!$B$644:$P$930,13,FALSE)</f>
        <v>0</v>
      </c>
      <c r="N33" s="54">
        <f>VLOOKUP(($B30),'Irrigation Returns'!$B$644:$P$930,14,FALSE)</f>
        <v>0</v>
      </c>
      <c r="O33" s="110">
        <f>VLOOKUP(($B30),'Irrigation Returns'!$B$644:$P$930,15,FALSE)</f>
        <v>0</v>
      </c>
    </row>
    <row r="34" spans="1:15" ht="14.25">
      <c r="A34"/>
      <c r="B34" s="14" t="s">
        <v>328</v>
      </c>
      <c r="C34" s="13" t="s">
        <v>180</v>
      </c>
      <c r="D34" s="54">
        <f>VLOOKUP($B34,GainLoss!$B$5:$O$14,3,FALSE)</f>
        <v>0</v>
      </c>
      <c r="E34" s="54">
        <f>VLOOKUP($B34,GainLoss!$B$5:$O$14,4,FALSE)</f>
        <v>0</v>
      </c>
      <c r="F34" s="54">
        <f>VLOOKUP($B34,GainLoss!$B$5:$O$14,5,FALSE)</f>
        <v>0</v>
      </c>
      <c r="G34" s="54">
        <f>VLOOKUP($B34,GainLoss!$B$5:$O$14,6,FALSE)</f>
        <v>0</v>
      </c>
      <c r="H34" s="54">
        <f>VLOOKUP($B34,GainLoss!$B$5:$O$14,7,FALSE)</f>
        <v>0</v>
      </c>
      <c r="I34" s="54">
        <f>VLOOKUP($B34,GainLoss!$B$5:$O$14,8,FALSE)</f>
        <v>0</v>
      </c>
      <c r="J34" s="54">
        <f>VLOOKUP($B34,GainLoss!$B$5:$O$14,9,FALSE)</f>
        <v>0</v>
      </c>
      <c r="K34" s="54">
        <f>VLOOKUP($B34,GainLoss!$B$5:$O$14,10,FALSE)</f>
        <v>0</v>
      </c>
      <c r="L34" s="54">
        <f>VLOOKUP($B34,GainLoss!$B$5:$O$14,11,FALSE)</f>
        <v>0</v>
      </c>
      <c r="M34" s="54">
        <f>VLOOKUP($B34,GainLoss!$B$5:$O$14,12,FALSE)</f>
        <v>0</v>
      </c>
      <c r="N34" s="54">
        <f>VLOOKUP($B34,GainLoss!$B$5:$O$14,13,FALSE)</f>
        <v>0</v>
      </c>
      <c r="O34" s="110">
        <f>VLOOKUP($B34,GainLoss!$B$5:$O$14,14,FALSE)</f>
        <v>0</v>
      </c>
    </row>
    <row r="35" spans="1:15" ht="14.25">
      <c r="A35"/>
      <c r="B35" s="14" t="str">
        <f>+B30 &amp;" Import/Export"</f>
        <v>Node 1.02 Import/Export</v>
      </c>
      <c r="C35" s="13"/>
      <c r="D35" s="190">
        <f>VLOOKUP($B30,ImportExport!$B$6:$O$68,3,FALSE)</f>
        <v>0</v>
      </c>
      <c r="E35" s="190">
        <f>VLOOKUP($B30,ImportExport!$B$6:$O$68,4,FALSE)</f>
        <v>0</v>
      </c>
      <c r="F35" s="190">
        <f>VLOOKUP($B30,ImportExport!$B$6:$O$68,5,FALSE)</f>
        <v>0</v>
      </c>
      <c r="G35" s="190">
        <f>VLOOKUP($B30,ImportExport!$B$6:$O$68,6,FALSE)</f>
        <v>0</v>
      </c>
      <c r="H35" s="190">
        <f>VLOOKUP($B30,ImportExport!$B$6:$O$68,7,FALSE)</f>
        <v>0</v>
      </c>
      <c r="I35" s="190">
        <f>VLOOKUP($B30,ImportExport!$B$6:$O$68,8,FALSE)</f>
        <v>0</v>
      </c>
      <c r="J35" s="190">
        <f>VLOOKUP($B30,ImportExport!$B$6:$O$68,9,FALSE)</f>
        <v>0</v>
      </c>
      <c r="K35" s="190">
        <f>VLOOKUP($B30,ImportExport!$B$6:$O$68,10,FALSE)</f>
        <v>0</v>
      </c>
      <c r="L35" s="190">
        <f>VLOOKUP($B30,ImportExport!$B$6:$O$68,11,FALSE)</f>
        <v>0</v>
      </c>
      <c r="M35" s="190">
        <f>VLOOKUP($B30,ImportExport!$B$6:$O$68,12,FALSE)</f>
        <v>0</v>
      </c>
      <c r="N35" s="190">
        <f>VLOOKUP($B30,ImportExport!$B$6:$O$68,13,FALSE)</f>
        <v>0</v>
      </c>
      <c r="O35" s="197">
        <f>VLOOKUP($B30,ImportExport!$B$6:$O$68,14,FALSE)</f>
        <v>0</v>
      </c>
    </row>
    <row r="36" spans="1:15" ht="15.75" thickBot="1">
      <c r="A36"/>
      <c r="B36" s="18" t="str">
        <f>"Total "&amp; (B30)&amp;" Inflow"</f>
        <v>Total Node 1.02 Inflow</v>
      </c>
      <c r="C36" s="17"/>
      <c r="D36" s="25">
        <f t="shared" ref="D36:O36" si="8">SUM(D32:D35)</f>
        <v>2385.0605176118456</v>
      </c>
      <c r="E36" s="25">
        <f t="shared" si="8"/>
        <v>2733.4425891352939</v>
      </c>
      <c r="F36" s="25">
        <f t="shared" si="8"/>
        <v>7596.7841295666813</v>
      </c>
      <c r="G36" s="25">
        <f t="shared" si="8"/>
        <v>10183.269175647018</v>
      </c>
      <c r="H36" s="25">
        <f t="shared" si="8"/>
        <v>31219.04477078862</v>
      </c>
      <c r="I36" s="25">
        <f t="shared" si="8"/>
        <v>21950.58608626885</v>
      </c>
      <c r="J36" s="25">
        <f t="shared" si="8"/>
        <v>6856.5102301005154</v>
      </c>
      <c r="K36" s="25">
        <f t="shared" si="8"/>
        <v>3376.3230415594016</v>
      </c>
      <c r="L36" s="25">
        <f t="shared" si="8"/>
        <v>2738.6267729299584</v>
      </c>
      <c r="M36" s="25">
        <f t="shared" si="8"/>
        <v>3160.4628099173551</v>
      </c>
      <c r="N36" s="25">
        <f t="shared" si="8"/>
        <v>2829.4214876033056</v>
      </c>
      <c r="O36" s="26">
        <f t="shared" si="8"/>
        <v>2511</v>
      </c>
    </row>
    <row r="37" spans="1:15" ht="15">
      <c r="A37"/>
      <c r="B37" s="19" t="s">
        <v>17</v>
      </c>
      <c r="C37" s="20"/>
      <c r="D37" s="282" t="str">
        <f>IF(((VLOOKUP($B30,'Diversion Data'!$B$3:$O$227,3,FALSE))-D39)&gt;0,"Short","")</f>
        <v/>
      </c>
      <c r="E37" s="282" t="str">
        <f>IF(((VLOOKUP($B30,'Diversion Data'!$B$3:$O$227,4,FALSE))-E39)&gt;0,"Short","")</f>
        <v/>
      </c>
      <c r="F37" s="282" t="str">
        <f>IF(((VLOOKUP($B30,'Diversion Data'!$B$3:$O$227,5,FALSE))-F39)&gt;0,"Short","")</f>
        <v/>
      </c>
      <c r="G37" s="282" t="str">
        <f>IF(((VLOOKUP($B30,'Diversion Data'!$B$3:$O$227,6,FALSE))-G39)&gt;0,"Short","")</f>
        <v/>
      </c>
      <c r="H37" s="282" t="str">
        <f>IF(((VLOOKUP($B30,'Diversion Data'!$B$3:$O$227,7,FALSE))-H39)&gt;0,"Short","")</f>
        <v/>
      </c>
      <c r="I37" s="282" t="str">
        <f>IF(((VLOOKUP($B30,'Diversion Data'!$B$3:$O$227,8,FALSE))-I39)&gt;0,"Short","")</f>
        <v/>
      </c>
      <c r="J37" s="282" t="str">
        <f>IF(((VLOOKUP($B30,'Diversion Data'!$B$3:$O$227,9,FALSE))-J39)&gt;0,"Short","")</f>
        <v/>
      </c>
      <c r="K37" s="282" t="str">
        <f>IF(((VLOOKUP($B30,'Diversion Data'!$B$3:$O$227,10,FALSE))-K39)&gt;0,"Short","")</f>
        <v/>
      </c>
      <c r="L37" s="282" t="str">
        <f>IF(((VLOOKUP($B30,'Diversion Data'!$B$3:$O$227,11,FALSE))-L39)&gt;0,"Short","")</f>
        <v/>
      </c>
      <c r="M37" s="282" t="str">
        <f>IF(((VLOOKUP($B30,'Diversion Data'!$B$3:$O$227,12,FALSE))-M39)&gt;0,"Short","")</f>
        <v/>
      </c>
      <c r="N37" s="282" t="str">
        <f>IF(((VLOOKUP($B30,'Diversion Data'!$B$3:$O$227,13,FALSE))-N39)&gt;0,"Short","")</f>
        <v/>
      </c>
      <c r="O37" s="283" t="str">
        <f>IF(((VLOOKUP($B30,'Diversion Data'!$B$3:$O$227,14,FALSE))-O39)&gt;0,"Short","")</f>
        <v/>
      </c>
    </row>
    <row r="38" spans="1:15" ht="14.25">
      <c r="A38"/>
      <c r="B38" s="14" t="s">
        <v>81</v>
      </c>
      <c r="C38" s="13" t="s">
        <v>181</v>
      </c>
      <c r="D38" s="171">
        <f>VLOOKUP($B38,GainLoss!$B$19:$O$27,3,FALSE)</f>
        <v>0</v>
      </c>
      <c r="E38" s="171">
        <f>VLOOKUP($B38,GainLoss!$B$19:$O$27,4,FALSE)</f>
        <v>0</v>
      </c>
      <c r="F38" s="171">
        <f>VLOOKUP($B38,GainLoss!$B$19:$O$27,5,FALSE)</f>
        <v>0</v>
      </c>
      <c r="G38" s="171">
        <f>VLOOKUP($B38,GainLoss!$B$19:$O$27,6,FALSE)</f>
        <v>0</v>
      </c>
      <c r="H38" s="171">
        <f>VLOOKUP($B38,GainLoss!$B$19:$O$27,7,FALSE)</f>
        <v>0</v>
      </c>
      <c r="I38" s="171">
        <f>VLOOKUP($B38,GainLoss!$B$19:$O$27,8,FALSE)</f>
        <v>0</v>
      </c>
      <c r="J38" s="171">
        <f>VLOOKUP($B38,GainLoss!$B$19:$O$27,9,FALSE)</f>
        <v>0</v>
      </c>
      <c r="K38" s="171">
        <f>VLOOKUP($B38,GainLoss!$B$19:$O$27,10,FALSE)</f>
        <v>0</v>
      </c>
      <c r="L38" s="171">
        <f>VLOOKUP($B38,GainLoss!$B$19:$O$27,11,FALSE)</f>
        <v>0</v>
      </c>
      <c r="M38" s="171">
        <f>VLOOKUP($B38,GainLoss!$B$19:$O$27,12,FALSE)</f>
        <v>0</v>
      </c>
      <c r="N38" s="171">
        <f>VLOOKUP($B38,GainLoss!$B$19:$O$27,13,FALSE)</f>
        <v>0</v>
      </c>
      <c r="O38" s="198">
        <f>VLOOKUP($B38,GainLoss!$B$19:$O$27,14,FALSE)</f>
        <v>0</v>
      </c>
    </row>
    <row r="39" spans="1:15" ht="14.25">
      <c r="A39"/>
      <c r="B39" s="14" t="str">
        <f>+B30 &amp;" Diversions"</f>
        <v>Node 1.02 Diversions</v>
      </c>
      <c r="C39" s="13"/>
      <c r="D39" s="54">
        <f>MIN(VLOOKUP($B30,'Diversion Data'!$B$3:$O$227,3,FALSE),(D36-D38))</f>
        <v>0</v>
      </c>
      <c r="E39" s="54">
        <f>MIN(VLOOKUP($B30,'Diversion Data'!$B$3:$O$227,4,FALSE),(E36-E38))</f>
        <v>0</v>
      </c>
      <c r="F39" s="54">
        <f>MIN(VLOOKUP($B30,'Diversion Data'!$B$3:$O$227,5,FALSE),(F36-F38))</f>
        <v>0</v>
      </c>
      <c r="G39" s="54">
        <f>MIN(VLOOKUP($B30,'Diversion Data'!$B$3:$O$227,6,FALSE),(G36-G38))</f>
        <v>0</v>
      </c>
      <c r="H39" s="54">
        <f>MIN(VLOOKUP($B30,'Diversion Data'!$B$3:$O$227,7,FALSE),(H36-H38))</f>
        <v>1110.2200528911158</v>
      </c>
      <c r="I39" s="54">
        <f>MIN(VLOOKUP($B30,'Diversion Data'!$B$3:$O$227,8,FALSE),(I36-I38))</f>
        <v>1762.9816121342976</v>
      </c>
      <c r="J39" s="54">
        <f>MIN(VLOOKUP($B30,'Diversion Data'!$B$3:$O$227,9,FALSE),(J36-J38))</f>
        <v>759.68810638553737</v>
      </c>
      <c r="K39" s="54">
        <f>MIN(VLOOKUP($B30,'Diversion Data'!$B$3:$O$227,10,FALSE),(K36-K38))</f>
        <v>156.40355244752067</v>
      </c>
      <c r="L39" s="54">
        <f>MIN(VLOOKUP($B30,'Diversion Data'!$B$3:$O$227,11,FALSE),(L36-L38))</f>
        <v>167.44052331477275</v>
      </c>
      <c r="M39" s="54">
        <f>MIN(VLOOKUP($B30,'Diversion Data'!$B$3:$O$227,12,FALSE),(M36-M38))</f>
        <v>0</v>
      </c>
      <c r="N39" s="54">
        <f>MIN(VLOOKUP($B30,'Diversion Data'!$B$3:$O$227,13,FALSE),(N36-N38))</f>
        <v>0</v>
      </c>
      <c r="O39" s="110">
        <f>MIN(VLOOKUP($B30,'Diversion Data'!$B$3:$O$227,14,FALSE),(O36-O38))</f>
        <v>0</v>
      </c>
    </row>
    <row r="40" spans="1:15" ht="15.75" thickBot="1">
      <c r="A40"/>
      <c r="B40" s="24" t="str">
        <f>"Total " &amp; (B30) &amp;" Outflow"</f>
        <v>Total Node 1.02 Outflow</v>
      </c>
      <c r="C40" s="23"/>
      <c r="D40" s="27">
        <f t="shared" ref="D40:O40" si="9">SUM(D38:D39)</f>
        <v>0</v>
      </c>
      <c r="E40" s="27">
        <f t="shared" si="9"/>
        <v>0</v>
      </c>
      <c r="F40" s="27">
        <f t="shared" si="9"/>
        <v>0</v>
      </c>
      <c r="G40" s="27">
        <f t="shared" si="9"/>
        <v>0</v>
      </c>
      <c r="H40" s="27">
        <f t="shared" si="9"/>
        <v>1110.2200528911158</v>
      </c>
      <c r="I40" s="27">
        <f t="shared" si="9"/>
        <v>1762.9816121342976</v>
      </c>
      <c r="J40" s="27">
        <f t="shared" si="9"/>
        <v>759.68810638553737</v>
      </c>
      <c r="K40" s="27">
        <f t="shared" si="9"/>
        <v>156.40355244752067</v>
      </c>
      <c r="L40" s="27">
        <f t="shared" si="9"/>
        <v>167.44052331477275</v>
      </c>
      <c r="M40" s="27">
        <f t="shared" si="9"/>
        <v>0</v>
      </c>
      <c r="N40" s="27">
        <f t="shared" si="9"/>
        <v>0</v>
      </c>
      <c r="O40" s="28">
        <f t="shared" si="9"/>
        <v>0</v>
      </c>
    </row>
    <row r="41" spans="1:15" ht="15.75" thickBot="1">
      <c r="A41"/>
      <c r="B41" s="24" t="str">
        <f>(B30)&amp;" NET Flow (In - Out)"</f>
        <v>Node 1.02 NET Flow (In - Out)</v>
      </c>
      <c r="C41" s="23"/>
      <c r="D41" s="193">
        <f t="shared" ref="D41:O41" si="10">MAX(D36-D40,0)</f>
        <v>2385.0605176118456</v>
      </c>
      <c r="E41" s="193">
        <f t="shared" si="10"/>
        <v>2733.4425891352939</v>
      </c>
      <c r="F41" s="193">
        <f t="shared" si="10"/>
        <v>7596.7841295666813</v>
      </c>
      <c r="G41" s="193">
        <f t="shared" si="10"/>
        <v>10183.269175647018</v>
      </c>
      <c r="H41" s="193">
        <f t="shared" si="10"/>
        <v>30108.824717897503</v>
      </c>
      <c r="I41" s="193">
        <f t="shared" si="10"/>
        <v>20187.60447413455</v>
      </c>
      <c r="J41" s="193">
        <f t="shared" si="10"/>
        <v>6096.8221237149783</v>
      </c>
      <c r="K41" s="193">
        <f t="shared" si="10"/>
        <v>3219.9194891118809</v>
      </c>
      <c r="L41" s="193">
        <f t="shared" si="10"/>
        <v>2571.1862496151857</v>
      </c>
      <c r="M41" s="193">
        <f t="shared" si="10"/>
        <v>3160.4628099173551</v>
      </c>
      <c r="N41" s="193">
        <f t="shared" si="10"/>
        <v>2829.4214876033056</v>
      </c>
      <c r="O41" s="200">
        <f t="shared" si="10"/>
        <v>2511</v>
      </c>
    </row>
    <row r="42" spans="1:15">
      <c r="A42"/>
      <c r="B42"/>
      <c r="C42"/>
      <c r="D42"/>
      <c r="E42"/>
      <c r="F42"/>
      <c r="G42"/>
      <c r="H42"/>
      <c r="I42"/>
      <c r="J42"/>
      <c r="K42"/>
      <c r="L42"/>
      <c r="M42"/>
      <c r="N42"/>
      <c r="O42"/>
    </row>
    <row r="43" spans="1:15" ht="15.75" thickBot="1">
      <c r="A43"/>
      <c r="B43" s="108" t="s">
        <v>60</v>
      </c>
      <c r="C43" s="109" t="str">
        <f>VLOOKUP(B43,NodeList!$D$4:$E$121,2,FALSE)</f>
        <v>Bear Canal</v>
      </c>
      <c r="D43" s="6"/>
      <c r="E43" s="6"/>
      <c r="F43" s="6"/>
      <c r="G43" s="6"/>
      <c r="H43" s="7"/>
      <c r="I43" s="7"/>
      <c r="J43" s="7"/>
      <c r="K43" s="7"/>
      <c r="L43" s="7"/>
      <c r="M43" s="7"/>
      <c r="N43" s="7"/>
      <c r="O43" s="7"/>
    </row>
    <row r="44" spans="1:15" ht="15">
      <c r="B44" s="9" t="s">
        <v>16</v>
      </c>
      <c r="C44" s="10"/>
      <c r="D44" s="11" t="s">
        <v>0</v>
      </c>
      <c r="E44" s="11" t="s">
        <v>1</v>
      </c>
      <c r="F44" s="11" t="s">
        <v>2</v>
      </c>
      <c r="G44" s="11" t="s">
        <v>3</v>
      </c>
      <c r="H44" s="11" t="s">
        <v>4</v>
      </c>
      <c r="I44" s="11" t="s">
        <v>5</v>
      </c>
      <c r="J44" s="11" t="s">
        <v>6</v>
      </c>
      <c r="K44" s="11" t="s">
        <v>7</v>
      </c>
      <c r="L44" s="11" t="s">
        <v>8</v>
      </c>
      <c r="M44" s="11" t="s">
        <v>9</v>
      </c>
      <c r="N44" s="11" t="s">
        <v>10</v>
      </c>
      <c r="O44" s="12" t="s">
        <v>11</v>
      </c>
    </row>
    <row r="45" spans="1:15" ht="14.25">
      <c r="B45" s="14" t="str">
        <f>+B43 &amp;" Node Inflow"</f>
        <v>Node 1.03 Node Inflow</v>
      </c>
      <c r="C45" s="13"/>
      <c r="D45" s="15">
        <f>+D41</f>
        <v>2385.0605176118456</v>
      </c>
      <c r="E45" s="15">
        <f t="shared" ref="E45:O45" si="11">+E41</f>
        <v>2733.4425891352939</v>
      </c>
      <c r="F45" s="15">
        <f t="shared" si="11"/>
        <v>7596.7841295666813</v>
      </c>
      <c r="G45" s="15">
        <f t="shared" si="11"/>
        <v>10183.269175647018</v>
      </c>
      <c r="H45" s="15">
        <f t="shared" si="11"/>
        <v>30108.824717897503</v>
      </c>
      <c r="I45" s="15">
        <f t="shared" si="11"/>
        <v>20187.60447413455</v>
      </c>
      <c r="J45" s="15">
        <f t="shared" si="11"/>
        <v>6096.8221237149783</v>
      </c>
      <c r="K45" s="15">
        <f t="shared" si="11"/>
        <v>3219.9194891118809</v>
      </c>
      <c r="L45" s="15">
        <f t="shared" si="11"/>
        <v>2571.1862496151857</v>
      </c>
      <c r="M45" s="15">
        <f t="shared" si="11"/>
        <v>3160.4628099173551</v>
      </c>
      <c r="N45" s="15">
        <f t="shared" si="11"/>
        <v>2829.4214876033056</v>
      </c>
      <c r="O45" s="16">
        <f t="shared" si="11"/>
        <v>2511</v>
      </c>
    </row>
    <row r="46" spans="1:15" ht="14.25">
      <c r="B46" s="14" t="str">
        <f>+B43 &amp;" Irrigation Returns"</f>
        <v>Node 1.03 Irrigation Returns</v>
      </c>
      <c r="C46" s="13"/>
      <c r="D46" s="54">
        <f>VLOOKUP(($B43),'Irrigation Returns'!$B$644:$P$930,4,FALSE)</f>
        <v>0</v>
      </c>
      <c r="E46" s="54">
        <f>VLOOKUP(($B43),'Irrigation Returns'!$B$644:$P$930,5,FALSE)</f>
        <v>0</v>
      </c>
      <c r="F46" s="54">
        <f>VLOOKUP(($B43),'Irrigation Returns'!$B$644:$P$930,6,FALSE)</f>
        <v>0</v>
      </c>
      <c r="G46" s="54">
        <f>VLOOKUP(($B43),'Irrigation Returns'!$B$644:$P$930,7,FALSE)</f>
        <v>0</v>
      </c>
      <c r="H46" s="54">
        <f>VLOOKUP(($B43),'Irrigation Returns'!$B$644:$P$930,8,FALSE)</f>
        <v>0</v>
      </c>
      <c r="I46" s="54">
        <f>VLOOKUP(($B43),'Irrigation Returns'!$B$644:$P$930,9,FALSE)</f>
        <v>0</v>
      </c>
      <c r="J46" s="54">
        <f>VLOOKUP(($B43),'Irrigation Returns'!$B$644:$P$930,10,FALSE)</f>
        <v>0</v>
      </c>
      <c r="K46" s="54">
        <f>VLOOKUP(($B43),'Irrigation Returns'!$B$644:$P$930,11,FALSE)</f>
        <v>0</v>
      </c>
      <c r="L46" s="54">
        <f>VLOOKUP(($B43),'Irrigation Returns'!$B$644:$P$930,12,FALSE)</f>
        <v>0</v>
      </c>
      <c r="M46" s="54">
        <f>VLOOKUP(($B43),'Irrigation Returns'!$B$644:$P$930,13,FALSE)</f>
        <v>0</v>
      </c>
      <c r="N46" s="54">
        <f>VLOOKUP(($B43),'Irrigation Returns'!$B$644:$P$930,14,FALSE)</f>
        <v>0</v>
      </c>
      <c r="O46" s="110">
        <f>VLOOKUP(($B43),'Irrigation Returns'!$B$644:$P$930,15,FALSE)</f>
        <v>0</v>
      </c>
    </row>
    <row r="47" spans="1:15" ht="14.25">
      <c r="B47" s="14" t="s">
        <v>328</v>
      </c>
      <c r="C47" s="13" t="s">
        <v>180</v>
      </c>
      <c r="D47" s="54">
        <f>VLOOKUP($B47,GainLoss!$B$5:$O$14,3,FALSE)</f>
        <v>0</v>
      </c>
      <c r="E47" s="54">
        <f>VLOOKUP($B47,GainLoss!$B$5:$O$14,4,FALSE)</f>
        <v>0</v>
      </c>
      <c r="F47" s="54">
        <f>VLOOKUP($B47,GainLoss!$B$5:$O$14,5,FALSE)</f>
        <v>0</v>
      </c>
      <c r="G47" s="54">
        <f>VLOOKUP($B47,GainLoss!$B$5:$O$14,6,FALSE)</f>
        <v>0</v>
      </c>
      <c r="H47" s="54">
        <f>VLOOKUP($B47,GainLoss!$B$5:$O$14,7,FALSE)</f>
        <v>0</v>
      </c>
      <c r="I47" s="54">
        <f>VLOOKUP($B47,GainLoss!$B$5:$O$14,8,FALSE)</f>
        <v>0</v>
      </c>
      <c r="J47" s="54">
        <f>VLOOKUP($B47,GainLoss!$B$5:$O$14,9,FALSE)</f>
        <v>0</v>
      </c>
      <c r="K47" s="54">
        <f>VLOOKUP($B47,GainLoss!$B$5:$O$14,10,FALSE)</f>
        <v>0</v>
      </c>
      <c r="L47" s="54">
        <f>VLOOKUP($B47,GainLoss!$B$5:$O$14,11,FALSE)</f>
        <v>0</v>
      </c>
      <c r="M47" s="54">
        <f>VLOOKUP($B47,GainLoss!$B$5:$O$14,12,FALSE)</f>
        <v>0</v>
      </c>
      <c r="N47" s="54">
        <f>VLOOKUP($B47,GainLoss!$B$5:$O$14,13,FALSE)</f>
        <v>0</v>
      </c>
      <c r="O47" s="110">
        <f>VLOOKUP($B47,GainLoss!$B$5:$O$14,14,FALSE)</f>
        <v>0</v>
      </c>
    </row>
    <row r="48" spans="1:15" ht="14.25">
      <c r="B48" s="14" t="str">
        <f>+B43 &amp;" Import/Export"</f>
        <v>Node 1.03 Import/Export</v>
      </c>
      <c r="C48" s="13"/>
      <c r="D48" s="190">
        <f>VLOOKUP($B43,ImportExport!$B$6:$O$68,3,FALSE)</f>
        <v>0</v>
      </c>
      <c r="E48" s="190">
        <f>VLOOKUP($B43,ImportExport!$B$6:$O$68,4,FALSE)</f>
        <v>0</v>
      </c>
      <c r="F48" s="190">
        <f>VLOOKUP($B43,ImportExport!$B$6:$O$68,5,FALSE)</f>
        <v>0</v>
      </c>
      <c r="G48" s="190">
        <f>VLOOKUP($B43,ImportExport!$B$6:$O$68,6,FALSE)</f>
        <v>0</v>
      </c>
      <c r="H48" s="190">
        <f>VLOOKUP($B43,ImportExport!$B$6:$O$68,7,FALSE)</f>
        <v>0</v>
      </c>
      <c r="I48" s="190">
        <f>VLOOKUP($B43,ImportExport!$B$6:$O$68,8,FALSE)</f>
        <v>0</v>
      </c>
      <c r="J48" s="190">
        <f>VLOOKUP($B43,ImportExport!$B$6:$O$68,9,FALSE)</f>
        <v>0</v>
      </c>
      <c r="K48" s="190">
        <f>VLOOKUP($B43,ImportExport!$B$6:$O$68,10,FALSE)</f>
        <v>0</v>
      </c>
      <c r="L48" s="190">
        <f>VLOOKUP($B43,ImportExport!$B$6:$O$68,11,FALSE)</f>
        <v>0</v>
      </c>
      <c r="M48" s="190">
        <f>VLOOKUP($B43,ImportExport!$B$6:$O$68,12,FALSE)</f>
        <v>0</v>
      </c>
      <c r="N48" s="190">
        <f>VLOOKUP($B43,ImportExport!$B$6:$O$68,13,FALSE)</f>
        <v>0</v>
      </c>
      <c r="O48" s="197">
        <f>VLOOKUP($B43,ImportExport!$B$6:$O$68,14,FALSE)</f>
        <v>0</v>
      </c>
    </row>
    <row r="49" spans="2:15" ht="15.75" thickBot="1">
      <c r="B49" s="18" t="str">
        <f>"Total "&amp; (B43)&amp;" Inflow"</f>
        <v>Total Node 1.03 Inflow</v>
      </c>
      <c r="C49" s="17"/>
      <c r="D49" s="25">
        <f t="shared" ref="D49:O49" si="12">SUM(D45:D48)</f>
        <v>2385.0605176118456</v>
      </c>
      <c r="E49" s="25">
        <f t="shared" si="12"/>
        <v>2733.4425891352939</v>
      </c>
      <c r="F49" s="25">
        <f t="shared" si="12"/>
        <v>7596.7841295666813</v>
      </c>
      <c r="G49" s="25">
        <f t="shared" si="12"/>
        <v>10183.269175647018</v>
      </c>
      <c r="H49" s="25">
        <f t="shared" si="12"/>
        <v>30108.824717897503</v>
      </c>
      <c r="I49" s="25">
        <f t="shared" si="12"/>
        <v>20187.60447413455</v>
      </c>
      <c r="J49" s="25">
        <f t="shared" si="12"/>
        <v>6096.8221237149783</v>
      </c>
      <c r="K49" s="25">
        <f t="shared" si="12"/>
        <v>3219.9194891118809</v>
      </c>
      <c r="L49" s="25">
        <f t="shared" si="12"/>
        <v>2571.1862496151857</v>
      </c>
      <c r="M49" s="25">
        <f t="shared" si="12"/>
        <v>3160.4628099173551</v>
      </c>
      <c r="N49" s="25">
        <f t="shared" si="12"/>
        <v>2829.4214876033056</v>
      </c>
      <c r="O49" s="26">
        <f t="shared" si="12"/>
        <v>2511</v>
      </c>
    </row>
    <row r="50" spans="2:15" ht="15">
      <c r="B50" s="19" t="s">
        <v>17</v>
      </c>
      <c r="C50" s="20"/>
      <c r="D50" s="282" t="str">
        <f>IF(((VLOOKUP($B43,'Diversion Data'!$B$3:$O$227,3,FALSE))-D52)&gt;0,"Short","")</f>
        <v/>
      </c>
      <c r="E50" s="282" t="str">
        <f>IF(((VLOOKUP($B43,'Diversion Data'!$B$3:$O$227,4,FALSE))-E52)&gt;0,"Short","")</f>
        <v/>
      </c>
      <c r="F50" s="282" t="str">
        <f>IF(((VLOOKUP($B43,'Diversion Data'!$B$3:$O$227,5,FALSE))-F52)&gt;0,"Short","")</f>
        <v/>
      </c>
      <c r="G50" s="282" t="str">
        <f>IF(((VLOOKUP($B43,'Diversion Data'!$B$3:$O$227,6,FALSE))-G52)&gt;0,"Short","")</f>
        <v/>
      </c>
      <c r="H50" s="282" t="str">
        <f>IF(((VLOOKUP($B43,'Diversion Data'!$B$3:$O$227,7,FALSE))-H52)&gt;0,"Short","")</f>
        <v/>
      </c>
      <c r="I50" s="282" t="str">
        <f>IF(((VLOOKUP($B43,'Diversion Data'!$B$3:$O$227,8,FALSE))-I52)&gt;0,"Short","")</f>
        <v/>
      </c>
      <c r="J50" s="282" t="str">
        <f>IF(((VLOOKUP($B43,'Diversion Data'!$B$3:$O$227,9,FALSE))-J52)&gt;0,"Short","")</f>
        <v/>
      </c>
      <c r="K50" s="282" t="str">
        <f>IF(((VLOOKUP($B43,'Diversion Data'!$B$3:$O$227,10,FALSE))-K52)&gt;0,"Short","")</f>
        <v/>
      </c>
      <c r="L50" s="282" t="str">
        <f>IF(((VLOOKUP($B43,'Diversion Data'!$B$3:$O$227,11,FALSE))-L52)&gt;0,"Short","")</f>
        <v/>
      </c>
      <c r="M50" s="282" t="str">
        <f>IF(((VLOOKUP($B43,'Diversion Data'!$B$3:$O$227,12,FALSE))-M52)&gt;0,"Short","")</f>
        <v/>
      </c>
      <c r="N50" s="282" t="str">
        <f>IF(((VLOOKUP($B43,'Diversion Data'!$B$3:$O$227,13,FALSE))-N52)&gt;0,"Short","")</f>
        <v/>
      </c>
      <c r="O50" s="283" t="str">
        <f>IF(((VLOOKUP($B43,'Diversion Data'!$B$3:$O$227,14,FALSE))-O52)&gt;0,"Short","")</f>
        <v/>
      </c>
    </row>
    <row r="51" spans="2:15" ht="14.25">
      <c r="B51" s="14" t="s">
        <v>81</v>
      </c>
      <c r="C51" s="13" t="s">
        <v>181</v>
      </c>
      <c r="D51" s="171">
        <f>VLOOKUP($B51,GainLoss!$B$19:$O$27,3,FALSE)</f>
        <v>0</v>
      </c>
      <c r="E51" s="171">
        <f>VLOOKUP($B51,GainLoss!$B$19:$O$27,4,FALSE)</f>
        <v>0</v>
      </c>
      <c r="F51" s="171">
        <f>VLOOKUP($B51,GainLoss!$B$19:$O$27,5,FALSE)</f>
        <v>0</v>
      </c>
      <c r="G51" s="171">
        <f>VLOOKUP($B51,GainLoss!$B$19:$O$27,6,FALSE)</f>
        <v>0</v>
      </c>
      <c r="H51" s="171">
        <f>VLOOKUP($B51,GainLoss!$B$19:$O$27,7,FALSE)</f>
        <v>0</v>
      </c>
      <c r="I51" s="171">
        <f>VLOOKUP($B51,GainLoss!$B$19:$O$27,8,FALSE)</f>
        <v>0</v>
      </c>
      <c r="J51" s="171">
        <f>VLOOKUP($B51,GainLoss!$B$19:$O$27,9,FALSE)</f>
        <v>0</v>
      </c>
      <c r="K51" s="171">
        <f>VLOOKUP($B51,GainLoss!$B$19:$O$27,10,FALSE)</f>
        <v>0</v>
      </c>
      <c r="L51" s="171">
        <f>VLOOKUP($B51,GainLoss!$B$19:$O$27,11,FALSE)</f>
        <v>0</v>
      </c>
      <c r="M51" s="171">
        <f>VLOOKUP($B51,GainLoss!$B$19:$O$27,12,FALSE)</f>
        <v>0</v>
      </c>
      <c r="N51" s="171">
        <f>VLOOKUP($B51,GainLoss!$B$19:$O$27,13,FALSE)</f>
        <v>0</v>
      </c>
      <c r="O51" s="198">
        <f>VLOOKUP($B51,GainLoss!$B$19:$O$27,14,FALSE)</f>
        <v>0</v>
      </c>
    </row>
    <row r="52" spans="2:15" ht="14.25">
      <c r="B52" s="14" t="str">
        <f>+B43 &amp;" Diversions"</f>
        <v>Node 1.03 Diversions</v>
      </c>
      <c r="C52" s="13"/>
      <c r="D52" s="54">
        <f>MIN(VLOOKUP($B43,'Diversion Data'!$B$3:$O$227,3,FALSE),(D49-D51))</f>
        <v>0</v>
      </c>
      <c r="E52" s="54">
        <f>MIN(VLOOKUP($B43,'Diversion Data'!$B$3:$O$227,4,FALSE),(E49-E51))</f>
        <v>0</v>
      </c>
      <c r="F52" s="54">
        <f>MIN(VLOOKUP($B43,'Diversion Data'!$B$3:$O$227,5,FALSE),(F49-F51))</f>
        <v>0</v>
      </c>
      <c r="G52" s="54">
        <f>MIN(VLOOKUP($B43,'Diversion Data'!$B$3:$O$227,6,FALSE),(G49-G51))</f>
        <v>0</v>
      </c>
      <c r="H52" s="54">
        <f>MIN(VLOOKUP($B43,'Diversion Data'!$B$3:$O$227,7,FALSE),(H49-H51))</f>
        <v>1965.6305462113635</v>
      </c>
      <c r="I52" s="54">
        <f>MIN(VLOOKUP($B43,'Diversion Data'!$B$3:$O$227,8,FALSE),(I49-I51))</f>
        <v>3298.0788354802685</v>
      </c>
      <c r="J52" s="54">
        <f>MIN(VLOOKUP($B43,'Diversion Data'!$B$3:$O$227,9,FALSE),(J49-J51))</f>
        <v>1684.1485608552687</v>
      </c>
      <c r="K52" s="54">
        <f>MIN(VLOOKUP($B43,'Diversion Data'!$B$3:$O$227,10,FALSE),(K49-K51))</f>
        <v>532.35795900309915</v>
      </c>
      <c r="L52" s="54">
        <f>MIN(VLOOKUP($B43,'Diversion Data'!$B$3:$O$227,11,FALSE),(L49-L51))</f>
        <v>409.02576384132237</v>
      </c>
      <c r="M52" s="54">
        <f>MIN(VLOOKUP($B43,'Diversion Data'!$B$3:$O$227,12,FALSE),(M49-M51))</f>
        <v>0</v>
      </c>
      <c r="N52" s="54">
        <f>MIN(VLOOKUP($B43,'Diversion Data'!$B$3:$O$227,13,FALSE),(N49-N51))</f>
        <v>0</v>
      </c>
      <c r="O52" s="110">
        <f>MIN(VLOOKUP($B43,'Diversion Data'!$B$3:$O$227,14,FALSE),(O49-O51))</f>
        <v>0</v>
      </c>
    </row>
    <row r="53" spans="2:15" ht="15.75" thickBot="1">
      <c r="B53" s="24" t="str">
        <f>"Total " &amp; (B43) &amp;" Outflow"</f>
        <v>Total Node 1.03 Outflow</v>
      </c>
      <c r="C53" s="23"/>
      <c r="D53" s="27">
        <f t="shared" ref="D53:O53" si="13">SUM(D51:D52)</f>
        <v>0</v>
      </c>
      <c r="E53" s="27">
        <f t="shared" si="13"/>
        <v>0</v>
      </c>
      <c r="F53" s="27">
        <f t="shared" si="13"/>
        <v>0</v>
      </c>
      <c r="G53" s="27">
        <f t="shared" si="13"/>
        <v>0</v>
      </c>
      <c r="H53" s="27">
        <f t="shared" si="13"/>
        <v>1965.6305462113635</v>
      </c>
      <c r="I53" s="27">
        <f t="shared" si="13"/>
        <v>3298.0788354802685</v>
      </c>
      <c r="J53" s="27">
        <f t="shared" si="13"/>
        <v>1684.1485608552687</v>
      </c>
      <c r="K53" s="27">
        <f t="shared" si="13"/>
        <v>532.35795900309915</v>
      </c>
      <c r="L53" s="27">
        <f t="shared" si="13"/>
        <v>409.02576384132237</v>
      </c>
      <c r="M53" s="27">
        <f t="shared" si="13"/>
        <v>0</v>
      </c>
      <c r="N53" s="27">
        <f t="shared" si="13"/>
        <v>0</v>
      </c>
      <c r="O53" s="28">
        <f t="shared" si="13"/>
        <v>0</v>
      </c>
    </row>
    <row r="54" spans="2:15" ht="15.75" thickBot="1">
      <c r="B54" s="24" t="str">
        <f>(B43)&amp;" NET Flow (In - Out)"</f>
        <v>Node 1.03 NET Flow (In - Out)</v>
      </c>
      <c r="C54" s="23"/>
      <c r="D54" s="193">
        <f t="shared" ref="D54:O54" si="14">MAX(D49-D53,0)</f>
        <v>2385.0605176118456</v>
      </c>
      <c r="E54" s="193">
        <f t="shared" si="14"/>
        <v>2733.4425891352939</v>
      </c>
      <c r="F54" s="193">
        <f t="shared" si="14"/>
        <v>7596.7841295666813</v>
      </c>
      <c r="G54" s="193">
        <f t="shared" si="14"/>
        <v>10183.269175647018</v>
      </c>
      <c r="H54" s="193">
        <f t="shared" si="14"/>
        <v>28143.19417168614</v>
      </c>
      <c r="I54" s="193">
        <f t="shared" si="14"/>
        <v>16889.525638654282</v>
      </c>
      <c r="J54" s="193">
        <f t="shared" si="14"/>
        <v>4412.6735628597098</v>
      </c>
      <c r="K54" s="193">
        <f t="shared" si="14"/>
        <v>2687.5615301087819</v>
      </c>
      <c r="L54" s="193">
        <f t="shared" si="14"/>
        <v>2162.1604857738635</v>
      </c>
      <c r="M54" s="193">
        <f t="shared" si="14"/>
        <v>3160.4628099173551</v>
      </c>
      <c r="N54" s="193">
        <f t="shared" si="14"/>
        <v>2829.4214876033056</v>
      </c>
      <c r="O54" s="200">
        <f t="shared" si="14"/>
        <v>2511</v>
      </c>
    </row>
    <row r="56" spans="2:15" ht="15.75" thickBot="1">
      <c r="B56" s="108" t="s">
        <v>61</v>
      </c>
      <c r="C56" s="109" t="str">
        <f>VLOOKUP(B56,NodeList!$D$4:$E$121,2,FALSE)</f>
        <v>Crown &amp; Pine Grove</v>
      </c>
      <c r="D56" s="6"/>
      <c r="E56" s="6"/>
      <c r="F56" s="6"/>
      <c r="G56" s="6"/>
      <c r="H56" s="7"/>
      <c r="I56" s="7"/>
      <c r="J56" s="7"/>
      <c r="K56" s="7"/>
      <c r="L56" s="7"/>
      <c r="M56" s="7"/>
      <c r="N56" s="7"/>
      <c r="O56" s="7"/>
    </row>
    <row r="57" spans="2:15" ht="15">
      <c r="B57" s="9" t="s">
        <v>16</v>
      </c>
      <c r="C57" s="10"/>
      <c r="D57" s="11" t="s">
        <v>0</v>
      </c>
      <c r="E57" s="11" t="s">
        <v>1</v>
      </c>
      <c r="F57" s="11" t="s">
        <v>2</v>
      </c>
      <c r="G57" s="11" t="s">
        <v>3</v>
      </c>
      <c r="H57" s="11" t="s">
        <v>4</v>
      </c>
      <c r="I57" s="11" t="s">
        <v>5</v>
      </c>
      <c r="J57" s="11" t="s">
        <v>6</v>
      </c>
      <c r="K57" s="11" t="s">
        <v>7</v>
      </c>
      <c r="L57" s="11" t="s">
        <v>8</v>
      </c>
      <c r="M57" s="11" t="s">
        <v>9</v>
      </c>
      <c r="N57" s="11" t="s">
        <v>10</v>
      </c>
      <c r="O57" s="12" t="s">
        <v>11</v>
      </c>
    </row>
    <row r="58" spans="2:15" ht="14.25">
      <c r="B58" s="14" t="str">
        <f>+B56 &amp;" Node Inflow"</f>
        <v>Node 1.04 Node Inflow</v>
      </c>
      <c r="C58" s="13"/>
      <c r="D58" s="15">
        <f>+D54</f>
        <v>2385.0605176118456</v>
      </c>
      <c r="E58" s="15">
        <f t="shared" ref="E58:O58" si="15">+E54</f>
        <v>2733.4425891352939</v>
      </c>
      <c r="F58" s="15">
        <f t="shared" si="15"/>
        <v>7596.7841295666813</v>
      </c>
      <c r="G58" s="15">
        <f t="shared" si="15"/>
        <v>10183.269175647018</v>
      </c>
      <c r="H58" s="15">
        <f t="shared" si="15"/>
        <v>28143.19417168614</v>
      </c>
      <c r="I58" s="15">
        <f t="shared" si="15"/>
        <v>16889.525638654282</v>
      </c>
      <c r="J58" s="15">
        <f t="shared" si="15"/>
        <v>4412.6735628597098</v>
      </c>
      <c r="K58" s="15">
        <f t="shared" si="15"/>
        <v>2687.5615301087819</v>
      </c>
      <c r="L58" s="15">
        <f t="shared" si="15"/>
        <v>2162.1604857738635</v>
      </c>
      <c r="M58" s="15">
        <f t="shared" si="15"/>
        <v>3160.4628099173551</v>
      </c>
      <c r="N58" s="15">
        <f t="shared" si="15"/>
        <v>2829.4214876033056</v>
      </c>
      <c r="O58" s="16">
        <f t="shared" si="15"/>
        <v>2511</v>
      </c>
    </row>
    <row r="59" spans="2:15" ht="14.25">
      <c r="B59" s="14" t="str">
        <f>+B56 &amp;" Irrigation Returns"</f>
        <v>Node 1.04 Irrigation Returns</v>
      </c>
      <c r="C59" s="13"/>
      <c r="D59" s="54">
        <f>VLOOKUP(($B56),'Irrigation Returns'!$B$644:$P$930,4,FALSE)</f>
        <v>0</v>
      </c>
      <c r="E59" s="54">
        <f>VLOOKUP(($B56),'Irrigation Returns'!$B$644:$P$930,5,FALSE)</f>
        <v>0</v>
      </c>
      <c r="F59" s="54">
        <f>VLOOKUP(($B56),'Irrigation Returns'!$B$644:$P$930,6,FALSE)</f>
        <v>0</v>
      </c>
      <c r="G59" s="54">
        <f>VLOOKUP(($B56),'Irrigation Returns'!$B$644:$P$930,7,FALSE)</f>
        <v>0</v>
      </c>
      <c r="H59" s="54">
        <f>VLOOKUP(($B56),'Irrigation Returns'!$B$644:$P$930,8,FALSE)</f>
        <v>0</v>
      </c>
      <c r="I59" s="54">
        <f>VLOOKUP(($B56),'Irrigation Returns'!$B$644:$P$930,9,FALSE)</f>
        <v>0</v>
      </c>
      <c r="J59" s="54">
        <f>VLOOKUP(($B56),'Irrigation Returns'!$B$644:$P$930,10,FALSE)</f>
        <v>0</v>
      </c>
      <c r="K59" s="54">
        <f>VLOOKUP(($B56),'Irrigation Returns'!$B$644:$P$930,11,FALSE)</f>
        <v>0</v>
      </c>
      <c r="L59" s="54">
        <f>VLOOKUP(($B56),'Irrigation Returns'!$B$644:$P$930,12,FALSE)</f>
        <v>0</v>
      </c>
      <c r="M59" s="54">
        <f>VLOOKUP(($B56),'Irrigation Returns'!$B$644:$P$930,13,FALSE)</f>
        <v>0</v>
      </c>
      <c r="N59" s="54">
        <f>VLOOKUP(($B56),'Irrigation Returns'!$B$644:$P$930,14,FALSE)</f>
        <v>0</v>
      </c>
      <c r="O59" s="110">
        <f>VLOOKUP(($B56),'Irrigation Returns'!$B$644:$P$930,15,FALSE)</f>
        <v>0</v>
      </c>
    </row>
    <row r="60" spans="2:15" ht="14.25">
      <c r="B60" s="14" t="s">
        <v>328</v>
      </c>
      <c r="C60" s="13" t="s">
        <v>180</v>
      </c>
      <c r="D60" s="54">
        <f>VLOOKUP($B60,GainLoss!$B$5:$O$14,3,FALSE)</f>
        <v>0</v>
      </c>
      <c r="E60" s="54">
        <f>VLOOKUP($B60,GainLoss!$B$5:$O$14,4,FALSE)</f>
        <v>0</v>
      </c>
      <c r="F60" s="54">
        <f>VLOOKUP($B60,GainLoss!$B$5:$O$14,5,FALSE)</f>
        <v>0</v>
      </c>
      <c r="G60" s="54">
        <f>VLOOKUP($B60,GainLoss!$B$5:$O$14,6,FALSE)</f>
        <v>0</v>
      </c>
      <c r="H60" s="54">
        <f>VLOOKUP($B60,GainLoss!$B$5:$O$14,7,FALSE)</f>
        <v>0</v>
      </c>
      <c r="I60" s="54">
        <f>VLOOKUP($B60,GainLoss!$B$5:$O$14,8,FALSE)</f>
        <v>0</v>
      </c>
      <c r="J60" s="54">
        <f>VLOOKUP($B60,GainLoss!$B$5:$O$14,9,FALSE)</f>
        <v>0</v>
      </c>
      <c r="K60" s="54">
        <f>VLOOKUP($B60,GainLoss!$B$5:$O$14,10,FALSE)</f>
        <v>0</v>
      </c>
      <c r="L60" s="54">
        <f>VLOOKUP($B60,GainLoss!$B$5:$O$14,11,FALSE)</f>
        <v>0</v>
      </c>
      <c r="M60" s="54">
        <f>VLOOKUP($B60,GainLoss!$B$5:$O$14,12,FALSE)</f>
        <v>0</v>
      </c>
      <c r="N60" s="54">
        <f>VLOOKUP($B60,GainLoss!$B$5:$O$14,13,FALSE)</f>
        <v>0</v>
      </c>
      <c r="O60" s="110">
        <f>VLOOKUP($B60,GainLoss!$B$5:$O$14,14,FALSE)</f>
        <v>0</v>
      </c>
    </row>
    <row r="61" spans="2:15" ht="14.25">
      <c r="B61" s="14" t="str">
        <f>+B56 &amp;" Import/Export"</f>
        <v>Node 1.04 Import/Export</v>
      </c>
      <c r="C61" s="13"/>
      <c r="D61" s="190">
        <f>VLOOKUP($B56,ImportExport!$B$6:$O$68,3,FALSE)</f>
        <v>0</v>
      </c>
      <c r="E61" s="190">
        <f>VLOOKUP($B56,ImportExport!$B$6:$O$68,4,FALSE)</f>
        <v>0</v>
      </c>
      <c r="F61" s="190">
        <f>VLOOKUP($B56,ImportExport!$B$6:$O$68,5,FALSE)</f>
        <v>0</v>
      </c>
      <c r="G61" s="190">
        <f>VLOOKUP($B56,ImportExport!$B$6:$O$68,6,FALSE)</f>
        <v>0</v>
      </c>
      <c r="H61" s="190">
        <f>VLOOKUP($B56,ImportExport!$B$6:$O$68,7,FALSE)</f>
        <v>0</v>
      </c>
      <c r="I61" s="190">
        <f>VLOOKUP($B56,ImportExport!$B$6:$O$68,8,FALSE)</f>
        <v>0</v>
      </c>
      <c r="J61" s="190">
        <f>VLOOKUP($B56,ImportExport!$B$6:$O$68,9,FALSE)</f>
        <v>0</v>
      </c>
      <c r="K61" s="190">
        <f>VLOOKUP($B56,ImportExport!$B$6:$O$68,10,FALSE)</f>
        <v>0</v>
      </c>
      <c r="L61" s="190">
        <f>VLOOKUP($B56,ImportExport!$B$6:$O$68,11,FALSE)</f>
        <v>0</v>
      </c>
      <c r="M61" s="190">
        <f>VLOOKUP($B56,ImportExport!$B$6:$O$68,12,FALSE)</f>
        <v>0</v>
      </c>
      <c r="N61" s="190">
        <f>VLOOKUP($B56,ImportExport!$B$6:$O$68,13,FALSE)</f>
        <v>0</v>
      </c>
      <c r="O61" s="197">
        <f>VLOOKUP($B56,ImportExport!$B$6:$O$68,14,FALSE)</f>
        <v>0</v>
      </c>
    </row>
    <row r="62" spans="2:15" ht="15.75" thickBot="1">
      <c r="B62" s="18" t="str">
        <f>"Total "&amp; (B56)&amp;" Inflow"</f>
        <v>Total Node 1.04 Inflow</v>
      </c>
      <c r="C62" s="17"/>
      <c r="D62" s="25">
        <f t="shared" ref="D62:O62" si="16">SUM(D58:D61)</f>
        <v>2385.0605176118456</v>
      </c>
      <c r="E62" s="25">
        <f t="shared" si="16"/>
        <v>2733.4425891352939</v>
      </c>
      <c r="F62" s="25">
        <f t="shared" si="16"/>
        <v>7596.7841295666813</v>
      </c>
      <c r="G62" s="25">
        <f t="shared" si="16"/>
        <v>10183.269175647018</v>
      </c>
      <c r="H62" s="25">
        <f t="shared" si="16"/>
        <v>28143.19417168614</v>
      </c>
      <c r="I62" s="25">
        <f t="shared" si="16"/>
        <v>16889.525638654282</v>
      </c>
      <c r="J62" s="25">
        <f t="shared" si="16"/>
        <v>4412.6735628597098</v>
      </c>
      <c r="K62" s="25">
        <f t="shared" si="16"/>
        <v>2687.5615301087819</v>
      </c>
      <c r="L62" s="25">
        <f t="shared" si="16"/>
        <v>2162.1604857738635</v>
      </c>
      <c r="M62" s="25">
        <f t="shared" si="16"/>
        <v>3160.4628099173551</v>
      </c>
      <c r="N62" s="25">
        <f t="shared" si="16"/>
        <v>2829.4214876033056</v>
      </c>
      <c r="O62" s="26">
        <f t="shared" si="16"/>
        <v>2511</v>
      </c>
    </row>
    <row r="63" spans="2:15" ht="15">
      <c r="B63" s="19" t="s">
        <v>17</v>
      </c>
      <c r="C63" s="20"/>
      <c r="D63" s="282" t="str">
        <f>IF(((VLOOKUP($B56,'Diversion Data'!$B$3:$O$227,3,FALSE))-D65)&gt;0,"Short","")</f>
        <v/>
      </c>
      <c r="E63" s="282" t="str">
        <f>IF(((VLOOKUP($B56,'Diversion Data'!$B$3:$O$227,4,FALSE))-E65)&gt;0,"Short","")</f>
        <v/>
      </c>
      <c r="F63" s="282" t="str">
        <f>IF(((VLOOKUP($B56,'Diversion Data'!$B$3:$O$227,5,FALSE))-F65)&gt;0,"Short","")</f>
        <v/>
      </c>
      <c r="G63" s="282" t="str">
        <f>IF(((VLOOKUP($B56,'Diversion Data'!$B$3:$O$227,6,FALSE))-G65)&gt;0,"Short","")</f>
        <v/>
      </c>
      <c r="H63" s="282" t="str">
        <f>IF(((VLOOKUP($B56,'Diversion Data'!$B$3:$O$227,7,FALSE))-H65)&gt;0,"Short","")</f>
        <v/>
      </c>
      <c r="I63" s="282" t="str">
        <f>IF(((VLOOKUP($B56,'Diversion Data'!$B$3:$O$227,8,FALSE))-I65)&gt;0,"Short","")</f>
        <v/>
      </c>
      <c r="J63" s="282" t="str">
        <f>IF(((VLOOKUP($B56,'Diversion Data'!$B$3:$O$227,9,FALSE))-J65)&gt;0,"Short","")</f>
        <v/>
      </c>
      <c r="K63" s="282" t="str">
        <f>IF(((VLOOKUP($B56,'Diversion Data'!$B$3:$O$227,10,FALSE))-K65)&gt;0,"Short","")</f>
        <v/>
      </c>
      <c r="L63" s="282" t="str">
        <f>IF(((VLOOKUP($B56,'Diversion Data'!$B$3:$O$227,11,FALSE))-L65)&gt;0,"Short","")</f>
        <v/>
      </c>
      <c r="M63" s="282" t="str">
        <f>IF(((VLOOKUP($B56,'Diversion Data'!$B$3:$O$227,12,FALSE))-M65)&gt;0,"Short","")</f>
        <v/>
      </c>
      <c r="N63" s="282" t="str">
        <f>IF(((VLOOKUP($B56,'Diversion Data'!$B$3:$O$227,13,FALSE))-N65)&gt;0,"Short","")</f>
        <v/>
      </c>
      <c r="O63" s="283" t="str">
        <f>IF(((VLOOKUP($B56,'Diversion Data'!$B$3:$O$227,14,FALSE))-O65)&gt;0,"Short","")</f>
        <v/>
      </c>
    </row>
    <row r="64" spans="2:15" ht="14.25">
      <c r="B64" s="14" t="s">
        <v>81</v>
      </c>
      <c r="C64" s="13" t="s">
        <v>181</v>
      </c>
      <c r="D64" s="171">
        <f>VLOOKUP($B64,GainLoss!$B$19:$O$27,3,FALSE)</f>
        <v>0</v>
      </c>
      <c r="E64" s="171">
        <f>VLOOKUP($B64,GainLoss!$B$19:$O$27,4,FALSE)</f>
        <v>0</v>
      </c>
      <c r="F64" s="171">
        <f>VLOOKUP($B64,GainLoss!$B$19:$O$27,5,FALSE)</f>
        <v>0</v>
      </c>
      <c r="G64" s="171">
        <f>VLOOKUP($B64,GainLoss!$B$19:$O$27,6,FALSE)</f>
        <v>0</v>
      </c>
      <c r="H64" s="171">
        <f>VLOOKUP($B64,GainLoss!$B$19:$O$27,7,FALSE)</f>
        <v>0</v>
      </c>
      <c r="I64" s="171">
        <f>VLOOKUP($B64,GainLoss!$B$19:$O$27,8,FALSE)</f>
        <v>0</v>
      </c>
      <c r="J64" s="171">
        <f>VLOOKUP($B64,GainLoss!$B$19:$O$27,9,FALSE)</f>
        <v>0</v>
      </c>
      <c r="K64" s="171">
        <f>VLOOKUP($B64,GainLoss!$B$19:$O$27,10,FALSE)</f>
        <v>0</v>
      </c>
      <c r="L64" s="171">
        <f>VLOOKUP($B64,GainLoss!$B$19:$O$27,11,FALSE)</f>
        <v>0</v>
      </c>
      <c r="M64" s="171">
        <f>VLOOKUP($B64,GainLoss!$B$19:$O$27,12,FALSE)</f>
        <v>0</v>
      </c>
      <c r="N64" s="171">
        <f>VLOOKUP($B64,GainLoss!$B$19:$O$27,13,FALSE)</f>
        <v>0</v>
      </c>
      <c r="O64" s="198">
        <f>VLOOKUP($B64,GainLoss!$B$19:$O$27,14,FALSE)</f>
        <v>0</v>
      </c>
    </row>
    <row r="65" spans="2:15" ht="14.25">
      <c r="B65" s="14" t="str">
        <f>+B56 &amp;" Diversions"</f>
        <v>Node 1.04 Diversions</v>
      </c>
      <c r="C65" s="13"/>
      <c r="D65" s="54">
        <f>MIN(VLOOKUP($B56,'Diversion Data'!$B$3:$O$227,3,FALSE),(D62-D64))</f>
        <v>0</v>
      </c>
      <c r="E65" s="54">
        <f>MIN(VLOOKUP($B56,'Diversion Data'!$B$3:$O$227,4,FALSE),(E62-E64))</f>
        <v>0</v>
      </c>
      <c r="F65" s="54">
        <f>MIN(VLOOKUP($B56,'Diversion Data'!$B$3:$O$227,5,FALSE),(F62-F64))</f>
        <v>0</v>
      </c>
      <c r="G65" s="54">
        <f>MIN(VLOOKUP($B56,'Diversion Data'!$B$3:$O$227,6,FALSE),(G62-G64))</f>
        <v>0</v>
      </c>
      <c r="H65" s="54">
        <f>MIN(VLOOKUP($B56,'Diversion Data'!$B$3:$O$227,7,FALSE),(H62-H64))</f>
        <v>688.77645359721078</v>
      </c>
      <c r="I65" s="54">
        <f>MIN(VLOOKUP($B56,'Diversion Data'!$B$3:$O$227,8,FALSE),(I62-I64))</f>
        <v>1474.1965535522727</v>
      </c>
      <c r="J65" s="54">
        <f>MIN(VLOOKUP($B56,'Diversion Data'!$B$3:$O$227,9,FALSE),(J62-J64))</f>
        <v>660.88451192014452</v>
      </c>
      <c r="K65" s="54">
        <f>MIN(VLOOKUP($B56,'Diversion Data'!$B$3:$O$227,10,FALSE),(K62-K64))</f>
        <v>167.19384398522726</v>
      </c>
      <c r="L65" s="54">
        <f>MIN(VLOOKUP($B56,'Diversion Data'!$B$3:$O$227,11,FALSE),(L62-L64))</f>
        <v>142.57387187086778</v>
      </c>
      <c r="M65" s="54">
        <f>MIN(VLOOKUP($B56,'Diversion Data'!$B$3:$O$227,12,FALSE),(M62-M64))</f>
        <v>0</v>
      </c>
      <c r="N65" s="54">
        <f>MIN(VLOOKUP($B56,'Diversion Data'!$B$3:$O$227,13,FALSE),(N62-N64))</f>
        <v>0</v>
      </c>
      <c r="O65" s="110">
        <f>MIN(VLOOKUP($B56,'Diversion Data'!$B$3:$O$227,14,FALSE),(O62-O64))</f>
        <v>0</v>
      </c>
    </row>
    <row r="66" spans="2:15" ht="15.75" thickBot="1">
      <c r="B66" s="24" t="str">
        <f>"Total " &amp; (B56) &amp;" Outflow"</f>
        <v>Total Node 1.04 Outflow</v>
      </c>
      <c r="C66" s="23"/>
      <c r="D66" s="27">
        <f t="shared" ref="D66:O66" si="17">SUM(D64:D65)</f>
        <v>0</v>
      </c>
      <c r="E66" s="27">
        <f t="shared" si="17"/>
        <v>0</v>
      </c>
      <c r="F66" s="27">
        <f t="shared" si="17"/>
        <v>0</v>
      </c>
      <c r="G66" s="27">
        <f t="shared" si="17"/>
        <v>0</v>
      </c>
      <c r="H66" s="27">
        <f t="shared" si="17"/>
        <v>688.77645359721078</v>
      </c>
      <c r="I66" s="27">
        <f t="shared" si="17"/>
        <v>1474.1965535522727</v>
      </c>
      <c r="J66" s="27">
        <f t="shared" si="17"/>
        <v>660.88451192014452</v>
      </c>
      <c r="K66" s="27">
        <f t="shared" si="17"/>
        <v>167.19384398522726</v>
      </c>
      <c r="L66" s="27">
        <f t="shared" si="17"/>
        <v>142.57387187086778</v>
      </c>
      <c r="M66" s="27">
        <f t="shared" si="17"/>
        <v>0</v>
      </c>
      <c r="N66" s="27">
        <f t="shared" si="17"/>
        <v>0</v>
      </c>
      <c r="O66" s="28">
        <f t="shared" si="17"/>
        <v>0</v>
      </c>
    </row>
    <row r="67" spans="2:15" ht="15.75" thickBot="1">
      <c r="B67" s="24" t="str">
        <f>(B56)&amp;" NET Flow (In - Out)"</f>
        <v>Node 1.04 NET Flow (In - Out)</v>
      </c>
      <c r="C67" s="23"/>
      <c r="D67" s="193">
        <f t="shared" ref="D67:O67" si="18">MAX(D62-D66,0)</f>
        <v>2385.0605176118456</v>
      </c>
      <c r="E67" s="193">
        <f t="shared" si="18"/>
        <v>2733.4425891352939</v>
      </c>
      <c r="F67" s="193">
        <f t="shared" si="18"/>
        <v>7596.7841295666813</v>
      </c>
      <c r="G67" s="193">
        <f t="shared" si="18"/>
        <v>10183.269175647018</v>
      </c>
      <c r="H67" s="193">
        <f t="shared" si="18"/>
        <v>27454.417718088931</v>
      </c>
      <c r="I67" s="193">
        <f t="shared" si="18"/>
        <v>15415.32908510201</v>
      </c>
      <c r="J67" s="193">
        <f t="shared" si="18"/>
        <v>3751.7890509395652</v>
      </c>
      <c r="K67" s="193">
        <f t="shared" si="18"/>
        <v>2520.3676861235544</v>
      </c>
      <c r="L67" s="193">
        <f t="shared" si="18"/>
        <v>2019.5866139029956</v>
      </c>
      <c r="M67" s="193">
        <f t="shared" si="18"/>
        <v>3160.4628099173551</v>
      </c>
      <c r="N67" s="193">
        <f t="shared" si="18"/>
        <v>2829.4214876033056</v>
      </c>
      <c r="O67" s="200">
        <f t="shared" si="18"/>
        <v>2511</v>
      </c>
    </row>
    <row r="69" spans="2:15" ht="15.75" thickBot="1">
      <c r="B69" s="108" t="s">
        <v>62</v>
      </c>
      <c r="C69" s="109" t="str">
        <f>VLOOKUP(B69,NodeList!$D$4:$E$121,2,FALSE)</f>
        <v>McGraw &amp; Big Bend</v>
      </c>
      <c r="D69" s="6"/>
      <c r="E69" s="6"/>
      <c r="F69" s="6"/>
      <c r="G69" s="6"/>
      <c r="H69" s="7"/>
      <c r="I69" s="7"/>
      <c r="J69" s="7"/>
      <c r="K69" s="7"/>
      <c r="L69" s="7"/>
      <c r="M69" s="7"/>
      <c r="N69" s="7"/>
      <c r="O69" s="7"/>
    </row>
    <row r="70" spans="2:15" ht="15">
      <c r="B70" s="9" t="s">
        <v>16</v>
      </c>
      <c r="C70" s="10"/>
      <c r="D70" s="11" t="s">
        <v>0</v>
      </c>
      <c r="E70" s="11" t="s">
        <v>1</v>
      </c>
      <c r="F70" s="11" t="s">
        <v>2</v>
      </c>
      <c r="G70" s="11" t="s">
        <v>3</v>
      </c>
      <c r="H70" s="11" t="s">
        <v>4</v>
      </c>
      <c r="I70" s="11" t="s">
        <v>5</v>
      </c>
      <c r="J70" s="11" t="s">
        <v>6</v>
      </c>
      <c r="K70" s="11" t="s">
        <v>7</v>
      </c>
      <c r="L70" s="11" t="s">
        <v>8</v>
      </c>
      <c r="M70" s="11" t="s">
        <v>9</v>
      </c>
      <c r="N70" s="11" t="s">
        <v>10</v>
      </c>
      <c r="O70" s="12" t="s">
        <v>11</v>
      </c>
    </row>
    <row r="71" spans="2:15" ht="14.25">
      <c r="B71" s="14" t="str">
        <f>+B69 &amp;" Node Inflow"</f>
        <v>Node 1.05 Node Inflow</v>
      </c>
      <c r="C71" s="13"/>
      <c r="D71" s="15">
        <f>+D67</f>
        <v>2385.0605176118456</v>
      </c>
      <c r="E71" s="15">
        <f t="shared" ref="E71:O71" si="19">+E67</f>
        <v>2733.4425891352939</v>
      </c>
      <c r="F71" s="15">
        <f t="shared" si="19"/>
        <v>7596.7841295666813</v>
      </c>
      <c r="G71" s="15">
        <f t="shared" si="19"/>
        <v>10183.269175647018</v>
      </c>
      <c r="H71" s="15">
        <f t="shared" si="19"/>
        <v>27454.417718088931</v>
      </c>
      <c r="I71" s="15">
        <f t="shared" si="19"/>
        <v>15415.32908510201</v>
      </c>
      <c r="J71" s="15">
        <f t="shared" si="19"/>
        <v>3751.7890509395652</v>
      </c>
      <c r="K71" s="15">
        <f t="shared" si="19"/>
        <v>2520.3676861235544</v>
      </c>
      <c r="L71" s="15">
        <f t="shared" si="19"/>
        <v>2019.5866139029956</v>
      </c>
      <c r="M71" s="15">
        <f t="shared" si="19"/>
        <v>3160.4628099173551</v>
      </c>
      <c r="N71" s="15">
        <f t="shared" si="19"/>
        <v>2829.4214876033056</v>
      </c>
      <c r="O71" s="16">
        <f t="shared" si="19"/>
        <v>2511</v>
      </c>
    </row>
    <row r="72" spans="2:15" ht="14.25">
      <c r="B72" s="14" t="str">
        <f>+B69 &amp;" Irrigation Returns"</f>
        <v>Node 1.05 Irrigation Returns</v>
      </c>
      <c r="C72" s="13"/>
      <c r="D72" s="54">
        <f>VLOOKUP(($B69),'Irrigation Returns'!$B$644:$P$930,4,FALSE)</f>
        <v>0</v>
      </c>
      <c r="E72" s="54">
        <f>VLOOKUP(($B69),'Irrigation Returns'!$B$644:$P$930,5,FALSE)</f>
        <v>0</v>
      </c>
      <c r="F72" s="54">
        <f>VLOOKUP(($B69),'Irrigation Returns'!$B$644:$P$930,6,FALSE)</f>
        <v>0</v>
      </c>
      <c r="G72" s="54">
        <f>VLOOKUP(($B69),'Irrigation Returns'!$B$644:$P$930,7,FALSE)</f>
        <v>0</v>
      </c>
      <c r="H72" s="54">
        <f>VLOOKUP(($B69),'Irrigation Returns'!$B$644:$P$930,8,FALSE)</f>
        <v>0</v>
      </c>
      <c r="I72" s="54">
        <f>VLOOKUP(($B69),'Irrigation Returns'!$B$644:$P$930,9,FALSE)</f>
        <v>0</v>
      </c>
      <c r="J72" s="54">
        <f>VLOOKUP(($B69),'Irrigation Returns'!$B$644:$P$930,10,FALSE)</f>
        <v>0</v>
      </c>
      <c r="K72" s="54">
        <f>VLOOKUP(($B69),'Irrigation Returns'!$B$644:$P$930,11,FALSE)</f>
        <v>0</v>
      </c>
      <c r="L72" s="54">
        <f>VLOOKUP(($B69),'Irrigation Returns'!$B$644:$P$930,12,FALSE)</f>
        <v>0</v>
      </c>
      <c r="M72" s="54">
        <f>VLOOKUP(($B69),'Irrigation Returns'!$B$644:$P$930,13,FALSE)</f>
        <v>0</v>
      </c>
      <c r="N72" s="54">
        <f>VLOOKUP(($B69),'Irrigation Returns'!$B$644:$P$930,14,FALSE)</f>
        <v>0</v>
      </c>
      <c r="O72" s="110">
        <f>VLOOKUP(($B69),'Irrigation Returns'!$B$644:$P$930,15,FALSE)</f>
        <v>0</v>
      </c>
    </row>
    <row r="73" spans="2:15" ht="14.25">
      <c r="B73" s="14" t="s">
        <v>328</v>
      </c>
      <c r="C73" s="13" t="s">
        <v>180</v>
      </c>
      <c r="D73" s="54">
        <f>VLOOKUP($B73,GainLoss!$B$5:$O$14,3,FALSE)</f>
        <v>0</v>
      </c>
      <c r="E73" s="54">
        <f>VLOOKUP($B73,GainLoss!$B$5:$O$14,4,FALSE)</f>
        <v>0</v>
      </c>
      <c r="F73" s="54">
        <f>VLOOKUP($B73,GainLoss!$B$5:$O$14,5,FALSE)</f>
        <v>0</v>
      </c>
      <c r="G73" s="54">
        <f>VLOOKUP($B73,GainLoss!$B$5:$O$14,6,FALSE)</f>
        <v>0</v>
      </c>
      <c r="H73" s="54">
        <f>VLOOKUP($B73,GainLoss!$B$5:$O$14,7,FALSE)</f>
        <v>0</v>
      </c>
      <c r="I73" s="54">
        <f>VLOOKUP($B73,GainLoss!$B$5:$O$14,8,FALSE)</f>
        <v>0</v>
      </c>
      <c r="J73" s="54">
        <f>VLOOKUP($B73,GainLoss!$B$5:$O$14,9,FALSE)</f>
        <v>0</v>
      </c>
      <c r="K73" s="54">
        <f>VLOOKUP($B73,GainLoss!$B$5:$O$14,10,FALSE)</f>
        <v>0</v>
      </c>
      <c r="L73" s="54">
        <f>VLOOKUP($B73,GainLoss!$B$5:$O$14,11,FALSE)</f>
        <v>0</v>
      </c>
      <c r="M73" s="54">
        <f>VLOOKUP($B73,GainLoss!$B$5:$O$14,12,FALSE)</f>
        <v>0</v>
      </c>
      <c r="N73" s="54">
        <f>VLOOKUP($B73,GainLoss!$B$5:$O$14,13,FALSE)</f>
        <v>0</v>
      </c>
      <c r="O73" s="110">
        <f>VLOOKUP($B73,GainLoss!$B$5:$O$14,14,FALSE)</f>
        <v>0</v>
      </c>
    </row>
    <row r="74" spans="2:15" ht="14.25">
      <c r="B74" s="14" t="str">
        <f>+B69 &amp;" Import/Export"</f>
        <v>Node 1.05 Import/Export</v>
      </c>
      <c r="C74" s="13"/>
      <c r="D74" s="190">
        <f>VLOOKUP($B69,ImportExport!$B$6:$O$68,3,FALSE)</f>
        <v>0</v>
      </c>
      <c r="E74" s="190">
        <f>VLOOKUP($B69,ImportExport!$B$6:$O$68,4,FALSE)</f>
        <v>0</v>
      </c>
      <c r="F74" s="190">
        <f>VLOOKUP($B69,ImportExport!$B$6:$O$68,5,FALSE)</f>
        <v>0</v>
      </c>
      <c r="G74" s="190">
        <f>VLOOKUP($B69,ImportExport!$B$6:$O$68,6,FALSE)</f>
        <v>0</v>
      </c>
      <c r="H74" s="190">
        <f>VLOOKUP($B69,ImportExport!$B$6:$O$68,7,FALSE)</f>
        <v>0</v>
      </c>
      <c r="I74" s="190">
        <f>VLOOKUP($B69,ImportExport!$B$6:$O$68,8,FALSE)</f>
        <v>0</v>
      </c>
      <c r="J74" s="190">
        <f>VLOOKUP($B69,ImportExport!$B$6:$O$68,9,FALSE)</f>
        <v>0</v>
      </c>
      <c r="K74" s="190">
        <f>VLOOKUP($B69,ImportExport!$B$6:$O$68,10,FALSE)</f>
        <v>0</v>
      </c>
      <c r="L74" s="190">
        <f>VLOOKUP($B69,ImportExport!$B$6:$O$68,11,FALSE)</f>
        <v>0</v>
      </c>
      <c r="M74" s="190">
        <f>VLOOKUP($B69,ImportExport!$B$6:$O$68,12,FALSE)</f>
        <v>0</v>
      </c>
      <c r="N74" s="190">
        <f>VLOOKUP($B69,ImportExport!$B$6:$O$68,13,FALSE)</f>
        <v>0</v>
      </c>
      <c r="O74" s="197">
        <f>VLOOKUP($B69,ImportExport!$B$6:$O$68,14,FALSE)</f>
        <v>0</v>
      </c>
    </row>
    <row r="75" spans="2:15" ht="15.75" thickBot="1">
      <c r="B75" s="18" t="str">
        <f>"Total "&amp; (B69)&amp;" Inflow"</f>
        <v>Total Node 1.05 Inflow</v>
      </c>
      <c r="C75" s="17"/>
      <c r="D75" s="25">
        <f t="shared" ref="D75:O75" si="20">SUM(D71:D74)</f>
        <v>2385.0605176118456</v>
      </c>
      <c r="E75" s="25">
        <f t="shared" si="20"/>
        <v>2733.4425891352939</v>
      </c>
      <c r="F75" s="25">
        <f t="shared" si="20"/>
        <v>7596.7841295666813</v>
      </c>
      <c r="G75" s="25">
        <f t="shared" si="20"/>
        <v>10183.269175647018</v>
      </c>
      <c r="H75" s="25">
        <f t="shared" si="20"/>
        <v>27454.417718088931</v>
      </c>
      <c r="I75" s="25">
        <f t="shared" si="20"/>
        <v>15415.32908510201</v>
      </c>
      <c r="J75" s="25">
        <f t="shared" si="20"/>
        <v>3751.7890509395652</v>
      </c>
      <c r="K75" s="25">
        <f t="shared" si="20"/>
        <v>2520.3676861235544</v>
      </c>
      <c r="L75" s="25">
        <f t="shared" si="20"/>
        <v>2019.5866139029956</v>
      </c>
      <c r="M75" s="25">
        <f t="shared" si="20"/>
        <v>3160.4628099173551</v>
      </c>
      <c r="N75" s="25">
        <f t="shared" si="20"/>
        <v>2829.4214876033056</v>
      </c>
      <c r="O75" s="26">
        <f t="shared" si="20"/>
        <v>2511</v>
      </c>
    </row>
    <row r="76" spans="2:15" ht="15">
      <c r="B76" s="19" t="s">
        <v>17</v>
      </c>
      <c r="C76" s="20"/>
      <c r="D76" s="282" t="str">
        <f>IF(((VLOOKUP($B69,'Diversion Data'!$B$3:$O$227,3,FALSE))-D78)&gt;0,"Short","")</f>
        <v/>
      </c>
      <c r="E76" s="282" t="str">
        <f>IF(((VLOOKUP($B69,'Diversion Data'!$B$3:$O$227,4,FALSE))-E78)&gt;0,"Short","")</f>
        <v/>
      </c>
      <c r="F76" s="282" t="str">
        <f>IF(((VLOOKUP($B69,'Diversion Data'!$B$3:$O$227,5,FALSE))-F78)&gt;0,"Short","")</f>
        <v/>
      </c>
      <c r="G76" s="282" t="str">
        <f>IF(((VLOOKUP($B69,'Diversion Data'!$B$3:$O$227,6,FALSE))-G78)&gt;0,"Short","")</f>
        <v/>
      </c>
      <c r="H76" s="282" t="str">
        <f>IF(((VLOOKUP($B69,'Diversion Data'!$B$3:$O$227,7,FALSE))-H78)&gt;0,"Short","")</f>
        <v/>
      </c>
      <c r="I76" s="282" t="str">
        <f>IF(((VLOOKUP($B69,'Diversion Data'!$B$3:$O$227,8,FALSE))-I78)&gt;0,"Short","")</f>
        <v/>
      </c>
      <c r="J76" s="282" t="str">
        <f>IF(((VLOOKUP($B69,'Diversion Data'!$B$3:$O$227,9,FALSE))-J78)&gt;0,"Short","")</f>
        <v/>
      </c>
      <c r="K76" s="282" t="str">
        <f>IF(((VLOOKUP($B69,'Diversion Data'!$B$3:$O$227,10,FALSE))-K78)&gt;0,"Short","")</f>
        <v/>
      </c>
      <c r="L76" s="282" t="str">
        <f>IF(((VLOOKUP($B69,'Diversion Data'!$B$3:$O$227,11,FALSE))-L78)&gt;0,"Short","")</f>
        <v/>
      </c>
      <c r="M76" s="282" t="str">
        <f>IF(((VLOOKUP($B69,'Diversion Data'!$B$3:$O$227,12,FALSE))-M78)&gt;0,"Short","")</f>
        <v/>
      </c>
      <c r="N76" s="282" t="str">
        <f>IF(((VLOOKUP($B69,'Diversion Data'!$B$3:$O$227,13,FALSE))-N78)&gt;0,"Short","")</f>
        <v/>
      </c>
      <c r="O76" s="283" t="str">
        <f>IF(((VLOOKUP($B69,'Diversion Data'!$B$3:$O$227,14,FALSE))-O78)&gt;0,"Short","")</f>
        <v/>
      </c>
    </row>
    <row r="77" spans="2:15" ht="14.25">
      <c r="B77" s="14" t="s">
        <v>81</v>
      </c>
      <c r="C77" s="13" t="s">
        <v>181</v>
      </c>
      <c r="D77" s="171">
        <f>VLOOKUP($B77,GainLoss!$B$19:$O$27,3,FALSE)</f>
        <v>0</v>
      </c>
      <c r="E77" s="171">
        <f>VLOOKUP($B77,GainLoss!$B$19:$O$27,4,FALSE)</f>
        <v>0</v>
      </c>
      <c r="F77" s="171">
        <f>VLOOKUP($B77,GainLoss!$B$19:$O$27,5,FALSE)</f>
        <v>0</v>
      </c>
      <c r="G77" s="171">
        <f>VLOOKUP($B77,GainLoss!$B$19:$O$27,6,FALSE)</f>
        <v>0</v>
      </c>
      <c r="H77" s="171">
        <f>VLOOKUP($B77,GainLoss!$B$19:$O$27,7,FALSE)</f>
        <v>0</v>
      </c>
      <c r="I77" s="171">
        <f>VLOOKUP($B77,GainLoss!$B$19:$O$27,8,FALSE)</f>
        <v>0</v>
      </c>
      <c r="J77" s="171">
        <f>VLOOKUP($B77,GainLoss!$B$19:$O$27,9,FALSE)</f>
        <v>0</v>
      </c>
      <c r="K77" s="171">
        <f>VLOOKUP($B77,GainLoss!$B$19:$O$27,10,FALSE)</f>
        <v>0</v>
      </c>
      <c r="L77" s="171">
        <f>VLOOKUP($B77,GainLoss!$B$19:$O$27,11,FALSE)</f>
        <v>0</v>
      </c>
      <c r="M77" s="171">
        <f>VLOOKUP($B77,GainLoss!$B$19:$O$27,12,FALSE)</f>
        <v>0</v>
      </c>
      <c r="N77" s="171">
        <f>VLOOKUP($B77,GainLoss!$B$19:$O$27,13,FALSE)</f>
        <v>0</v>
      </c>
      <c r="O77" s="198">
        <f>VLOOKUP($B77,GainLoss!$B$19:$O$27,14,FALSE)</f>
        <v>0</v>
      </c>
    </row>
    <row r="78" spans="2:15" ht="14.25">
      <c r="B78" s="14" t="str">
        <f>+B69 &amp;" Diversions"</f>
        <v>Node 1.05 Diversions</v>
      </c>
      <c r="C78" s="13"/>
      <c r="D78" s="54">
        <f>MIN(VLOOKUP($B69,'Diversion Data'!$B$3:$O$227,3,FALSE),(D75-D77))</f>
        <v>0</v>
      </c>
      <c r="E78" s="54">
        <f>MIN(VLOOKUP($B69,'Diversion Data'!$B$3:$O$227,4,FALSE),(E75-E77))</f>
        <v>0</v>
      </c>
      <c r="F78" s="54">
        <f>MIN(VLOOKUP($B69,'Diversion Data'!$B$3:$O$227,5,FALSE),(F75-F77))</f>
        <v>0</v>
      </c>
      <c r="G78" s="54">
        <f>MIN(VLOOKUP($B69,'Diversion Data'!$B$3:$O$227,6,FALSE),(G75-G77))</f>
        <v>0</v>
      </c>
      <c r="H78" s="54">
        <f>MIN(VLOOKUP($B69,'Diversion Data'!$B$3:$O$227,7,FALSE),(H75-H77))</f>
        <v>1066.3551253000001</v>
      </c>
      <c r="I78" s="54">
        <f>MIN(VLOOKUP($B69,'Diversion Data'!$B$3:$O$227,8,FALSE),(I75-I77))</f>
        <v>930.54365335960745</v>
      </c>
      <c r="J78" s="54">
        <f>MIN(VLOOKUP($B69,'Diversion Data'!$B$3:$O$227,9,FALSE),(J75-J77))</f>
        <v>321.34674799690083</v>
      </c>
      <c r="K78" s="54">
        <f>MIN(VLOOKUP($B69,'Diversion Data'!$B$3:$O$227,10,FALSE),(K75-K77))</f>
        <v>132.03061810692148</v>
      </c>
      <c r="L78" s="54">
        <f>MIN(VLOOKUP($B69,'Diversion Data'!$B$3:$O$227,11,FALSE),(L75-L77))</f>
        <v>69.622272131404969</v>
      </c>
      <c r="M78" s="54">
        <f>MIN(VLOOKUP($B69,'Diversion Data'!$B$3:$O$227,12,FALSE),(M75-M77))</f>
        <v>0</v>
      </c>
      <c r="N78" s="54">
        <f>MIN(VLOOKUP($B69,'Diversion Data'!$B$3:$O$227,13,FALSE),(N75-N77))</f>
        <v>0</v>
      </c>
      <c r="O78" s="110">
        <f>MIN(VLOOKUP($B69,'Diversion Data'!$B$3:$O$227,14,FALSE),(O75-O77))</f>
        <v>0</v>
      </c>
    </row>
    <row r="79" spans="2:15" ht="15.75" thickBot="1">
      <c r="B79" s="24" t="str">
        <f>"Total " &amp; (B69) &amp;" Outflow"</f>
        <v>Total Node 1.05 Outflow</v>
      </c>
      <c r="C79" s="23"/>
      <c r="D79" s="27">
        <f t="shared" ref="D79:O79" si="21">SUM(D77:D78)</f>
        <v>0</v>
      </c>
      <c r="E79" s="27">
        <f t="shared" si="21"/>
        <v>0</v>
      </c>
      <c r="F79" s="27">
        <f t="shared" si="21"/>
        <v>0</v>
      </c>
      <c r="G79" s="27">
        <f t="shared" si="21"/>
        <v>0</v>
      </c>
      <c r="H79" s="27">
        <f t="shared" si="21"/>
        <v>1066.3551253000001</v>
      </c>
      <c r="I79" s="27">
        <f t="shared" si="21"/>
        <v>930.54365335960745</v>
      </c>
      <c r="J79" s="27">
        <f t="shared" si="21"/>
        <v>321.34674799690083</v>
      </c>
      <c r="K79" s="27">
        <f t="shared" si="21"/>
        <v>132.03061810692148</v>
      </c>
      <c r="L79" s="27">
        <f t="shared" si="21"/>
        <v>69.622272131404969</v>
      </c>
      <c r="M79" s="27">
        <f t="shared" si="21"/>
        <v>0</v>
      </c>
      <c r="N79" s="27">
        <f t="shared" si="21"/>
        <v>0</v>
      </c>
      <c r="O79" s="28">
        <f t="shared" si="21"/>
        <v>0</v>
      </c>
    </row>
    <row r="80" spans="2:15" ht="15.75" thickBot="1">
      <c r="B80" s="24" t="str">
        <f>(B69)&amp;" NET Flow (In - Out)"</f>
        <v>Node 1.05 NET Flow (In - Out)</v>
      </c>
      <c r="C80" s="23"/>
      <c r="D80" s="193">
        <f t="shared" ref="D80:O80" si="22">MAX(D75-D79,0)</f>
        <v>2385.0605176118456</v>
      </c>
      <c r="E80" s="193">
        <f t="shared" si="22"/>
        <v>2733.4425891352939</v>
      </c>
      <c r="F80" s="193">
        <f t="shared" si="22"/>
        <v>7596.7841295666813</v>
      </c>
      <c r="G80" s="193">
        <f t="shared" si="22"/>
        <v>10183.269175647018</v>
      </c>
      <c r="H80" s="193">
        <f t="shared" si="22"/>
        <v>26388.06259278893</v>
      </c>
      <c r="I80" s="193">
        <f t="shared" si="22"/>
        <v>14484.785431742403</v>
      </c>
      <c r="J80" s="193">
        <f t="shared" si="22"/>
        <v>3430.4423029426644</v>
      </c>
      <c r="K80" s="193">
        <f t="shared" si="22"/>
        <v>2388.3370680166331</v>
      </c>
      <c r="L80" s="193">
        <f t="shared" si="22"/>
        <v>1949.9643417715906</v>
      </c>
      <c r="M80" s="193">
        <f t="shared" si="22"/>
        <v>3160.4628099173551</v>
      </c>
      <c r="N80" s="193">
        <f t="shared" si="22"/>
        <v>2829.4214876033056</v>
      </c>
      <c r="O80" s="200">
        <f t="shared" si="22"/>
        <v>2511</v>
      </c>
    </row>
    <row r="82" spans="2:15" ht="15.75" thickBot="1">
      <c r="B82" s="108" t="s">
        <v>63</v>
      </c>
      <c r="C82" s="109" t="str">
        <f>VLOOKUP(B82,NodeList!$D$4:$E$121,2,FALSE)</f>
        <v>Lewis</v>
      </c>
      <c r="D82" s="6"/>
      <c r="E82" s="6"/>
      <c r="F82" s="6"/>
      <c r="G82" s="6"/>
      <c r="H82" s="7"/>
      <c r="I82" s="7"/>
      <c r="J82" s="7"/>
      <c r="K82" s="7"/>
      <c r="L82" s="7"/>
      <c r="M82" s="7"/>
      <c r="N82" s="7"/>
      <c r="O82" s="7"/>
    </row>
    <row r="83" spans="2:15" ht="15">
      <c r="B83" s="9" t="s">
        <v>16</v>
      </c>
      <c r="C83" s="10"/>
      <c r="D83" s="11" t="s">
        <v>0</v>
      </c>
      <c r="E83" s="11" t="s">
        <v>1</v>
      </c>
      <c r="F83" s="11" t="s">
        <v>2</v>
      </c>
      <c r="G83" s="11" t="s">
        <v>3</v>
      </c>
      <c r="H83" s="11" t="s">
        <v>4</v>
      </c>
      <c r="I83" s="11" t="s">
        <v>5</v>
      </c>
      <c r="J83" s="11" t="s">
        <v>6</v>
      </c>
      <c r="K83" s="11" t="s">
        <v>7</v>
      </c>
      <c r="L83" s="11" t="s">
        <v>8</v>
      </c>
      <c r="M83" s="11" t="s">
        <v>9</v>
      </c>
      <c r="N83" s="11" t="s">
        <v>10</v>
      </c>
      <c r="O83" s="12" t="s">
        <v>11</v>
      </c>
    </row>
    <row r="84" spans="2:15" ht="14.25">
      <c r="B84" s="14" t="str">
        <f>+B82 &amp;" Node Inflow"</f>
        <v>Node 1.06 Node Inflow</v>
      </c>
      <c r="C84" s="13"/>
      <c r="D84" s="15">
        <f>+D80</f>
        <v>2385.0605176118456</v>
      </c>
      <c r="E84" s="15">
        <f t="shared" ref="E84:O84" si="23">+E80</f>
        <v>2733.4425891352939</v>
      </c>
      <c r="F84" s="15">
        <f t="shared" si="23"/>
        <v>7596.7841295666813</v>
      </c>
      <c r="G84" s="15">
        <f t="shared" si="23"/>
        <v>10183.269175647018</v>
      </c>
      <c r="H84" s="15">
        <f t="shared" si="23"/>
        <v>26388.06259278893</v>
      </c>
      <c r="I84" s="15">
        <f t="shared" si="23"/>
        <v>14484.785431742403</v>
      </c>
      <c r="J84" s="15">
        <f t="shared" si="23"/>
        <v>3430.4423029426644</v>
      </c>
      <c r="K84" s="15">
        <f t="shared" si="23"/>
        <v>2388.3370680166331</v>
      </c>
      <c r="L84" s="15">
        <f t="shared" si="23"/>
        <v>1949.9643417715906</v>
      </c>
      <c r="M84" s="15">
        <f t="shared" si="23"/>
        <v>3160.4628099173551</v>
      </c>
      <c r="N84" s="15">
        <f t="shared" si="23"/>
        <v>2829.4214876033056</v>
      </c>
      <c r="O84" s="16">
        <f t="shared" si="23"/>
        <v>2511</v>
      </c>
    </row>
    <row r="85" spans="2:15" ht="14.25">
      <c r="B85" s="14" t="str">
        <f>+B82 &amp;" Irrigation Returns"</f>
        <v>Node 1.06 Irrigation Returns</v>
      </c>
      <c r="C85" s="13"/>
      <c r="D85" s="54">
        <f>VLOOKUP(($B82),'Irrigation Returns'!$B$644:$P$930,4,FALSE)</f>
        <v>0</v>
      </c>
      <c r="E85" s="54">
        <f>VLOOKUP(($B82),'Irrigation Returns'!$B$644:$P$930,5,FALSE)</f>
        <v>0</v>
      </c>
      <c r="F85" s="54">
        <f>VLOOKUP(($B82),'Irrigation Returns'!$B$644:$P$930,6,FALSE)</f>
        <v>0</v>
      </c>
      <c r="G85" s="54">
        <f>VLOOKUP(($B82),'Irrigation Returns'!$B$644:$P$930,7,FALSE)</f>
        <v>0</v>
      </c>
      <c r="H85" s="54">
        <f>VLOOKUP(($B82),'Irrigation Returns'!$B$644:$P$930,8,FALSE)</f>
        <v>698.68235651908367</v>
      </c>
      <c r="I85" s="54">
        <f>VLOOKUP(($B82),'Irrigation Returns'!$B$644:$P$930,9,FALSE)</f>
        <v>968.60771967873416</v>
      </c>
      <c r="J85" s="54">
        <f>VLOOKUP(($B82),'Irrigation Returns'!$B$644:$P$930,10,FALSE)</f>
        <v>652.21378626357421</v>
      </c>
      <c r="K85" s="54">
        <f>VLOOKUP(($B82),'Irrigation Returns'!$B$644:$P$930,11,FALSE)</f>
        <v>342.08228612349774</v>
      </c>
      <c r="L85" s="54">
        <f>VLOOKUP(($B82),'Irrigation Returns'!$B$644:$P$930,12,FALSE)</f>
        <v>164.7296905298877</v>
      </c>
      <c r="M85" s="54">
        <f>VLOOKUP(($B82),'Irrigation Returns'!$B$644:$P$930,13,FALSE)</f>
        <v>47.061422650399173</v>
      </c>
      <c r="N85" s="54">
        <f>VLOOKUP(($B82),'Irrigation Returns'!$B$644:$P$930,14,FALSE)</f>
        <v>12.517792007550877</v>
      </c>
      <c r="O85" s="110">
        <f>VLOOKUP(($B82),'Irrigation Returns'!$B$644:$P$930,15,FALSE)</f>
        <v>1.2730463694065079</v>
      </c>
    </row>
    <row r="86" spans="2:15" ht="14.25">
      <c r="B86" s="14" t="s">
        <v>328</v>
      </c>
      <c r="C86" s="13" t="s">
        <v>180</v>
      </c>
      <c r="D86" s="54">
        <f>VLOOKUP($B86,GainLoss!$B$5:$O$14,3,FALSE)</f>
        <v>0</v>
      </c>
      <c r="E86" s="54">
        <f>VLOOKUP($B86,GainLoss!$B$5:$O$14,4,FALSE)</f>
        <v>0</v>
      </c>
      <c r="F86" s="54">
        <f>VLOOKUP($B86,GainLoss!$B$5:$O$14,5,FALSE)</f>
        <v>0</v>
      </c>
      <c r="G86" s="54">
        <f>VLOOKUP($B86,GainLoss!$B$5:$O$14,6,FALSE)</f>
        <v>0</v>
      </c>
      <c r="H86" s="54">
        <f>VLOOKUP($B86,GainLoss!$B$5:$O$14,7,FALSE)</f>
        <v>0</v>
      </c>
      <c r="I86" s="54">
        <f>VLOOKUP($B86,GainLoss!$B$5:$O$14,8,FALSE)</f>
        <v>0</v>
      </c>
      <c r="J86" s="54">
        <f>VLOOKUP($B86,GainLoss!$B$5:$O$14,9,FALSE)</f>
        <v>0</v>
      </c>
      <c r="K86" s="54">
        <f>VLOOKUP($B86,GainLoss!$B$5:$O$14,10,FALSE)</f>
        <v>0</v>
      </c>
      <c r="L86" s="54">
        <f>VLOOKUP($B86,GainLoss!$B$5:$O$14,11,FALSE)</f>
        <v>0</v>
      </c>
      <c r="M86" s="54">
        <f>VLOOKUP($B86,GainLoss!$B$5:$O$14,12,FALSE)</f>
        <v>0</v>
      </c>
      <c r="N86" s="54">
        <f>VLOOKUP($B86,GainLoss!$B$5:$O$14,13,FALSE)</f>
        <v>0</v>
      </c>
      <c r="O86" s="110">
        <f>VLOOKUP($B86,GainLoss!$B$5:$O$14,14,FALSE)</f>
        <v>0</v>
      </c>
    </row>
    <row r="87" spans="2:15" ht="14.25">
      <c r="B87" s="14" t="str">
        <f>+B82 &amp;" Import/Export"</f>
        <v>Node 1.06 Import/Export</v>
      </c>
      <c r="C87" s="13"/>
      <c r="D87" s="190">
        <f>VLOOKUP($B82,ImportExport!$B$6:$O$68,3,FALSE)</f>
        <v>0</v>
      </c>
      <c r="E87" s="190">
        <f>VLOOKUP($B82,ImportExport!$B$6:$O$68,4,FALSE)</f>
        <v>0</v>
      </c>
      <c r="F87" s="190">
        <f>VLOOKUP($B82,ImportExport!$B$6:$O$68,5,FALSE)</f>
        <v>0</v>
      </c>
      <c r="G87" s="190">
        <f>VLOOKUP($B82,ImportExport!$B$6:$O$68,6,FALSE)</f>
        <v>0</v>
      </c>
      <c r="H87" s="190">
        <f>VLOOKUP($B82,ImportExport!$B$6:$O$68,7,FALSE)</f>
        <v>0</v>
      </c>
      <c r="I87" s="190">
        <f>VLOOKUP($B82,ImportExport!$B$6:$O$68,8,FALSE)</f>
        <v>0</v>
      </c>
      <c r="J87" s="190">
        <f>VLOOKUP($B82,ImportExport!$B$6:$O$68,9,FALSE)</f>
        <v>0</v>
      </c>
      <c r="K87" s="190">
        <f>VLOOKUP($B82,ImportExport!$B$6:$O$68,10,FALSE)</f>
        <v>0</v>
      </c>
      <c r="L87" s="190">
        <f>VLOOKUP($B82,ImportExport!$B$6:$O$68,11,FALSE)</f>
        <v>0</v>
      </c>
      <c r="M87" s="190">
        <f>VLOOKUP($B82,ImportExport!$B$6:$O$68,12,FALSE)</f>
        <v>0</v>
      </c>
      <c r="N87" s="190">
        <f>VLOOKUP($B82,ImportExport!$B$6:$O$68,13,FALSE)</f>
        <v>0</v>
      </c>
      <c r="O87" s="197">
        <f>VLOOKUP($B82,ImportExport!$B$6:$O$68,14,FALSE)</f>
        <v>0</v>
      </c>
    </row>
    <row r="88" spans="2:15" ht="15.75" thickBot="1">
      <c r="B88" s="18" t="str">
        <f>"Total "&amp; (B82)&amp;" Inflow"</f>
        <v>Total Node 1.06 Inflow</v>
      </c>
      <c r="C88" s="17"/>
      <c r="D88" s="25">
        <f t="shared" ref="D88:O88" si="24">SUM(D84:D87)</f>
        <v>2385.0605176118456</v>
      </c>
      <c r="E88" s="25">
        <f t="shared" si="24"/>
        <v>2733.4425891352939</v>
      </c>
      <c r="F88" s="25">
        <f t="shared" si="24"/>
        <v>7596.7841295666813</v>
      </c>
      <c r="G88" s="25">
        <f t="shared" si="24"/>
        <v>10183.269175647018</v>
      </c>
      <c r="H88" s="25">
        <f t="shared" si="24"/>
        <v>27086.744949308013</v>
      </c>
      <c r="I88" s="25">
        <f t="shared" si="24"/>
        <v>15453.393151421136</v>
      </c>
      <c r="J88" s="25">
        <f t="shared" si="24"/>
        <v>4082.6560892062384</v>
      </c>
      <c r="K88" s="25">
        <f t="shared" si="24"/>
        <v>2730.419354140131</v>
      </c>
      <c r="L88" s="25">
        <f t="shared" si="24"/>
        <v>2114.6940323014783</v>
      </c>
      <c r="M88" s="25">
        <f t="shared" si="24"/>
        <v>3207.5242325677541</v>
      </c>
      <c r="N88" s="25">
        <f t="shared" si="24"/>
        <v>2841.9392796108564</v>
      </c>
      <c r="O88" s="26">
        <f t="shared" si="24"/>
        <v>2512.2730463694065</v>
      </c>
    </row>
    <row r="89" spans="2:15" ht="15">
      <c r="B89" s="19" t="s">
        <v>17</v>
      </c>
      <c r="C89" s="20"/>
      <c r="D89" s="282" t="str">
        <f>IF(((VLOOKUP($B82,'Diversion Data'!$B$3:$O$227,3,FALSE))-D91)&gt;0,"Short","")</f>
        <v/>
      </c>
      <c r="E89" s="282" t="str">
        <f>IF(((VLOOKUP($B82,'Diversion Data'!$B$3:$O$227,4,FALSE))-E91)&gt;0,"Short","")</f>
        <v/>
      </c>
      <c r="F89" s="282" t="str">
        <f>IF(((VLOOKUP($B82,'Diversion Data'!$B$3:$O$227,5,FALSE))-F91)&gt;0,"Short","")</f>
        <v/>
      </c>
      <c r="G89" s="282" t="str">
        <f>IF(((VLOOKUP($B82,'Diversion Data'!$B$3:$O$227,6,FALSE))-G91)&gt;0,"Short","")</f>
        <v/>
      </c>
      <c r="H89" s="282" t="str">
        <f>IF(((VLOOKUP($B82,'Diversion Data'!$B$3:$O$227,7,FALSE))-H91)&gt;0,"Short","")</f>
        <v/>
      </c>
      <c r="I89" s="282" t="str">
        <f>IF(((VLOOKUP($B82,'Diversion Data'!$B$3:$O$227,8,FALSE))-I91)&gt;0,"Short","")</f>
        <v/>
      </c>
      <c r="J89" s="282" t="str">
        <f>IF(((VLOOKUP($B82,'Diversion Data'!$B$3:$O$227,9,FALSE))-J91)&gt;0,"Short","")</f>
        <v/>
      </c>
      <c r="K89" s="282" t="str">
        <f>IF(((VLOOKUP($B82,'Diversion Data'!$B$3:$O$227,10,FALSE))-K91)&gt;0,"Short","")</f>
        <v/>
      </c>
      <c r="L89" s="282" t="str">
        <f>IF(((VLOOKUP($B82,'Diversion Data'!$B$3:$O$227,11,FALSE))-L91)&gt;0,"Short","")</f>
        <v/>
      </c>
      <c r="M89" s="282" t="str">
        <f>IF(((VLOOKUP($B82,'Diversion Data'!$B$3:$O$227,12,FALSE))-M91)&gt;0,"Short","")</f>
        <v/>
      </c>
      <c r="N89" s="282" t="str">
        <f>IF(((VLOOKUP($B82,'Diversion Data'!$B$3:$O$227,13,FALSE))-N91)&gt;0,"Short","")</f>
        <v/>
      </c>
      <c r="O89" s="283" t="str">
        <f>IF(((VLOOKUP($B82,'Diversion Data'!$B$3:$O$227,14,FALSE))-O91)&gt;0,"Short","")</f>
        <v/>
      </c>
    </row>
    <row r="90" spans="2:15" ht="14.25">
      <c r="B90" s="14" t="s">
        <v>81</v>
      </c>
      <c r="C90" s="13" t="s">
        <v>181</v>
      </c>
      <c r="D90" s="171">
        <f>VLOOKUP($B90,GainLoss!$B$19:$O$27,3,FALSE)</f>
        <v>0</v>
      </c>
      <c r="E90" s="171">
        <f>VLOOKUP($B90,GainLoss!$B$19:$O$27,4,FALSE)</f>
        <v>0</v>
      </c>
      <c r="F90" s="171">
        <f>VLOOKUP($B90,GainLoss!$B$19:$O$27,5,FALSE)</f>
        <v>0</v>
      </c>
      <c r="G90" s="171">
        <f>VLOOKUP($B90,GainLoss!$B$19:$O$27,6,FALSE)</f>
        <v>0</v>
      </c>
      <c r="H90" s="171">
        <f>VLOOKUP($B90,GainLoss!$B$19:$O$27,7,FALSE)</f>
        <v>0</v>
      </c>
      <c r="I90" s="171">
        <f>VLOOKUP($B90,GainLoss!$B$19:$O$27,8,FALSE)</f>
        <v>0</v>
      </c>
      <c r="J90" s="171">
        <f>VLOOKUP($B90,GainLoss!$B$19:$O$27,9,FALSE)</f>
        <v>0</v>
      </c>
      <c r="K90" s="171">
        <f>VLOOKUP($B90,GainLoss!$B$19:$O$27,10,FALSE)</f>
        <v>0</v>
      </c>
      <c r="L90" s="171">
        <f>VLOOKUP($B90,GainLoss!$B$19:$O$27,11,FALSE)</f>
        <v>0</v>
      </c>
      <c r="M90" s="171">
        <f>VLOOKUP($B90,GainLoss!$B$19:$O$27,12,FALSE)</f>
        <v>0</v>
      </c>
      <c r="N90" s="171">
        <f>VLOOKUP($B90,GainLoss!$B$19:$O$27,13,FALSE)</f>
        <v>0</v>
      </c>
      <c r="O90" s="198">
        <f>VLOOKUP($B90,GainLoss!$B$19:$O$27,14,FALSE)</f>
        <v>0</v>
      </c>
    </row>
    <row r="91" spans="2:15" ht="14.25">
      <c r="B91" s="14" t="str">
        <f>+B82 &amp;" Diversions"</f>
        <v>Node 1.06 Diversions</v>
      </c>
      <c r="C91" s="13"/>
      <c r="D91" s="54">
        <f>MIN(VLOOKUP($B82,'Diversion Data'!$B$3:$O$227,3,FALSE),(D88-D90))</f>
        <v>0</v>
      </c>
      <c r="E91" s="54">
        <f>MIN(VLOOKUP($B82,'Diversion Data'!$B$3:$O$227,4,FALSE),(E88-E90))</f>
        <v>0</v>
      </c>
      <c r="F91" s="54">
        <f>MIN(VLOOKUP($B82,'Diversion Data'!$B$3:$O$227,5,FALSE),(F88-F90))</f>
        <v>0</v>
      </c>
      <c r="G91" s="54">
        <f>MIN(VLOOKUP($B82,'Diversion Data'!$B$3:$O$227,6,FALSE),(G88-G90))</f>
        <v>0</v>
      </c>
      <c r="H91" s="54">
        <f>MIN(VLOOKUP($B82,'Diversion Data'!$B$3:$O$227,7,FALSE),(H88-H90))</f>
        <v>145.79468247933883</v>
      </c>
      <c r="I91" s="54">
        <f>MIN(VLOOKUP($B82,'Diversion Data'!$B$3:$O$227,8,FALSE),(I88-I90))</f>
        <v>275.63793846725207</v>
      </c>
      <c r="J91" s="54">
        <f>MIN(VLOOKUP($B82,'Diversion Data'!$B$3:$O$227,9,FALSE),(J88-J90))</f>
        <v>279.33674740330582</v>
      </c>
      <c r="K91" s="54">
        <f>MIN(VLOOKUP($B82,'Diversion Data'!$B$3:$O$227,10,FALSE),(K88-K90))</f>
        <v>83.236883181095038</v>
      </c>
      <c r="L91" s="54">
        <f>MIN(VLOOKUP($B82,'Diversion Data'!$B$3:$O$227,11,FALSE),(L88-L90))</f>
        <v>37.193667086776856</v>
      </c>
      <c r="M91" s="54">
        <f>MIN(VLOOKUP($B82,'Diversion Data'!$B$3:$O$227,12,FALSE),(M88-M90))</f>
        <v>0</v>
      </c>
      <c r="N91" s="54">
        <f>MIN(VLOOKUP($B82,'Diversion Data'!$B$3:$O$227,13,FALSE),(N88-N90))</f>
        <v>0</v>
      </c>
      <c r="O91" s="110">
        <f>MIN(VLOOKUP($B82,'Diversion Data'!$B$3:$O$227,14,FALSE),(O88-O90))</f>
        <v>0</v>
      </c>
    </row>
    <row r="92" spans="2:15" ht="15.75" thickBot="1">
      <c r="B92" s="24" t="str">
        <f>"Total " &amp; (B82) &amp;" Outflow"</f>
        <v>Total Node 1.06 Outflow</v>
      </c>
      <c r="C92" s="23"/>
      <c r="D92" s="27">
        <f t="shared" ref="D92:O92" si="25">SUM(D90:D91)</f>
        <v>0</v>
      </c>
      <c r="E92" s="27">
        <f t="shared" si="25"/>
        <v>0</v>
      </c>
      <c r="F92" s="27">
        <f t="shared" si="25"/>
        <v>0</v>
      </c>
      <c r="G92" s="27">
        <f t="shared" si="25"/>
        <v>0</v>
      </c>
      <c r="H92" s="27">
        <f t="shared" si="25"/>
        <v>145.79468247933883</v>
      </c>
      <c r="I92" s="27">
        <f t="shared" si="25"/>
        <v>275.63793846725207</v>
      </c>
      <c r="J92" s="27">
        <f t="shared" si="25"/>
        <v>279.33674740330582</v>
      </c>
      <c r="K92" s="27">
        <f t="shared" si="25"/>
        <v>83.236883181095038</v>
      </c>
      <c r="L92" s="27">
        <f t="shared" si="25"/>
        <v>37.193667086776856</v>
      </c>
      <c r="M92" s="27">
        <f t="shared" si="25"/>
        <v>0</v>
      </c>
      <c r="N92" s="27">
        <f t="shared" si="25"/>
        <v>0</v>
      </c>
      <c r="O92" s="28">
        <f t="shared" si="25"/>
        <v>0</v>
      </c>
    </row>
    <row r="93" spans="2:15" ht="15.75" thickBot="1">
      <c r="B93" s="24" t="str">
        <f>(B82)&amp;" NET Flow (In - Out)"</f>
        <v>Node 1.06 NET Flow (In - Out)</v>
      </c>
      <c r="C93" s="23"/>
      <c r="D93" s="193">
        <f t="shared" ref="D93:O93" si="26">MAX(D88-D92,0)</f>
        <v>2385.0605176118456</v>
      </c>
      <c r="E93" s="193">
        <f t="shared" si="26"/>
        <v>2733.4425891352939</v>
      </c>
      <c r="F93" s="193">
        <f t="shared" si="26"/>
        <v>7596.7841295666813</v>
      </c>
      <c r="G93" s="193">
        <f t="shared" si="26"/>
        <v>10183.269175647018</v>
      </c>
      <c r="H93" s="193">
        <f t="shared" si="26"/>
        <v>26940.950266828673</v>
      </c>
      <c r="I93" s="193">
        <f t="shared" si="26"/>
        <v>15177.755212953884</v>
      </c>
      <c r="J93" s="193">
        <f t="shared" si="26"/>
        <v>3803.3193418029327</v>
      </c>
      <c r="K93" s="193">
        <f t="shared" si="26"/>
        <v>2647.182470959036</v>
      </c>
      <c r="L93" s="193">
        <f t="shared" si="26"/>
        <v>2077.5003652147016</v>
      </c>
      <c r="M93" s="193">
        <f t="shared" si="26"/>
        <v>3207.5242325677541</v>
      </c>
      <c r="N93" s="193">
        <f t="shared" si="26"/>
        <v>2841.9392796108564</v>
      </c>
      <c r="O93" s="200">
        <f t="shared" si="26"/>
        <v>2512.2730463694065</v>
      </c>
    </row>
    <row r="95" spans="2:15" ht="15.75" thickBot="1">
      <c r="B95" s="108" t="s">
        <v>64</v>
      </c>
      <c r="C95" s="109" t="str">
        <f>VLOOKUP(B95,NodeList!$D$4:$E$121,2,FALSE)</f>
        <v>Meyers No. 2</v>
      </c>
      <c r="D95" s="6"/>
      <c r="E95" s="6"/>
      <c r="F95" s="6"/>
      <c r="G95" s="6"/>
      <c r="H95" s="7"/>
      <c r="I95" s="7"/>
      <c r="J95" s="7"/>
      <c r="K95" s="7"/>
      <c r="L95" s="7"/>
      <c r="M95" s="7"/>
      <c r="N95" s="7"/>
      <c r="O95" s="7"/>
    </row>
    <row r="96" spans="2:15" ht="15">
      <c r="B96" s="9" t="s">
        <v>16</v>
      </c>
      <c r="C96" s="10"/>
      <c r="D96" s="11" t="s">
        <v>0</v>
      </c>
      <c r="E96" s="11" t="s">
        <v>1</v>
      </c>
      <c r="F96" s="11" t="s">
        <v>2</v>
      </c>
      <c r="G96" s="11" t="s">
        <v>3</v>
      </c>
      <c r="H96" s="11" t="s">
        <v>4</v>
      </c>
      <c r="I96" s="11" t="s">
        <v>5</v>
      </c>
      <c r="J96" s="11" t="s">
        <v>6</v>
      </c>
      <c r="K96" s="11" t="s">
        <v>7</v>
      </c>
      <c r="L96" s="11" t="s">
        <v>8</v>
      </c>
      <c r="M96" s="11" t="s">
        <v>9</v>
      </c>
      <c r="N96" s="11" t="s">
        <v>10</v>
      </c>
      <c r="O96" s="12" t="s">
        <v>11</v>
      </c>
    </row>
    <row r="97" spans="2:15" ht="14.25">
      <c r="B97" s="14" t="str">
        <f>+B95 &amp;" Node Inflow"</f>
        <v>Node 1.07 Node Inflow</v>
      </c>
      <c r="C97" s="13"/>
      <c r="D97" s="15">
        <f>+D93</f>
        <v>2385.0605176118456</v>
      </c>
      <c r="E97" s="15">
        <f t="shared" ref="E97:O97" si="27">+E93</f>
        <v>2733.4425891352939</v>
      </c>
      <c r="F97" s="15">
        <f t="shared" si="27"/>
        <v>7596.7841295666813</v>
      </c>
      <c r="G97" s="15">
        <f t="shared" si="27"/>
        <v>10183.269175647018</v>
      </c>
      <c r="H97" s="15">
        <f t="shared" si="27"/>
        <v>26940.950266828673</v>
      </c>
      <c r="I97" s="15">
        <f t="shared" si="27"/>
        <v>15177.755212953884</v>
      </c>
      <c r="J97" s="15">
        <f t="shared" si="27"/>
        <v>3803.3193418029327</v>
      </c>
      <c r="K97" s="15">
        <f t="shared" si="27"/>
        <v>2647.182470959036</v>
      </c>
      <c r="L97" s="15">
        <f t="shared" si="27"/>
        <v>2077.5003652147016</v>
      </c>
      <c r="M97" s="15">
        <f t="shared" si="27"/>
        <v>3207.5242325677541</v>
      </c>
      <c r="N97" s="15">
        <f t="shared" si="27"/>
        <v>2841.9392796108564</v>
      </c>
      <c r="O97" s="16">
        <f t="shared" si="27"/>
        <v>2512.2730463694065</v>
      </c>
    </row>
    <row r="98" spans="2:15" ht="14.25">
      <c r="B98" s="14" t="str">
        <f>+B95 &amp;" Irrigation Returns"</f>
        <v>Node 1.07 Irrigation Returns</v>
      </c>
      <c r="C98" s="13"/>
      <c r="D98" s="54">
        <f>VLOOKUP(($B95),'Irrigation Returns'!$B$644:$P$930,4,FALSE)</f>
        <v>0</v>
      </c>
      <c r="E98" s="54">
        <f>VLOOKUP(($B95),'Irrigation Returns'!$B$644:$P$930,5,FALSE)</f>
        <v>0</v>
      </c>
      <c r="F98" s="54">
        <f>VLOOKUP(($B95),'Irrigation Returns'!$B$644:$P$930,6,FALSE)</f>
        <v>0</v>
      </c>
      <c r="G98" s="54">
        <f>VLOOKUP(($B95),'Irrigation Returns'!$B$644:$P$930,7,FALSE)</f>
        <v>0</v>
      </c>
      <c r="H98" s="54">
        <f>VLOOKUP(($B95),'Irrigation Returns'!$B$644:$P$930,8,FALSE)</f>
        <v>175.98238389408735</v>
      </c>
      <c r="I98" s="54">
        <f>VLOOKUP(($B95),'Irrigation Returns'!$B$644:$P$930,9,FALSE)</f>
        <v>426.93790054520201</v>
      </c>
      <c r="J98" s="54">
        <f>VLOOKUP(($B95),'Irrigation Returns'!$B$644:$P$930,10,FALSE)</f>
        <v>301.61268176121104</v>
      </c>
      <c r="K98" s="54">
        <f>VLOOKUP(($B95),'Irrigation Returns'!$B$644:$P$930,11,FALSE)</f>
        <v>144.77077071305405</v>
      </c>
      <c r="L98" s="54">
        <f>VLOOKUP(($B95),'Irrigation Returns'!$B$644:$P$930,12,FALSE)</f>
        <v>72.755059559013574</v>
      </c>
      <c r="M98" s="54">
        <f>VLOOKUP(($B95),'Irrigation Returns'!$B$644:$P$930,13,FALSE)</f>
        <v>16.510467952034144</v>
      </c>
      <c r="N98" s="54">
        <f>VLOOKUP(($B95),'Irrigation Returns'!$B$644:$P$930,14,FALSE)</f>
        <v>5.2039463232866741</v>
      </c>
      <c r="O98" s="110">
        <f>VLOOKUP(($B95),'Irrigation Returns'!$B$644:$P$930,15,FALSE)</f>
        <v>0</v>
      </c>
    </row>
    <row r="99" spans="2:15" ht="14.25">
      <c r="B99" s="14" t="s">
        <v>328</v>
      </c>
      <c r="C99" s="13" t="s">
        <v>180</v>
      </c>
      <c r="D99" s="54">
        <f>VLOOKUP($B99,GainLoss!$B$5:$O$14,3,FALSE)</f>
        <v>0</v>
      </c>
      <c r="E99" s="54">
        <f>VLOOKUP($B99,GainLoss!$B$5:$O$14,4,FALSE)</f>
        <v>0</v>
      </c>
      <c r="F99" s="54">
        <f>VLOOKUP($B99,GainLoss!$B$5:$O$14,5,FALSE)</f>
        <v>0</v>
      </c>
      <c r="G99" s="54">
        <f>VLOOKUP($B99,GainLoss!$B$5:$O$14,6,FALSE)</f>
        <v>0</v>
      </c>
      <c r="H99" s="54">
        <f>VLOOKUP($B99,GainLoss!$B$5:$O$14,7,FALSE)</f>
        <v>0</v>
      </c>
      <c r="I99" s="54">
        <f>VLOOKUP($B99,GainLoss!$B$5:$O$14,8,FALSE)</f>
        <v>0</v>
      </c>
      <c r="J99" s="54">
        <f>VLOOKUP($B99,GainLoss!$B$5:$O$14,9,FALSE)</f>
        <v>0</v>
      </c>
      <c r="K99" s="54">
        <f>VLOOKUP($B99,GainLoss!$B$5:$O$14,10,FALSE)</f>
        <v>0</v>
      </c>
      <c r="L99" s="54">
        <f>VLOOKUP($B99,GainLoss!$B$5:$O$14,11,FALSE)</f>
        <v>0</v>
      </c>
      <c r="M99" s="54">
        <f>VLOOKUP($B99,GainLoss!$B$5:$O$14,12,FALSE)</f>
        <v>0</v>
      </c>
      <c r="N99" s="54">
        <f>VLOOKUP($B99,GainLoss!$B$5:$O$14,13,FALSE)</f>
        <v>0</v>
      </c>
      <c r="O99" s="110">
        <f>VLOOKUP($B99,GainLoss!$B$5:$O$14,14,FALSE)</f>
        <v>0</v>
      </c>
    </row>
    <row r="100" spans="2:15" ht="14.25">
      <c r="B100" s="14" t="str">
        <f>+B95 &amp;" Import/Export"</f>
        <v>Node 1.07 Import/Export</v>
      </c>
      <c r="C100" s="13"/>
      <c r="D100" s="190">
        <f>VLOOKUP($B95,ImportExport!$B$6:$O$68,3,FALSE)</f>
        <v>0</v>
      </c>
      <c r="E100" s="190">
        <f>VLOOKUP($B95,ImportExport!$B$6:$O$68,4,FALSE)</f>
        <v>0</v>
      </c>
      <c r="F100" s="190">
        <f>VLOOKUP($B95,ImportExport!$B$6:$O$68,5,FALSE)</f>
        <v>0</v>
      </c>
      <c r="G100" s="190">
        <f>VLOOKUP($B95,ImportExport!$B$6:$O$68,6,FALSE)</f>
        <v>0</v>
      </c>
      <c r="H100" s="190">
        <f>VLOOKUP($B95,ImportExport!$B$6:$O$68,7,FALSE)</f>
        <v>0</v>
      </c>
      <c r="I100" s="190">
        <f>VLOOKUP($B95,ImportExport!$B$6:$O$68,8,FALSE)</f>
        <v>0</v>
      </c>
      <c r="J100" s="190">
        <f>VLOOKUP($B95,ImportExport!$B$6:$O$68,9,FALSE)</f>
        <v>0</v>
      </c>
      <c r="K100" s="190">
        <f>VLOOKUP($B95,ImportExport!$B$6:$O$68,10,FALSE)</f>
        <v>0</v>
      </c>
      <c r="L100" s="190">
        <f>VLOOKUP($B95,ImportExport!$B$6:$O$68,11,FALSE)</f>
        <v>0</v>
      </c>
      <c r="M100" s="190">
        <f>VLOOKUP($B95,ImportExport!$B$6:$O$68,12,FALSE)</f>
        <v>0</v>
      </c>
      <c r="N100" s="190">
        <f>VLOOKUP($B95,ImportExport!$B$6:$O$68,13,FALSE)</f>
        <v>0</v>
      </c>
      <c r="O100" s="197">
        <f>VLOOKUP($B95,ImportExport!$B$6:$O$68,14,FALSE)</f>
        <v>0</v>
      </c>
    </row>
    <row r="101" spans="2:15" ht="15.75" thickBot="1">
      <c r="B101" s="18" t="str">
        <f>"Total "&amp; (B95)&amp;" Inflow"</f>
        <v>Total Node 1.07 Inflow</v>
      </c>
      <c r="C101" s="17"/>
      <c r="D101" s="25">
        <f t="shared" ref="D101:O101" si="28">SUM(D97:D100)</f>
        <v>2385.0605176118456</v>
      </c>
      <c r="E101" s="25">
        <f t="shared" si="28"/>
        <v>2733.4425891352939</v>
      </c>
      <c r="F101" s="25">
        <f t="shared" si="28"/>
        <v>7596.7841295666813</v>
      </c>
      <c r="G101" s="25">
        <f t="shared" si="28"/>
        <v>10183.269175647018</v>
      </c>
      <c r="H101" s="25">
        <f t="shared" si="28"/>
        <v>27116.93265072276</v>
      </c>
      <c r="I101" s="25">
        <f t="shared" si="28"/>
        <v>15604.693113499086</v>
      </c>
      <c r="J101" s="25">
        <f t="shared" si="28"/>
        <v>4104.9320235641435</v>
      </c>
      <c r="K101" s="25">
        <f t="shared" si="28"/>
        <v>2791.9532416720899</v>
      </c>
      <c r="L101" s="25">
        <f t="shared" si="28"/>
        <v>2150.2554247737153</v>
      </c>
      <c r="M101" s="25">
        <f t="shared" si="28"/>
        <v>3224.0347005197882</v>
      </c>
      <c r="N101" s="25">
        <f t="shared" si="28"/>
        <v>2847.1432259341432</v>
      </c>
      <c r="O101" s="26">
        <f t="shared" si="28"/>
        <v>2512.2730463694065</v>
      </c>
    </row>
    <row r="102" spans="2:15" ht="15">
      <c r="B102" s="19" t="s">
        <v>17</v>
      </c>
      <c r="C102" s="20"/>
      <c r="D102" s="282" t="str">
        <f>IF(((VLOOKUP($B95,'Diversion Data'!$B$3:$O$227,3,FALSE))-D104)&gt;0,"Short","")</f>
        <v/>
      </c>
      <c r="E102" s="282" t="str">
        <f>IF(((VLOOKUP($B95,'Diversion Data'!$B$3:$O$227,4,FALSE))-E104)&gt;0,"Short","")</f>
        <v/>
      </c>
      <c r="F102" s="282" t="str">
        <f>IF(((VLOOKUP($B95,'Diversion Data'!$B$3:$O$227,5,FALSE))-F104)&gt;0,"Short","")</f>
        <v/>
      </c>
      <c r="G102" s="282" t="str">
        <f>IF(((VLOOKUP($B95,'Diversion Data'!$B$3:$O$227,6,FALSE))-G104)&gt;0,"Short","")</f>
        <v/>
      </c>
      <c r="H102" s="282" t="str">
        <f>IF(((VLOOKUP($B95,'Diversion Data'!$B$3:$O$227,7,FALSE))-H104)&gt;0,"Short","")</f>
        <v/>
      </c>
      <c r="I102" s="282" t="str">
        <f>IF(((VLOOKUP($B95,'Diversion Data'!$B$3:$O$227,8,FALSE))-I104)&gt;0,"Short","")</f>
        <v/>
      </c>
      <c r="J102" s="282" t="str">
        <f>IF(((VLOOKUP($B95,'Diversion Data'!$B$3:$O$227,9,FALSE))-J104)&gt;0,"Short","")</f>
        <v/>
      </c>
      <c r="K102" s="282" t="str">
        <f>IF(((VLOOKUP($B95,'Diversion Data'!$B$3:$O$227,10,FALSE))-K104)&gt;0,"Short","")</f>
        <v/>
      </c>
      <c r="L102" s="282" t="str">
        <f>IF(((VLOOKUP($B95,'Diversion Data'!$B$3:$O$227,11,FALSE))-L104)&gt;0,"Short","")</f>
        <v/>
      </c>
      <c r="M102" s="282" t="str">
        <f>IF(((VLOOKUP($B95,'Diversion Data'!$B$3:$O$227,12,FALSE))-M104)&gt;0,"Short","")</f>
        <v/>
      </c>
      <c r="N102" s="282" t="str">
        <f>IF(((VLOOKUP($B95,'Diversion Data'!$B$3:$O$227,13,FALSE))-N104)&gt;0,"Short","")</f>
        <v/>
      </c>
      <c r="O102" s="283" t="str">
        <f>IF(((VLOOKUP($B95,'Diversion Data'!$B$3:$O$227,14,FALSE))-O104)&gt;0,"Short","")</f>
        <v/>
      </c>
    </row>
    <row r="103" spans="2:15" ht="14.25">
      <c r="B103" s="14" t="s">
        <v>81</v>
      </c>
      <c r="C103" s="13" t="s">
        <v>181</v>
      </c>
      <c r="D103" s="171">
        <f>VLOOKUP($B103,GainLoss!$B$19:$O$27,3,FALSE)</f>
        <v>0</v>
      </c>
      <c r="E103" s="171">
        <f>VLOOKUP($B103,GainLoss!$B$19:$O$27,4,FALSE)</f>
        <v>0</v>
      </c>
      <c r="F103" s="171">
        <f>VLOOKUP($B103,GainLoss!$B$19:$O$27,5,FALSE)</f>
        <v>0</v>
      </c>
      <c r="G103" s="171">
        <f>VLOOKUP($B103,GainLoss!$B$19:$O$27,6,FALSE)</f>
        <v>0</v>
      </c>
      <c r="H103" s="171">
        <f>VLOOKUP($B103,GainLoss!$B$19:$O$27,7,FALSE)</f>
        <v>0</v>
      </c>
      <c r="I103" s="171">
        <f>VLOOKUP($B103,GainLoss!$B$19:$O$27,8,FALSE)</f>
        <v>0</v>
      </c>
      <c r="J103" s="171">
        <f>VLOOKUP($B103,GainLoss!$B$19:$O$27,9,FALSE)</f>
        <v>0</v>
      </c>
      <c r="K103" s="171">
        <f>VLOOKUP($B103,GainLoss!$B$19:$O$27,10,FALSE)</f>
        <v>0</v>
      </c>
      <c r="L103" s="171">
        <f>VLOOKUP($B103,GainLoss!$B$19:$O$27,11,FALSE)</f>
        <v>0</v>
      </c>
      <c r="M103" s="171">
        <f>VLOOKUP($B103,GainLoss!$B$19:$O$27,12,FALSE)</f>
        <v>0</v>
      </c>
      <c r="N103" s="171">
        <f>VLOOKUP($B103,GainLoss!$B$19:$O$27,13,FALSE)</f>
        <v>0</v>
      </c>
      <c r="O103" s="198">
        <f>VLOOKUP($B103,GainLoss!$B$19:$O$27,14,FALSE)</f>
        <v>0</v>
      </c>
    </row>
    <row r="104" spans="2:15" ht="14.25">
      <c r="B104" s="14" t="str">
        <f>+B95 &amp;" Diversions"</f>
        <v>Node 1.07 Diversions</v>
      </c>
      <c r="C104" s="13"/>
      <c r="D104" s="54">
        <f>MIN(VLOOKUP($B95,'Diversion Data'!$B$3:$O$227,3,FALSE),(D101-D103))</f>
        <v>0</v>
      </c>
      <c r="E104" s="54">
        <f>MIN(VLOOKUP($B95,'Diversion Data'!$B$3:$O$227,4,FALSE),(E101-E103))</f>
        <v>0</v>
      </c>
      <c r="F104" s="54">
        <f>MIN(VLOOKUP($B95,'Diversion Data'!$B$3:$O$227,5,FALSE),(F101-F103))</f>
        <v>0</v>
      </c>
      <c r="G104" s="54">
        <f>MIN(VLOOKUP($B95,'Diversion Data'!$B$3:$O$227,6,FALSE),(G101-G103))</f>
        <v>0</v>
      </c>
      <c r="H104" s="54">
        <f>MIN(VLOOKUP($B95,'Diversion Data'!$B$3:$O$227,7,FALSE),(H101-H103))</f>
        <v>97.599716695661172</v>
      </c>
      <c r="I104" s="54">
        <f>MIN(VLOOKUP($B95,'Diversion Data'!$B$3:$O$227,8,FALSE),(I101-I103))</f>
        <v>299.55910064865702</v>
      </c>
      <c r="J104" s="54">
        <f>MIN(VLOOKUP($B95,'Diversion Data'!$B$3:$O$227,9,FALSE),(J101-J103))</f>
        <v>293.64884711952482</v>
      </c>
      <c r="K104" s="54">
        <f>MIN(VLOOKUP($B95,'Diversion Data'!$B$3:$O$227,10,FALSE),(K101-K103))</f>
        <v>125.18575509411157</v>
      </c>
      <c r="L104" s="54">
        <f>MIN(VLOOKUP($B95,'Diversion Data'!$B$3:$O$227,11,FALSE),(L101-L103))</f>
        <v>81.671416827066125</v>
      </c>
      <c r="M104" s="54">
        <f>MIN(VLOOKUP($B95,'Diversion Data'!$B$3:$O$227,12,FALSE),(M101-M103))</f>
        <v>0</v>
      </c>
      <c r="N104" s="54">
        <f>MIN(VLOOKUP($B95,'Diversion Data'!$B$3:$O$227,13,FALSE),(N101-N103))</f>
        <v>0</v>
      </c>
      <c r="O104" s="110">
        <f>MIN(VLOOKUP($B95,'Diversion Data'!$B$3:$O$227,14,FALSE),(O101-O103))</f>
        <v>0</v>
      </c>
    </row>
    <row r="105" spans="2:15" ht="15.75" thickBot="1">
      <c r="B105" s="24" t="str">
        <f>"Total " &amp; (B95) &amp;" Outflow"</f>
        <v>Total Node 1.07 Outflow</v>
      </c>
      <c r="C105" s="23"/>
      <c r="D105" s="27">
        <f t="shared" ref="D105:O105" si="29">SUM(D103:D104)</f>
        <v>0</v>
      </c>
      <c r="E105" s="27">
        <f t="shared" si="29"/>
        <v>0</v>
      </c>
      <c r="F105" s="27">
        <f t="shared" si="29"/>
        <v>0</v>
      </c>
      <c r="G105" s="27">
        <f t="shared" si="29"/>
        <v>0</v>
      </c>
      <c r="H105" s="27">
        <f t="shared" si="29"/>
        <v>97.599716695661172</v>
      </c>
      <c r="I105" s="27">
        <f t="shared" si="29"/>
        <v>299.55910064865702</v>
      </c>
      <c r="J105" s="27">
        <f t="shared" si="29"/>
        <v>293.64884711952482</v>
      </c>
      <c r="K105" s="27">
        <f t="shared" si="29"/>
        <v>125.18575509411157</v>
      </c>
      <c r="L105" s="27">
        <f t="shared" si="29"/>
        <v>81.671416827066125</v>
      </c>
      <c r="M105" s="27">
        <f t="shared" si="29"/>
        <v>0</v>
      </c>
      <c r="N105" s="27">
        <f t="shared" si="29"/>
        <v>0</v>
      </c>
      <c r="O105" s="28">
        <f t="shared" si="29"/>
        <v>0</v>
      </c>
    </row>
    <row r="106" spans="2:15" ht="15.75" thickBot="1">
      <c r="B106" s="24" t="str">
        <f>(B95)&amp;" NET Flow (In - Out)"</f>
        <v>Node 1.07 NET Flow (In - Out)</v>
      </c>
      <c r="C106" s="23"/>
      <c r="D106" s="193">
        <f t="shared" ref="D106:O106" si="30">MAX(D101-D105,0)</f>
        <v>2385.0605176118456</v>
      </c>
      <c r="E106" s="193">
        <f t="shared" si="30"/>
        <v>2733.4425891352939</v>
      </c>
      <c r="F106" s="193">
        <f t="shared" si="30"/>
        <v>7596.7841295666813</v>
      </c>
      <c r="G106" s="193">
        <f t="shared" si="30"/>
        <v>10183.269175647018</v>
      </c>
      <c r="H106" s="193">
        <f t="shared" si="30"/>
        <v>27019.332934027098</v>
      </c>
      <c r="I106" s="193">
        <f t="shared" si="30"/>
        <v>15305.134012850429</v>
      </c>
      <c r="J106" s="193">
        <f t="shared" si="30"/>
        <v>3811.2831764446187</v>
      </c>
      <c r="K106" s="193">
        <f t="shared" si="30"/>
        <v>2666.7674865779782</v>
      </c>
      <c r="L106" s="193">
        <f t="shared" si="30"/>
        <v>2068.5840079466493</v>
      </c>
      <c r="M106" s="193">
        <f t="shared" si="30"/>
        <v>3224.0347005197882</v>
      </c>
      <c r="N106" s="193">
        <f t="shared" si="30"/>
        <v>2847.1432259341432</v>
      </c>
      <c r="O106" s="200">
        <f t="shared" si="30"/>
        <v>2512.2730463694065</v>
      </c>
    </row>
    <row r="107" spans="2:15" ht="15">
      <c r="B107" s="8"/>
      <c r="C107" s="13"/>
      <c r="D107" s="253"/>
      <c r="E107" s="253"/>
      <c r="F107" s="253"/>
      <c r="G107" s="253"/>
      <c r="H107" s="253"/>
      <c r="I107" s="253"/>
      <c r="J107" s="253"/>
      <c r="K107" s="253"/>
      <c r="L107" s="253"/>
      <c r="M107" s="253"/>
      <c r="N107" s="253"/>
      <c r="O107" s="253"/>
    </row>
    <row r="108" spans="2:15" ht="15.75" thickBot="1">
      <c r="B108" s="108" t="s">
        <v>319</v>
      </c>
      <c r="C108" s="109" t="str">
        <f>VLOOKUP(B108,NodeList!$D$4:$E$121,2,FALSE)</f>
        <v>Confluence Mill Cr.</v>
      </c>
      <c r="D108" s="6"/>
      <c r="E108" s="6"/>
      <c r="F108" s="6"/>
      <c r="G108" s="6"/>
      <c r="H108" s="7"/>
      <c r="I108" s="7"/>
      <c r="J108" s="7"/>
      <c r="K108" s="7"/>
      <c r="L108" s="7"/>
      <c r="M108" s="7"/>
      <c r="N108" s="7"/>
      <c r="O108" s="7"/>
    </row>
    <row r="109" spans="2:15" ht="15">
      <c r="B109" s="9" t="s">
        <v>16</v>
      </c>
      <c r="C109" s="10"/>
      <c r="D109" s="11" t="s">
        <v>0</v>
      </c>
      <c r="E109" s="11" t="s">
        <v>1</v>
      </c>
      <c r="F109" s="11" t="s">
        <v>2</v>
      </c>
      <c r="G109" s="11" t="s">
        <v>3</v>
      </c>
      <c r="H109" s="11" t="s">
        <v>4</v>
      </c>
      <c r="I109" s="11" t="s">
        <v>5</v>
      </c>
      <c r="J109" s="11" t="s">
        <v>6</v>
      </c>
      <c r="K109" s="11" t="s">
        <v>7</v>
      </c>
      <c r="L109" s="11" t="s">
        <v>8</v>
      </c>
      <c r="M109" s="11" t="s">
        <v>9</v>
      </c>
      <c r="N109" s="11" t="s">
        <v>10</v>
      </c>
      <c r="O109" s="12" t="s">
        <v>11</v>
      </c>
    </row>
    <row r="110" spans="2:15" ht="14.25">
      <c r="B110" s="14" t="str">
        <f>+B108 &amp;" Node Inflow"</f>
        <v>Node 1.18 Node Inflow</v>
      </c>
      <c r="C110" s="13"/>
      <c r="D110" s="15">
        <f>+D106</f>
        <v>2385.0605176118456</v>
      </c>
      <c r="E110" s="15">
        <f t="shared" ref="E110:O110" si="31">+E106</f>
        <v>2733.4425891352939</v>
      </c>
      <c r="F110" s="15">
        <f t="shared" si="31"/>
        <v>7596.7841295666813</v>
      </c>
      <c r="G110" s="15">
        <f t="shared" si="31"/>
        <v>10183.269175647018</v>
      </c>
      <c r="H110" s="15">
        <f t="shared" si="31"/>
        <v>27019.332934027098</v>
      </c>
      <c r="I110" s="15">
        <f t="shared" si="31"/>
        <v>15305.134012850429</v>
      </c>
      <c r="J110" s="15">
        <f t="shared" si="31"/>
        <v>3811.2831764446187</v>
      </c>
      <c r="K110" s="15">
        <f t="shared" si="31"/>
        <v>2666.7674865779782</v>
      </c>
      <c r="L110" s="15">
        <f t="shared" si="31"/>
        <v>2068.5840079466493</v>
      </c>
      <c r="M110" s="15">
        <f t="shared" si="31"/>
        <v>3224.0347005197882</v>
      </c>
      <c r="N110" s="15">
        <f t="shared" si="31"/>
        <v>2847.1432259341432</v>
      </c>
      <c r="O110" s="16">
        <f t="shared" si="31"/>
        <v>2512.2730463694065</v>
      </c>
    </row>
    <row r="111" spans="2:15" ht="14.25">
      <c r="B111" s="14" t="str">
        <f>+B108 &amp;" Irrigation Returns"</f>
        <v>Node 1.18 Irrigation Returns</v>
      </c>
      <c r="C111" s="13"/>
      <c r="D111" s="54">
        <f>VLOOKUP(($B108),'Irrigation Returns'!$B$644:$P$930,4,FALSE)</f>
        <v>0</v>
      </c>
      <c r="E111" s="54">
        <f>VLOOKUP(($B108),'Irrigation Returns'!$B$644:$P$930,5,FALSE)</f>
        <v>0</v>
      </c>
      <c r="F111" s="54">
        <f>VLOOKUP(($B108),'Irrigation Returns'!$B$644:$P$930,6,FALSE)</f>
        <v>0</v>
      </c>
      <c r="G111" s="54">
        <f>VLOOKUP(($B108),'Irrigation Returns'!$B$644:$P$930,7,FALSE)</f>
        <v>0</v>
      </c>
      <c r="H111" s="54">
        <f>VLOOKUP(($B108),'Irrigation Returns'!$B$644:$P$930,8,FALSE)</f>
        <v>293.73788268880367</v>
      </c>
      <c r="I111" s="54">
        <f>VLOOKUP(($B108),'Irrigation Returns'!$B$644:$P$930,9,FALSE)</f>
        <v>563.19516094776043</v>
      </c>
      <c r="J111" s="54">
        <f>VLOOKUP(($B108),'Irrigation Returns'!$B$644:$P$930,10,FALSE)</f>
        <v>475.20166766793727</v>
      </c>
      <c r="K111" s="54">
        <f>VLOOKUP(($B108),'Irrigation Returns'!$B$644:$P$930,11,FALSE)</f>
        <v>293.76107938282155</v>
      </c>
      <c r="L111" s="54">
        <f>VLOOKUP(($B108),'Irrigation Returns'!$B$644:$P$930,12,FALSE)</f>
        <v>160.64780297240117</v>
      </c>
      <c r="M111" s="54">
        <f>VLOOKUP(($B108),'Irrigation Returns'!$B$644:$P$930,13,FALSE)</f>
        <v>54.49473102918585</v>
      </c>
      <c r="N111" s="54">
        <f>VLOOKUP(($B108),'Irrigation Returns'!$B$644:$P$930,14,FALSE)</f>
        <v>14.367246020631455</v>
      </c>
      <c r="O111" s="110">
        <f>VLOOKUP(($B108),'Irrigation Returns'!$B$644:$P$930,15,FALSE)</f>
        <v>2.9704415286151851</v>
      </c>
    </row>
    <row r="112" spans="2:15" ht="14.25">
      <c r="B112" s="14" t="s">
        <v>328</v>
      </c>
      <c r="C112" s="13" t="s">
        <v>180</v>
      </c>
      <c r="D112" s="54">
        <f>VLOOKUP($B112,GainLoss!$B$5:$O$14,3,FALSE)</f>
        <v>0</v>
      </c>
      <c r="E112" s="54">
        <f>VLOOKUP($B112,GainLoss!$B$5:$O$14,4,FALSE)</f>
        <v>0</v>
      </c>
      <c r="F112" s="54">
        <f>VLOOKUP($B112,GainLoss!$B$5:$O$14,5,FALSE)</f>
        <v>0</v>
      </c>
      <c r="G112" s="54">
        <f>VLOOKUP($B112,GainLoss!$B$5:$O$14,6,FALSE)</f>
        <v>0</v>
      </c>
      <c r="H112" s="54">
        <f>VLOOKUP($B112,GainLoss!$B$5:$O$14,7,FALSE)</f>
        <v>0</v>
      </c>
      <c r="I112" s="54">
        <f>VLOOKUP($B112,GainLoss!$B$5:$O$14,8,FALSE)</f>
        <v>0</v>
      </c>
      <c r="J112" s="54">
        <f>VLOOKUP($B112,GainLoss!$B$5:$O$14,9,FALSE)</f>
        <v>0</v>
      </c>
      <c r="K112" s="54">
        <f>VLOOKUP($B112,GainLoss!$B$5:$O$14,10,FALSE)</f>
        <v>0</v>
      </c>
      <c r="L112" s="54">
        <f>VLOOKUP($B112,GainLoss!$B$5:$O$14,11,FALSE)</f>
        <v>0</v>
      </c>
      <c r="M112" s="54">
        <f>VLOOKUP($B112,GainLoss!$B$5:$O$14,12,FALSE)</f>
        <v>0</v>
      </c>
      <c r="N112" s="54">
        <f>VLOOKUP($B112,GainLoss!$B$5:$O$14,13,FALSE)</f>
        <v>0</v>
      </c>
      <c r="O112" s="110">
        <f>VLOOKUP($B112,GainLoss!$B$5:$O$14,14,FALSE)</f>
        <v>0</v>
      </c>
    </row>
    <row r="113" spans="2:15" ht="14.25">
      <c r="B113" s="14" t="str">
        <f>+B108 &amp;" Import/Export"</f>
        <v>Node 1.18 Import/Export</v>
      </c>
      <c r="C113" s="13"/>
      <c r="D113" s="190">
        <f>VLOOKUP($B108,ImportExport!$B$6:$O$68,3,FALSE)</f>
        <v>0</v>
      </c>
      <c r="E113" s="190">
        <f>VLOOKUP($B108,ImportExport!$B$6:$O$68,4,FALSE)</f>
        <v>0</v>
      </c>
      <c r="F113" s="190">
        <f>VLOOKUP($B108,ImportExport!$B$6:$O$68,5,FALSE)</f>
        <v>0</v>
      </c>
      <c r="G113" s="190">
        <f>VLOOKUP($B108,ImportExport!$B$6:$O$68,6,FALSE)</f>
        <v>0</v>
      </c>
      <c r="H113" s="190">
        <f>VLOOKUP($B108,ImportExport!$B$6:$O$68,7,FALSE)</f>
        <v>0</v>
      </c>
      <c r="I113" s="190">
        <f>VLOOKUP($B108,ImportExport!$B$6:$O$68,8,FALSE)</f>
        <v>0</v>
      </c>
      <c r="J113" s="190">
        <f>VLOOKUP($B108,ImportExport!$B$6:$O$68,9,FALSE)</f>
        <v>0</v>
      </c>
      <c r="K113" s="190">
        <f>VLOOKUP($B108,ImportExport!$B$6:$O$68,10,FALSE)</f>
        <v>0</v>
      </c>
      <c r="L113" s="190">
        <f>VLOOKUP($B108,ImportExport!$B$6:$O$68,11,FALSE)</f>
        <v>0</v>
      </c>
      <c r="M113" s="190">
        <f>VLOOKUP($B108,ImportExport!$B$6:$O$68,12,FALSE)</f>
        <v>0</v>
      </c>
      <c r="N113" s="190">
        <f>VLOOKUP($B108,ImportExport!$B$6:$O$68,13,FALSE)</f>
        <v>0</v>
      </c>
      <c r="O113" s="197">
        <f>VLOOKUP($B108,ImportExport!$B$6:$O$68,14,FALSE)</f>
        <v>0</v>
      </c>
    </row>
    <row r="114" spans="2:15" ht="15.75" thickBot="1">
      <c r="B114" s="18" t="str">
        <f>"Total "&amp; (B108)&amp;" Inflow"</f>
        <v>Total Node 1.18 Inflow</v>
      </c>
      <c r="C114" s="17"/>
      <c r="D114" s="25">
        <f t="shared" ref="D114:O114" si="32">SUM(D110:D113)</f>
        <v>2385.0605176118456</v>
      </c>
      <c r="E114" s="25">
        <f t="shared" si="32"/>
        <v>2733.4425891352939</v>
      </c>
      <c r="F114" s="25">
        <f t="shared" si="32"/>
        <v>7596.7841295666813</v>
      </c>
      <c r="G114" s="25">
        <f t="shared" si="32"/>
        <v>10183.269175647018</v>
      </c>
      <c r="H114" s="25">
        <f t="shared" si="32"/>
        <v>27313.070816715903</v>
      </c>
      <c r="I114" s="25">
        <f t="shared" si="32"/>
        <v>15868.329173798189</v>
      </c>
      <c r="J114" s="25">
        <f t="shared" si="32"/>
        <v>4286.4848441125559</v>
      </c>
      <c r="K114" s="25">
        <f t="shared" si="32"/>
        <v>2960.5285659607998</v>
      </c>
      <c r="L114" s="25">
        <f t="shared" si="32"/>
        <v>2229.2318109190505</v>
      </c>
      <c r="M114" s="25">
        <f t="shared" si="32"/>
        <v>3278.5294315489741</v>
      </c>
      <c r="N114" s="25">
        <f t="shared" si="32"/>
        <v>2861.5104719547744</v>
      </c>
      <c r="O114" s="26">
        <f t="shared" si="32"/>
        <v>2515.2434878980216</v>
      </c>
    </row>
    <row r="115" spans="2:15" ht="15">
      <c r="B115" s="19" t="s">
        <v>17</v>
      </c>
      <c r="C115" s="20"/>
      <c r="D115" s="282" t="str">
        <f>IF(((VLOOKUP($B108,'Diversion Data'!$B$3:$O$227,3,FALSE))-D117)&gt;0,"Short","")</f>
        <v/>
      </c>
      <c r="E115" s="282" t="str">
        <f>IF(((VLOOKUP($B108,'Diversion Data'!$B$3:$O$227,4,FALSE))-E117)&gt;0,"Short","")</f>
        <v/>
      </c>
      <c r="F115" s="282" t="str">
        <f>IF(((VLOOKUP($B108,'Diversion Data'!$B$3:$O$227,5,FALSE))-F117)&gt;0,"Short","")</f>
        <v/>
      </c>
      <c r="G115" s="282" t="str">
        <f>IF(((VLOOKUP($B108,'Diversion Data'!$B$3:$O$227,6,FALSE))-G117)&gt;0,"Short","")</f>
        <v/>
      </c>
      <c r="H115" s="282" t="str">
        <f>IF(((VLOOKUP($B108,'Diversion Data'!$B$3:$O$227,7,FALSE))-H117)&gt;0,"Short","")</f>
        <v/>
      </c>
      <c r="I115" s="282" t="str">
        <f>IF(((VLOOKUP($B108,'Diversion Data'!$B$3:$O$227,8,FALSE))-I117)&gt;0,"Short","")</f>
        <v/>
      </c>
      <c r="J115" s="282" t="str">
        <f>IF(((VLOOKUP($B108,'Diversion Data'!$B$3:$O$227,9,FALSE))-J117)&gt;0,"Short","")</f>
        <v/>
      </c>
      <c r="K115" s="282" t="str">
        <f>IF(((VLOOKUP($B108,'Diversion Data'!$B$3:$O$227,10,FALSE))-K117)&gt;0,"Short","")</f>
        <v/>
      </c>
      <c r="L115" s="282" t="str">
        <f>IF(((VLOOKUP($B108,'Diversion Data'!$B$3:$O$227,11,FALSE))-L117)&gt;0,"Short","")</f>
        <v/>
      </c>
      <c r="M115" s="282" t="str">
        <f>IF(((VLOOKUP($B108,'Diversion Data'!$B$3:$O$227,12,FALSE))-M117)&gt;0,"Short","")</f>
        <v/>
      </c>
      <c r="N115" s="282" t="str">
        <f>IF(((VLOOKUP($B108,'Diversion Data'!$B$3:$O$227,13,FALSE))-N117)&gt;0,"Short","")</f>
        <v/>
      </c>
      <c r="O115" s="283" t="str">
        <f>IF(((VLOOKUP($B108,'Diversion Data'!$B$3:$O$227,14,FALSE))-O117)&gt;0,"Short","")</f>
        <v/>
      </c>
    </row>
    <row r="116" spans="2:15" ht="14.25">
      <c r="B116" s="14" t="s">
        <v>81</v>
      </c>
      <c r="C116" s="13" t="s">
        <v>181</v>
      </c>
      <c r="D116" s="171">
        <f>VLOOKUP($B116,GainLoss!$B$19:$O$27,3,FALSE)</f>
        <v>0</v>
      </c>
      <c r="E116" s="171">
        <f>VLOOKUP($B116,GainLoss!$B$19:$O$27,4,FALSE)</f>
        <v>0</v>
      </c>
      <c r="F116" s="171">
        <f>VLOOKUP($B116,GainLoss!$B$19:$O$27,5,FALSE)</f>
        <v>0</v>
      </c>
      <c r="G116" s="171">
        <f>VLOOKUP($B116,GainLoss!$B$19:$O$27,6,FALSE)</f>
        <v>0</v>
      </c>
      <c r="H116" s="171">
        <f>VLOOKUP($B116,GainLoss!$B$19:$O$27,7,FALSE)</f>
        <v>0</v>
      </c>
      <c r="I116" s="171">
        <f>VLOOKUP($B116,GainLoss!$B$19:$O$27,8,FALSE)</f>
        <v>0</v>
      </c>
      <c r="J116" s="171">
        <f>VLOOKUP($B116,GainLoss!$B$19:$O$27,9,FALSE)</f>
        <v>0</v>
      </c>
      <c r="K116" s="171">
        <f>VLOOKUP($B116,GainLoss!$B$19:$O$27,10,FALSE)</f>
        <v>0</v>
      </c>
      <c r="L116" s="171">
        <f>VLOOKUP($B116,GainLoss!$B$19:$O$27,11,FALSE)</f>
        <v>0</v>
      </c>
      <c r="M116" s="171">
        <f>VLOOKUP($B116,GainLoss!$B$19:$O$27,12,FALSE)</f>
        <v>0</v>
      </c>
      <c r="N116" s="171">
        <f>VLOOKUP($B116,GainLoss!$B$19:$O$27,13,FALSE)</f>
        <v>0</v>
      </c>
      <c r="O116" s="198">
        <f>VLOOKUP($B116,GainLoss!$B$19:$O$27,14,FALSE)</f>
        <v>0</v>
      </c>
    </row>
    <row r="117" spans="2:15" ht="14.25">
      <c r="B117" s="14" t="str">
        <f>+B108 &amp;" Diversions"</f>
        <v>Node 1.18 Diversions</v>
      </c>
      <c r="C117" s="13"/>
      <c r="D117" s="54">
        <f>MIN(VLOOKUP($B108,'Diversion Data'!$B$3:$O$227,3,FALSE),(D114-D116))</f>
        <v>0</v>
      </c>
      <c r="E117" s="54">
        <f>MIN(VLOOKUP($B108,'Diversion Data'!$B$3:$O$227,4,FALSE),(E114-E116))</f>
        <v>0</v>
      </c>
      <c r="F117" s="54">
        <f>MIN(VLOOKUP($B108,'Diversion Data'!$B$3:$O$227,5,FALSE),(F114-F116))</f>
        <v>0</v>
      </c>
      <c r="G117" s="54">
        <f>MIN(VLOOKUP($B108,'Diversion Data'!$B$3:$O$227,6,FALSE),(G114-G116))</f>
        <v>0</v>
      </c>
      <c r="H117" s="54">
        <f>MIN(VLOOKUP($B108,'Diversion Data'!$B$3:$O$227,7,FALSE),(H114-H116))</f>
        <v>0</v>
      </c>
      <c r="I117" s="54">
        <f>MIN(VLOOKUP($B108,'Diversion Data'!$B$3:$O$227,8,FALSE),(I114-I116))</f>
        <v>0</v>
      </c>
      <c r="J117" s="54">
        <f>MIN(VLOOKUP($B108,'Diversion Data'!$B$3:$O$227,9,FALSE),(J114-J116))</f>
        <v>0</v>
      </c>
      <c r="K117" s="54">
        <f>MIN(VLOOKUP($B108,'Diversion Data'!$B$3:$O$227,10,FALSE),(K114-K116))</f>
        <v>0</v>
      </c>
      <c r="L117" s="54">
        <f>MIN(VLOOKUP($B108,'Diversion Data'!$B$3:$O$227,11,FALSE),(L114-L116))</f>
        <v>0</v>
      </c>
      <c r="M117" s="54">
        <f>MIN(VLOOKUP($B108,'Diversion Data'!$B$3:$O$227,12,FALSE),(M114-M116))</f>
        <v>0</v>
      </c>
      <c r="N117" s="54">
        <f>MIN(VLOOKUP($B108,'Diversion Data'!$B$3:$O$227,13,FALSE),(N114-N116))</f>
        <v>0</v>
      </c>
      <c r="O117" s="110">
        <f>MIN(VLOOKUP($B108,'Diversion Data'!$B$3:$O$227,14,FALSE),(O114-O116))</f>
        <v>0</v>
      </c>
    </row>
    <row r="118" spans="2:15" ht="15.75" thickBot="1">
      <c r="B118" s="24" t="str">
        <f>"Total " &amp; (B108) &amp;" Outflow"</f>
        <v>Total Node 1.18 Outflow</v>
      </c>
      <c r="C118" s="23"/>
      <c r="D118" s="27">
        <f t="shared" ref="D118:O118" si="33">SUM(D116:D117)</f>
        <v>0</v>
      </c>
      <c r="E118" s="27">
        <f t="shared" si="33"/>
        <v>0</v>
      </c>
      <c r="F118" s="27">
        <f t="shared" si="33"/>
        <v>0</v>
      </c>
      <c r="G118" s="27">
        <f t="shared" si="33"/>
        <v>0</v>
      </c>
      <c r="H118" s="27">
        <f t="shared" si="33"/>
        <v>0</v>
      </c>
      <c r="I118" s="27">
        <f t="shared" si="33"/>
        <v>0</v>
      </c>
      <c r="J118" s="27">
        <f t="shared" si="33"/>
        <v>0</v>
      </c>
      <c r="K118" s="27">
        <f t="shared" si="33"/>
        <v>0</v>
      </c>
      <c r="L118" s="27">
        <f t="shared" si="33"/>
        <v>0</v>
      </c>
      <c r="M118" s="27">
        <f t="shared" si="33"/>
        <v>0</v>
      </c>
      <c r="N118" s="27">
        <f t="shared" si="33"/>
        <v>0</v>
      </c>
      <c r="O118" s="28">
        <f t="shared" si="33"/>
        <v>0</v>
      </c>
    </row>
    <row r="119" spans="2:15" ht="15.75" thickBot="1">
      <c r="B119" s="24" t="str">
        <f>(B108)&amp;" NET Flow (In - Out)"</f>
        <v>Node 1.18 NET Flow (In - Out)</v>
      </c>
      <c r="C119" s="23"/>
      <c r="D119" s="193">
        <f t="shared" ref="D119:O119" si="34">MAX(D114-D118,0)</f>
        <v>2385.0605176118456</v>
      </c>
      <c r="E119" s="193">
        <f t="shared" si="34"/>
        <v>2733.4425891352939</v>
      </c>
      <c r="F119" s="193">
        <f t="shared" si="34"/>
        <v>7596.7841295666813</v>
      </c>
      <c r="G119" s="193">
        <f t="shared" si="34"/>
        <v>10183.269175647018</v>
      </c>
      <c r="H119" s="193">
        <f t="shared" si="34"/>
        <v>27313.070816715903</v>
      </c>
      <c r="I119" s="193">
        <f t="shared" si="34"/>
        <v>15868.329173798189</v>
      </c>
      <c r="J119" s="193">
        <f t="shared" si="34"/>
        <v>4286.4848441125559</v>
      </c>
      <c r="K119" s="193">
        <f t="shared" si="34"/>
        <v>2960.5285659607998</v>
      </c>
      <c r="L119" s="193">
        <f t="shared" si="34"/>
        <v>2229.2318109190505</v>
      </c>
      <c r="M119" s="193">
        <f t="shared" si="34"/>
        <v>3278.5294315489741</v>
      </c>
      <c r="N119" s="193">
        <f t="shared" si="34"/>
        <v>2861.5104719547744</v>
      </c>
      <c r="O119" s="200">
        <f t="shared" si="34"/>
        <v>2515.2434878980216</v>
      </c>
    </row>
    <row r="121" spans="2:15" ht="15.75" thickBot="1">
      <c r="B121" s="108" t="s">
        <v>65</v>
      </c>
      <c r="C121" s="109" t="str">
        <f>VLOOKUP(B121,NodeList!$D$4:$E$121,2,FALSE)</f>
        <v>Meyers No. 1</v>
      </c>
      <c r="D121" s="6"/>
      <c r="E121" s="6"/>
      <c r="F121" s="6"/>
      <c r="G121" s="6"/>
      <c r="H121" s="7"/>
      <c r="I121" s="7"/>
      <c r="J121" s="7"/>
      <c r="K121" s="7"/>
      <c r="L121" s="7"/>
      <c r="M121" s="7"/>
      <c r="N121" s="7"/>
      <c r="O121" s="7"/>
    </row>
    <row r="122" spans="2:15" ht="15">
      <c r="B122" s="9" t="s">
        <v>16</v>
      </c>
      <c r="C122" s="10"/>
      <c r="D122" s="11" t="s">
        <v>0</v>
      </c>
      <c r="E122" s="11" t="s">
        <v>1</v>
      </c>
      <c r="F122" s="11" t="s">
        <v>2</v>
      </c>
      <c r="G122" s="11" t="s">
        <v>3</v>
      </c>
      <c r="H122" s="11" t="s">
        <v>4</v>
      </c>
      <c r="I122" s="11" t="s">
        <v>5</v>
      </c>
      <c r="J122" s="11" t="s">
        <v>6</v>
      </c>
      <c r="K122" s="11" t="s">
        <v>7</v>
      </c>
      <c r="L122" s="11" t="s">
        <v>8</v>
      </c>
      <c r="M122" s="11" t="s">
        <v>9</v>
      </c>
      <c r="N122" s="11" t="s">
        <v>10</v>
      </c>
      <c r="O122" s="12" t="s">
        <v>11</v>
      </c>
    </row>
    <row r="123" spans="2:15" ht="14.25">
      <c r="B123" s="14" t="str">
        <f>+B121 &amp;" Node Inflow"</f>
        <v>Node 1.08 Node Inflow</v>
      </c>
      <c r="C123" s="13"/>
      <c r="D123" s="15">
        <f>+D119</f>
        <v>2385.0605176118456</v>
      </c>
      <c r="E123" s="15">
        <f t="shared" ref="E123:O123" si="35">+E119</f>
        <v>2733.4425891352939</v>
      </c>
      <c r="F123" s="15">
        <f t="shared" si="35"/>
        <v>7596.7841295666813</v>
      </c>
      <c r="G123" s="15">
        <f t="shared" si="35"/>
        <v>10183.269175647018</v>
      </c>
      <c r="H123" s="15">
        <f t="shared" si="35"/>
        <v>27313.070816715903</v>
      </c>
      <c r="I123" s="15">
        <f t="shared" si="35"/>
        <v>15868.329173798189</v>
      </c>
      <c r="J123" s="15">
        <f t="shared" si="35"/>
        <v>4286.4848441125559</v>
      </c>
      <c r="K123" s="15">
        <f t="shared" si="35"/>
        <v>2960.5285659607998</v>
      </c>
      <c r="L123" s="15">
        <f t="shared" si="35"/>
        <v>2229.2318109190505</v>
      </c>
      <c r="M123" s="15">
        <f t="shared" si="35"/>
        <v>3278.5294315489741</v>
      </c>
      <c r="N123" s="15">
        <f t="shared" si="35"/>
        <v>2861.5104719547744</v>
      </c>
      <c r="O123" s="16">
        <f t="shared" si="35"/>
        <v>2515.2434878980216</v>
      </c>
    </row>
    <row r="124" spans="2:15" ht="14.25">
      <c r="B124" s="14" t="str">
        <f>+B121 &amp;" Irrigation Returns"</f>
        <v>Node 1.08 Irrigation Returns</v>
      </c>
      <c r="C124" s="13"/>
      <c r="D124" s="54">
        <f>VLOOKUP(($B121),'Irrigation Returns'!$B$644:$P$930,4,FALSE)</f>
        <v>0</v>
      </c>
      <c r="E124" s="54">
        <f>VLOOKUP(($B121),'Irrigation Returns'!$B$644:$P$930,5,FALSE)</f>
        <v>0</v>
      </c>
      <c r="F124" s="54">
        <f>VLOOKUP(($B121),'Irrigation Returns'!$B$644:$P$930,6,FALSE)</f>
        <v>0</v>
      </c>
      <c r="G124" s="54">
        <f>VLOOKUP(($B121),'Irrigation Returns'!$B$644:$P$930,7,FALSE)</f>
        <v>0</v>
      </c>
      <c r="H124" s="54">
        <f>VLOOKUP(($B121),'Irrigation Returns'!$B$644:$P$930,8,FALSE)</f>
        <v>121.31284964635887</v>
      </c>
      <c r="I124" s="54">
        <f>VLOOKUP(($B121),'Irrigation Returns'!$B$644:$P$930,9,FALSE)</f>
        <v>322.79810446509123</v>
      </c>
      <c r="J124" s="54">
        <f>VLOOKUP(($B121),'Irrigation Returns'!$B$644:$P$930,10,FALSE)</f>
        <v>386.58491427815318</v>
      </c>
      <c r="K124" s="54">
        <f>VLOOKUP(($B121),'Irrigation Returns'!$B$644:$P$930,11,FALSE)</f>
        <v>227.89833996780061</v>
      </c>
      <c r="L124" s="54">
        <f>VLOOKUP(($B121),'Irrigation Returns'!$B$644:$P$930,12,FALSE)</f>
        <v>130.87921291820174</v>
      </c>
      <c r="M124" s="54">
        <f>VLOOKUP(($B121),'Irrigation Returns'!$B$644:$P$930,13,FALSE)</f>
        <v>32.096282193447209</v>
      </c>
      <c r="N124" s="54">
        <f>VLOOKUP(($B121),'Irrigation Returns'!$B$644:$P$930,14,FALSE)</f>
        <v>8.5655701244502076</v>
      </c>
      <c r="O124" s="110">
        <f>VLOOKUP(($B121),'Irrigation Returns'!$B$644:$P$930,15,FALSE)</f>
        <v>0</v>
      </c>
    </row>
    <row r="125" spans="2:15" ht="14.25">
      <c r="B125" s="14" t="s">
        <v>328</v>
      </c>
      <c r="C125" s="13" t="s">
        <v>180</v>
      </c>
      <c r="D125" s="54">
        <f>VLOOKUP($B125,GainLoss!$B$5:$O$14,3,FALSE)</f>
        <v>0</v>
      </c>
      <c r="E125" s="54">
        <f>VLOOKUP($B125,GainLoss!$B$5:$O$14,4,FALSE)</f>
        <v>0</v>
      </c>
      <c r="F125" s="54">
        <f>VLOOKUP($B125,GainLoss!$B$5:$O$14,5,FALSE)</f>
        <v>0</v>
      </c>
      <c r="G125" s="54">
        <f>VLOOKUP($B125,GainLoss!$B$5:$O$14,6,FALSE)</f>
        <v>0</v>
      </c>
      <c r="H125" s="54">
        <f>VLOOKUP($B125,GainLoss!$B$5:$O$14,7,FALSE)</f>
        <v>0</v>
      </c>
      <c r="I125" s="54">
        <f>VLOOKUP($B125,GainLoss!$B$5:$O$14,8,FALSE)</f>
        <v>0</v>
      </c>
      <c r="J125" s="54">
        <f>VLOOKUP($B125,GainLoss!$B$5:$O$14,9,FALSE)</f>
        <v>0</v>
      </c>
      <c r="K125" s="54">
        <f>VLOOKUP($B125,GainLoss!$B$5:$O$14,10,FALSE)</f>
        <v>0</v>
      </c>
      <c r="L125" s="54">
        <f>VLOOKUP($B125,GainLoss!$B$5:$O$14,11,FALSE)</f>
        <v>0</v>
      </c>
      <c r="M125" s="54">
        <f>VLOOKUP($B125,GainLoss!$B$5:$O$14,12,FALSE)</f>
        <v>0</v>
      </c>
      <c r="N125" s="54">
        <f>VLOOKUP($B125,GainLoss!$B$5:$O$14,13,FALSE)</f>
        <v>0</v>
      </c>
      <c r="O125" s="110">
        <f>VLOOKUP($B125,GainLoss!$B$5:$O$14,14,FALSE)</f>
        <v>0</v>
      </c>
    </row>
    <row r="126" spans="2:15" ht="14.25">
      <c r="B126" s="14" t="str">
        <f>+B121 &amp;" Import/Export"</f>
        <v>Node 1.08 Import/Export</v>
      </c>
      <c r="C126" s="13"/>
      <c r="D126" s="190">
        <f>VLOOKUP($B121,ImportExport!$B$6:$O$68,3,FALSE)</f>
        <v>0</v>
      </c>
      <c r="E126" s="190">
        <f>VLOOKUP($B121,ImportExport!$B$6:$O$68,4,FALSE)</f>
        <v>0</v>
      </c>
      <c r="F126" s="190">
        <f>VLOOKUP($B121,ImportExport!$B$6:$O$68,5,FALSE)</f>
        <v>0</v>
      </c>
      <c r="G126" s="190">
        <f>VLOOKUP($B121,ImportExport!$B$6:$O$68,6,FALSE)</f>
        <v>0</v>
      </c>
      <c r="H126" s="190">
        <f>VLOOKUP($B121,ImportExport!$B$6:$O$68,7,FALSE)</f>
        <v>0</v>
      </c>
      <c r="I126" s="190">
        <f>VLOOKUP($B121,ImportExport!$B$6:$O$68,8,FALSE)</f>
        <v>0</v>
      </c>
      <c r="J126" s="190">
        <f>VLOOKUP($B121,ImportExport!$B$6:$O$68,9,FALSE)</f>
        <v>0</v>
      </c>
      <c r="K126" s="190">
        <f>VLOOKUP($B121,ImportExport!$B$6:$O$68,10,FALSE)</f>
        <v>0</v>
      </c>
      <c r="L126" s="190">
        <f>VLOOKUP($B121,ImportExport!$B$6:$O$68,11,FALSE)</f>
        <v>0</v>
      </c>
      <c r="M126" s="190">
        <f>VLOOKUP($B121,ImportExport!$B$6:$O$68,12,FALSE)</f>
        <v>0</v>
      </c>
      <c r="N126" s="190">
        <f>VLOOKUP($B121,ImportExport!$B$6:$O$68,13,FALSE)</f>
        <v>0</v>
      </c>
      <c r="O126" s="197">
        <f>VLOOKUP($B121,ImportExport!$B$6:$O$68,14,FALSE)</f>
        <v>0</v>
      </c>
    </row>
    <row r="127" spans="2:15" ht="15.75" thickBot="1">
      <c r="B127" s="18" t="str">
        <f>"Total "&amp; (B121)&amp;" Inflow"</f>
        <v>Total Node 1.08 Inflow</v>
      </c>
      <c r="C127" s="17"/>
      <c r="D127" s="25">
        <f t="shared" ref="D127:O127" si="36">SUM(D123:D126)</f>
        <v>2385.0605176118456</v>
      </c>
      <c r="E127" s="25">
        <f t="shared" si="36"/>
        <v>2733.4425891352939</v>
      </c>
      <c r="F127" s="25">
        <f t="shared" si="36"/>
        <v>7596.7841295666813</v>
      </c>
      <c r="G127" s="25">
        <f t="shared" si="36"/>
        <v>10183.269175647018</v>
      </c>
      <c r="H127" s="25">
        <f t="shared" si="36"/>
        <v>27434.383666362261</v>
      </c>
      <c r="I127" s="25">
        <f t="shared" si="36"/>
        <v>16191.12727826328</v>
      </c>
      <c r="J127" s="25">
        <f t="shared" si="36"/>
        <v>4673.0697583907095</v>
      </c>
      <c r="K127" s="25">
        <f t="shared" si="36"/>
        <v>3188.4269059286003</v>
      </c>
      <c r="L127" s="25">
        <f t="shared" si="36"/>
        <v>2360.1110238372521</v>
      </c>
      <c r="M127" s="25">
        <f t="shared" si="36"/>
        <v>3310.6257137424213</v>
      </c>
      <c r="N127" s="25">
        <f t="shared" si="36"/>
        <v>2870.0760420792244</v>
      </c>
      <c r="O127" s="26">
        <f t="shared" si="36"/>
        <v>2515.2434878980216</v>
      </c>
    </row>
    <row r="128" spans="2:15" ht="15">
      <c r="B128" s="19" t="s">
        <v>17</v>
      </c>
      <c r="C128" s="20"/>
      <c r="D128" s="282" t="str">
        <f>IF(((VLOOKUP($B121,'Diversion Data'!$B$3:$O$227,3,FALSE))-D130)&gt;0,"Short","")</f>
        <v/>
      </c>
      <c r="E128" s="282" t="str">
        <f>IF(((VLOOKUP($B121,'Diversion Data'!$B$3:$O$227,4,FALSE))-E130)&gt;0,"Short","")</f>
        <v/>
      </c>
      <c r="F128" s="282" t="str">
        <f>IF(((VLOOKUP($B121,'Diversion Data'!$B$3:$O$227,5,FALSE))-F130)&gt;0,"Short","")</f>
        <v/>
      </c>
      <c r="G128" s="282" t="str">
        <f>IF(((VLOOKUP($B121,'Diversion Data'!$B$3:$O$227,6,FALSE))-G130)&gt;0,"Short","")</f>
        <v/>
      </c>
      <c r="H128" s="282" t="str">
        <f>IF(((VLOOKUP($B121,'Diversion Data'!$B$3:$O$227,7,FALSE))-H130)&gt;0,"Short","")</f>
        <v/>
      </c>
      <c r="I128" s="282" t="str">
        <f>IF(((VLOOKUP($B121,'Diversion Data'!$B$3:$O$227,8,FALSE))-I130)&gt;0,"Short","")</f>
        <v/>
      </c>
      <c r="J128" s="282" t="str">
        <f>IF(((VLOOKUP($B121,'Diversion Data'!$B$3:$O$227,9,FALSE))-J130)&gt;0,"Short","")</f>
        <v/>
      </c>
      <c r="K128" s="282" t="str">
        <f>IF(((VLOOKUP($B121,'Diversion Data'!$B$3:$O$227,10,FALSE))-K130)&gt;0,"Short","")</f>
        <v/>
      </c>
      <c r="L128" s="282" t="str">
        <f>IF(((VLOOKUP($B121,'Diversion Data'!$B$3:$O$227,11,FALSE))-L130)&gt;0,"Short","")</f>
        <v/>
      </c>
      <c r="M128" s="282" t="str">
        <f>IF(((VLOOKUP($B121,'Diversion Data'!$B$3:$O$227,12,FALSE))-M130)&gt;0,"Short","")</f>
        <v/>
      </c>
      <c r="N128" s="282" t="str">
        <f>IF(((VLOOKUP($B121,'Diversion Data'!$B$3:$O$227,13,FALSE))-N130)&gt;0,"Short","")</f>
        <v/>
      </c>
      <c r="O128" s="283" t="str">
        <f>IF(((VLOOKUP($B121,'Diversion Data'!$B$3:$O$227,14,FALSE))-O130)&gt;0,"Short","")</f>
        <v/>
      </c>
    </row>
    <row r="129" spans="2:15" ht="14.25">
      <c r="B129" s="14" t="s">
        <v>81</v>
      </c>
      <c r="C129" s="13" t="s">
        <v>181</v>
      </c>
      <c r="D129" s="171">
        <f>VLOOKUP($B129,GainLoss!$B$19:$O$27,3,FALSE)</f>
        <v>0</v>
      </c>
      <c r="E129" s="171">
        <f>VLOOKUP($B129,GainLoss!$B$19:$O$27,4,FALSE)</f>
        <v>0</v>
      </c>
      <c r="F129" s="171">
        <f>VLOOKUP($B129,GainLoss!$B$19:$O$27,5,FALSE)</f>
        <v>0</v>
      </c>
      <c r="G129" s="171">
        <f>VLOOKUP($B129,GainLoss!$B$19:$O$27,6,FALSE)</f>
        <v>0</v>
      </c>
      <c r="H129" s="171">
        <f>VLOOKUP($B129,GainLoss!$B$19:$O$27,7,FALSE)</f>
        <v>0</v>
      </c>
      <c r="I129" s="171">
        <f>VLOOKUP($B129,GainLoss!$B$19:$O$27,8,FALSE)</f>
        <v>0</v>
      </c>
      <c r="J129" s="171">
        <f>VLOOKUP($B129,GainLoss!$B$19:$O$27,9,FALSE)</f>
        <v>0</v>
      </c>
      <c r="K129" s="171">
        <f>VLOOKUP($B129,GainLoss!$B$19:$O$27,10,FALSE)</f>
        <v>0</v>
      </c>
      <c r="L129" s="171">
        <f>VLOOKUP($B129,GainLoss!$B$19:$O$27,11,FALSE)</f>
        <v>0</v>
      </c>
      <c r="M129" s="171">
        <f>VLOOKUP($B129,GainLoss!$B$19:$O$27,12,FALSE)</f>
        <v>0</v>
      </c>
      <c r="N129" s="171">
        <f>VLOOKUP($B129,GainLoss!$B$19:$O$27,13,FALSE)</f>
        <v>0</v>
      </c>
      <c r="O129" s="198">
        <f>VLOOKUP($B129,GainLoss!$B$19:$O$27,14,FALSE)</f>
        <v>0</v>
      </c>
    </row>
    <row r="130" spans="2:15" ht="14.25">
      <c r="B130" s="14" t="str">
        <f>+B121 &amp;" Diversions"</f>
        <v>Node 1.08 Diversions</v>
      </c>
      <c r="C130" s="13"/>
      <c r="D130" s="54">
        <f>MIN(VLOOKUP($B121,'Diversion Data'!$B$3:$O$227,3,FALSE),(D127-D129))</f>
        <v>0</v>
      </c>
      <c r="E130" s="54">
        <f>MIN(VLOOKUP($B121,'Diversion Data'!$B$3:$O$227,4,FALSE),(E127-E129))</f>
        <v>0</v>
      </c>
      <c r="F130" s="54">
        <f>MIN(VLOOKUP($B121,'Diversion Data'!$B$3:$O$227,5,FALSE),(F127-F129))</f>
        <v>0</v>
      </c>
      <c r="G130" s="54">
        <f>MIN(VLOOKUP($B121,'Diversion Data'!$B$3:$O$227,6,FALSE),(G127-G129))</f>
        <v>0</v>
      </c>
      <c r="H130" s="54">
        <f>MIN(VLOOKUP($B121,'Diversion Data'!$B$3:$O$227,7,FALSE),(H127-H129))</f>
        <v>142.0278677109504</v>
      </c>
      <c r="I130" s="54">
        <f>MIN(VLOOKUP($B121,'Diversion Data'!$B$3:$O$227,8,FALSE),(I127-I129))</f>
        <v>238.92985677727273</v>
      </c>
      <c r="J130" s="54">
        <f>MIN(VLOOKUP($B121,'Diversion Data'!$B$3:$O$227,9,FALSE),(J127-J129))</f>
        <v>273.69856300227275</v>
      </c>
      <c r="K130" s="54">
        <f>MIN(VLOOKUP($B121,'Diversion Data'!$B$3:$O$227,10,FALSE),(K127-K129))</f>
        <v>180.11688069793385</v>
      </c>
      <c r="L130" s="54">
        <f>MIN(VLOOKUP($B121,'Diversion Data'!$B$3:$O$227,11,FALSE),(L127-L129))</f>
        <v>52.911683655578514</v>
      </c>
      <c r="M130" s="54">
        <f>MIN(VLOOKUP($B121,'Diversion Data'!$B$3:$O$227,12,FALSE),(M127-M129))</f>
        <v>0</v>
      </c>
      <c r="N130" s="54">
        <f>MIN(VLOOKUP($B121,'Diversion Data'!$B$3:$O$227,13,FALSE),(N127-N129))</f>
        <v>0</v>
      </c>
      <c r="O130" s="110">
        <f>MIN(VLOOKUP($B121,'Diversion Data'!$B$3:$O$227,14,FALSE),(O127-O129))</f>
        <v>0</v>
      </c>
    </row>
    <row r="131" spans="2:15" ht="15.75" thickBot="1">
      <c r="B131" s="24" t="str">
        <f>"Total " &amp; (B121) &amp;" Outflow"</f>
        <v>Total Node 1.08 Outflow</v>
      </c>
      <c r="C131" s="23"/>
      <c r="D131" s="27">
        <f t="shared" ref="D131:O131" si="37">SUM(D129:D130)</f>
        <v>0</v>
      </c>
      <c r="E131" s="27">
        <f t="shared" si="37"/>
        <v>0</v>
      </c>
      <c r="F131" s="27">
        <f t="shared" si="37"/>
        <v>0</v>
      </c>
      <c r="G131" s="27">
        <f t="shared" si="37"/>
        <v>0</v>
      </c>
      <c r="H131" s="27">
        <f t="shared" si="37"/>
        <v>142.0278677109504</v>
      </c>
      <c r="I131" s="27">
        <f t="shared" si="37"/>
        <v>238.92985677727273</v>
      </c>
      <c r="J131" s="27">
        <f t="shared" si="37"/>
        <v>273.69856300227275</v>
      </c>
      <c r="K131" s="27">
        <f t="shared" si="37"/>
        <v>180.11688069793385</v>
      </c>
      <c r="L131" s="27">
        <f t="shared" si="37"/>
        <v>52.911683655578514</v>
      </c>
      <c r="M131" s="27">
        <f t="shared" si="37"/>
        <v>0</v>
      </c>
      <c r="N131" s="27">
        <f t="shared" si="37"/>
        <v>0</v>
      </c>
      <c r="O131" s="28">
        <f t="shared" si="37"/>
        <v>0</v>
      </c>
    </row>
    <row r="132" spans="2:15" ht="15.75" thickBot="1">
      <c r="B132" s="24" t="str">
        <f>(B121)&amp;" NET Flow (In - Out)"</f>
        <v>Node 1.08 NET Flow (In - Out)</v>
      </c>
      <c r="C132" s="23"/>
      <c r="D132" s="193">
        <f t="shared" ref="D132:O132" si="38">MAX(D127-D131,0)</f>
        <v>2385.0605176118456</v>
      </c>
      <c r="E132" s="193">
        <f t="shared" si="38"/>
        <v>2733.4425891352939</v>
      </c>
      <c r="F132" s="193">
        <f t="shared" si="38"/>
        <v>7596.7841295666813</v>
      </c>
      <c r="G132" s="193">
        <f t="shared" si="38"/>
        <v>10183.269175647018</v>
      </c>
      <c r="H132" s="193">
        <f t="shared" si="38"/>
        <v>27292.355798651311</v>
      </c>
      <c r="I132" s="193">
        <f t="shared" si="38"/>
        <v>15952.197421486007</v>
      </c>
      <c r="J132" s="193">
        <f t="shared" si="38"/>
        <v>4399.3711953884367</v>
      </c>
      <c r="K132" s="193">
        <f t="shared" si="38"/>
        <v>3008.3100252306663</v>
      </c>
      <c r="L132" s="193">
        <f t="shared" si="38"/>
        <v>2307.1993401816735</v>
      </c>
      <c r="M132" s="193">
        <f t="shared" si="38"/>
        <v>3310.6257137424213</v>
      </c>
      <c r="N132" s="193">
        <f t="shared" si="38"/>
        <v>2870.0760420792244</v>
      </c>
      <c r="O132" s="200">
        <f t="shared" si="38"/>
        <v>2515.2434878980216</v>
      </c>
    </row>
    <row r="134" spans="2:15" ht="15.75" thickBot="1">
      <c r="B134" s="108" t="s">
        <v>66</v>
      </c>
      <c r="C134" s="109" t="str">
        <f>VLOOKUP(B134,NodeList!$D$4:$E$121,2,FALSE)</f>
        <v>Meyers Irrigation</v>
      </c>
      <c r="D134" s="6"/>
      <c r="E134" s="6"/>
      <c r="F134" s="6"/>
      <c r="G134" s="6"/>
      <c r="H134" s="7"/>
      <c r="I134" s="7"/>
      <c r="J134" s="7"/>
      <c r="K134" s="7"/>
      <c r="L134" s="7"/>
      <c r="M134" s="7"/>
      <c r="N134" s="7"/>
      <c r="O134" s="7"/>
    </row>
    <row r="135" spans="2:15" ht="15">
      <c r="B135" s="9" t="s">
        <v>16</v>
      </c>
      <c r="C135" s="10"/>
      <c r="D135" s="11" t="s">
        <v>0</v>
      </c>
      <c r="E135" s="11" t="s">
        <v>1</v>
      </c>
      <c r="F135" s="11" t="s">
        <v>2</v>
      </c>
      <c r="G135" s="11" t="s">
        <v>3</v>
      </c>
      <c r="H135" s="11" t="s">
        <v>4</v>
      </c>
      <c r="I135" s="11" t="s">
        <v>5</v>
      </c>
      <c r="J135" s="11" t="s">
        <v>6</v>
      </c>
      <c r="K135" s="11" t="s">
        <v>7</v>
      </c>
      <c r="L135" s="11" t="s">
        <v>8</v>
      </c>
      <c r="M135" s="11" t="s">
        <v>9</v>
      </c>
      <c r="N135" s="11" t="s">
        <v>10</v>
      </c>
      <c r="O135" s="12" t="s">
        <v>11</v>
      </c>
    </row>
    <row r="136" spans="2:15" ht="14.25">
      <c r="B136" s="14" t="str">
        <f>+B134 &amp;" Node Inflow"</f>
        <v>Node 1.09 Node Inflow</v>
      </c>
      <c r="C136" s="13"/>
      <c r="D136" s="15">
        <f>+D132</f>
        <v>2385.0605176118456</v>
      </c>
      <c r="E136" s="15">
        <f t="shared" ref="E136:O136" si="39">+E132</f>
        <v>2733.4425891352939</v>
      </c>
      <c r="F136" s="15">
        <f t="shared" si="39"/>
        <v>7596.7841295666813</v>
      </c>
      <c r="G136" s="15">
        <f t="shared" si="39"/>
        <v>10183.269175647018</v>
      </c>
      <c r="H136" s="15">
        <f t="shared" si="39"/>
        <v>27292.355798651311</v>
      </c>
      <c r="I136" s="15">
        <f t="shared" si="39"/>
        <v>15952.197421486007</v>
      </c>
      <c r="J136" s="15">
        <f t="shared" si="39"/>
        <v>4399.3711953884367</v>
      </c>
      <c r="K136" s="15">
        <f t="shared" si="39"/>
        <v>3008.3100252306663</v>
      </c>
      <c r="L136" s="15">
        <f t="shared" si="39"/>
        <v>2307.1993401816735</v>
      </c>
      <c r="M136" s="15">
        <f t="shared" si="39"/>
        <v>3310.6257137424213</v>
      </c>
      <c r="N136" s="15">
        <f t="shared" si="39"/>
        <v>2870.0760420792244</v>
      </c>
      <c r="O136" s="16">
        <f t="shared" si="39"/>
        <v>2515.2434878980216</v>
      </c>
    </row>
    <row r="137" spans="2:15" ht="14.25">
      <c r="B137" s="14" t="str">
        <f>+B134 &amp;" Irrigation Returns"</f>
        <v>Node 1.09 Irrigation Returns</v>
      </c>
      <c r="C137" s="13"/>
      <c r="D137" s="54">
        <f>VLOOKUP(($B134),'Irrigation Returns'!$B$644:$P$930,4,FALSE)</f>
        <v>0</v>
      </c>
      <c r="E137" s="54">
        <f>VLOOKUP(($B134),'Irrigation Returns'!$B$644:$P$930,5,FALSE)</f>
        <v>0</v>
      </c>
      <c r="F137" s="54">
        <f>VLOOKUP(($B134),'Irrigation Returns'!$B$644:$P$930,6,FALSE)</f>
        <v>0</v>
      </c>
      <c r="G137" s="54">
        <f>VLOOKUP(($B134),'Irrigation Returns'!$B$644:$P$930,7,FALSE)</f>
        <v>0</v>
      </c>
      <c r="H137" s="54">
        <f>VLOOKUP(($B134),'Irrigation Returns'!$B$644:$P$930,8,FALSE)</f>
        <v>0</v>
      </c>
      <c r="I137" s="54">
        <f>VLOOKUP(($B134),'Irrigation Returns'!$B$644:$P$930,9,FALSE)</f>
        <v>0</v>
      </c>
      <c r="J137" s="54">
        <f>VLOOKUP(($B134),'Irrigation Returns'!$B$644:$P$930,10,FALSE)</f>
        <v>0</v>
      </c>
      <c r="K137" s="54">
        <f>VLOOKUP(($B134),'Irrigation Returns'!$B$644:$P$930,11,FALSE)</f>
        <v>0</v>
      </c>
      <c r="L137" s="54">
        <f>VLOOKUP(($B134),'Irrigation Returns'!$B$644:$P$930,12,FALSE)</f>
        <v>0</v>
      </c>
      <c r="M137" s="54">
        <f>VLOOKUP(($B134),'Irrigation Returns'!$B$644:$P$930,13,FALSE)</f>
        <v>0</v>
      </c>
      <c r="N137" s="54">
        <f>VLOOKUP(($B134),'Irrigation Returns'!$B$644:$P$930,14,FALSE)</f>
        <v>0</v>
      </c>
      <c r="O137" s="110">
        <f>VLOOKUP(($B134),'Irrigation Returns'!$B$644:$P$930,15,FALSE)</f>
        <v>0</v>
      </c>
    </row>
    <row r="138" spans="2:15" ht="14.25">
      <c r="B138" s="14" t="s">
        <v>328</v>
      </c>
      <c r="C138" s="13" t="s">
        <v>180</v>
      </c>
      <c r="D138" s="54">
        <f>VLOOKUP($B138,GainLoss!$B$5:$O$14,3,FALSE)</f>
        <v>0</v>
      </c>
      <c r="E138" s="54">
        <f>VLOOKUP($B138,GainLoss!$B$5:$O$14,4,FALSE)</f>
        <v>0</v>
      </c>
      <c r="F138" s="54">
        <f>VLOOKUP($B138,GainLoss!$B$5:$O$14,5,FALSE)</f>
        <v>0</v>
      </c>
      <c r="G138" s="54">
        <f>VLOOKUP($B138,GainLoss!$B$5:$O$14,6,FALSE)</f>
        <v>0</v>
      </c>
      <c r="H138" s="54">
        <f>VLOOKUP($B138,GainLoss!$B$5:$O$14,7,FALSE)</f>
        <v>0</v>
      </c>
      <c r="I138" s="54">
        <f>VLOOKUP($B138,GainLoss!$B$5:$O$14,8,FALSE)</f>
        <v>0</v>
      </c>
      <c r="J138" s="54">
        <f>VLOOKUP($B138,GainLoss!$B$5:$O$14,9,FALSE)</f>
        <v>0</v>
      </c>
      <c r="K138" s="54">
        <f>VLOOKUP($B138,GainLoss!$B$5:$O$14,10,FALSE)</f>
        <v>0</v>
      </c>
      <c r="L138" s="54">
        <f>VLOOKUP($B138,GainLoss!$B$5:$O$14,11,FALSE)</f>
        <v>0</v>
      </c>
      <c r="M138" s="54">
        <f>VLOOKUP($B138,GainLoss!$B$5:$O$14,12,FALSE)</f>
        <v>0</v>
      </c>
      <c r="N138" s="54">
        <f>VLOOKUP($B138,GainLoss!$B$5:$O$14,13,FALSE)</f>
        <v>0</v>
      </c>
      <c r="O138" s="110">
        <f>VLOOKUP($B138,GainLoss!$B$5:$O$14,14,FALSE)</f>
        <v>0</v>
      </c>
    </row>
    <row r="139" spans="2:15" ht="14.25">
      <c r="B139" s="14" t="str">
        <f>+B134 &amp;" Import/Export"</f>
        <v>Node 1.09 Import/Export</v>
      </c>
      <c r="C139" s="13"/>
      <c r="D139" s="190">
        <f>VLOOKUP($B134,ImportExport!$B$6:$O$68,3,FALSE)</f>
        <v>0</v>
      </c>
      <c r="E139" s="190">
        <f>VLOOKUP($B134,ImportExport!$B$6:$O$68,4,FALSE)</f>
        <v>0</v>
      </c>
      <c r="F139" s="190">
        <f>VLOOKUP($B134,ImportExport!$B$6:$O$68,5,FALSE)</f>
        <v>0</v>
      </c>
      <c r="G139" s="190">
        <f>VLOOKUP($B134,ImportExport!$B$6:$O$68,6,FALSE)</f>
        <v>0</v>
      </c>
      <c r="H139" s="190">
        <f>VLOOKUP($B134,ImportExport!$B$6:$O$68,7,FALSE)</f>
        <v>0</v>
      </c>
      <c r="I139" s="190">
        <f>VLOOKUP($B134,ImportExport!$B$6:$O$68,8,FALSE)</f>
        <v>0</v>
      </c>
      <c r="J139" s="190">
        <f>VLOOKUP($B134,ImportExport!$B$6:$O$68,9,FALSE)</f>
        <v>0</v>
      </c>
      <c r="K139" s="190">
        <f>VLOOKUP($B134,ImportExport!$B$6:$O$68,10,FALSE)</f>
        <v>0</v>
      </c>
      <c r="L139" s="190">
        <f>VLOOKUP($B134,ImportExport!$B$6:$O$68,11,FALSE)</f>
        <v>0</v>
      </c>
      <c r="M139" s="190">
        <f>VLOOKUP($B134,ImportExport!$B$6:$O$68,12,FALSE)</f>
        <v>0</v>
      </c>
      <c r="N139" s="190">
        <f>VLOOKUP($B134,ImportExport!$B$6:$O$68,13,FALSE)</f>
        <v>0</v>
      </c>
      <c r="O139" s="197">
        <f>VLOOKUP($B134,ImportExport!$B$6:$O$68,14,FALSE)</f>
        <v>0</v>
      </c>
    </row>
    <row r="140" spans="2:15" ht="15.75" thickBot="1">
      <c r="B140" s="18" t="str">
        <f>"Total "&amp; (B134)&amp;" Inflow"</f>
        <v>Total Node 1.09 Inflow</v>
      </c>
      <c r="C140" s="17"/>
      <c r="D140" s="25">
        <f t="shared" ref="D140:O140" si="40">SUM(D136:D139)</f>
        <v>2385.0605176118456</v>
      </c>
      <c r="E140" s="25">
        <f t="shared" si="40"/>
        <v>2733.4425891352939</v>
      </c>
      <c r="F140" s="25">
        <f t="shared" si="40"/>
        <v>7596.7841295666813</v>
      </c>
      <c r="G140" s="25">
        <f t="shared" si="40"/>
        <v>10183.269175647018</v>
      </c>
      <c r="H140" s="25">
        <f t="shared" si="40"/>
        <v>27292.355798651311</v>
      </c>
      <c r="I140" s="25">
        <f t="shared" si="40"/>
        <v>15952.197421486007</v>
      </c>
      <c r="J140" s="25">
        <f t="shared" si="40"/>
        <v>4399.3711953884367</v>
      </c>
      <c r="K140" s="25">
        <f t="shared" si="40"/>
        <v>3008.3100252306663</v>
      </c>
      <c r="L140" s="25">
        <f t="shared" si="40"/>
        <v>2307.1993401816735</v>
      </c>
      <c r="M140" s="25">
        <f t="shared" si="40"/>
        <v>3310.6257137424213</v>
      </c>
      <c r="N140" s="25">
        <f t="shared" si="40"/>
        <v>2870.0760420792244</v>
      </c>
      <c r="O140" s="26">
        <f t="shared" si="40"/>
        <v>2515.2434878980216</v>
      </c>
    </row>
    <row r="141" spans="2:15" ht="15">
      <c r="B141" s="19" t="s">
        <v>17</v>
      </c>
      <c r="C141" s="20"/>
      <c r="D141" s="282" t="str">
        <f>IF(((VLOOKUP($B134,'Diversion Data'!$B$3:$O$227,3,FALSE))-D143)&gt;0,"Short","")</f>
        <v/>
      </c>
      <c r="E141" s="282" t="str">
        <f>IF(((VLOOKUP($B134,'Diversion Data'!$B$3:$O$227,4,FALSE))-E143)&gt;0,"Short","")</f>
        <v/>
      </c>
      <c r="F141" s="282" t="str">
        <f>IF(((VLOOKUP($B134,'Diversion Data'!$B$3:$O$227,5,FALSE))-F143)&gt;0,"Short","")</f>
        <v/>
      </c>
      <c r="G141" s="282" t="str">
        <f>IF(((VLOOKUP($B134,'Diversion Data'!$B$3:$O$227,6,FALSE))-G143)&gt;0,"Short","")</f>
        <v/>
      </c>
      <c r="H141" s="282" t="str">
        <f>IF(((VLOOKUP($B134,'Diversion Data'!$B$3:$O$227,7,FALSE))-H143)&gt;0,"Short","")</f>
        <v/>
      </c>
      <c r="I141" s="282" t="str">
        <f>IF(((VLOOKUP($B134,'Diversion Data'!$B$3:$O$227,8,FALSE))-I143)&gt;0,"Short","")</f>
        <v/>
      </c>
      <c r="J141" s="282" t="str">
        <f>IF(((VLOOKUP($B134,'Diversion Data'!$B$3:$O$227,9,FALSE))-J143)&gt;0,"Short","")</f>
        <v/>
      </c>
      <c r="K141" s="282" t="str">
        <f>IF(((VLOOKUP($B134,'Diversion Data'!$B$3:$O$227,10,FALSE))-K143)&gt;0,"Short","")</f>
        <v/>
      </c>
      <c r="L141" s="282" t="str">
        <f>IF(((VLOOKUP($B134,'Diversion Data'!$B$3:$O$227,11,FALSE))-L143)&gt;0,"Short","")</f>
        <v/>
      </c>
      <c r="M141" s="282" t="str">
        <f>IF(((VLOOKUP($B134,'Diversion Data'!$B$3:$O$227,12,FALSE))-M143)&gt;0,"Short","")</f>
        <v/>
      </c>
      <c r="N141" s="282" t="str">
        <f>IF(((VLOOKUP($B134,'Diversion Data'!$B$3:$O$227,13,FALSE))-N143)&gt;0,"Short","")</f>
        <v/>
      </c>
      <c r="O141" s="283" t="str">
        <f>IF(((VLOOKUP($B134,'Diversion Data'!$B$3:$O$227,14,FALSE))-O143)&gt;0,"Short","")</f>
        <v/>
      </c>
    </row>
    <row r="142" spans="2:15" ht="14.25">
      <c r="B142" s="14" t="s">
        <v>81</v>
      </c>
      <c r="C142" s="13" t="s">
        <v>181</v>
      </c>
      <c r="D142" s="171">
        <f>VLOOKUP($B142,GainLoss!$B$19:$O$27,3,FALSE)</f>
        <v>0</v>
      </c>
      <c r="E142" s="171">
        <f>VLOOKUP($B142,GainLoss!$B$19:$O$27,4,FALSE)</f>
        <v>0</v>
      </c>
      <c r="F142" s="171">
        <f>VLOOKUP($B142,GainLoss!$B$19:$O$27,5,FALSE)</f>
        <v>0</v>
      </c>
      <c r="G142" s="171">
        <f>VLOOKUP($B142,GainLoss!$B$19:$O$27,6,FALSE)</f>
        <v>0</v>
      </c>
      <c r="H142" s="171">
        <f>VLOOKUP($B142,GainLoss!$B$19:$O$27,7,FALSE)</f>
        <v>0</v>
      </c>
      <c r="I142" s="171">
        <f>VLOOKUP($B142,GainLoss!$B$19:$O$27,8,FALSE)</f>
        <v>0</v>
      </c>
      <c r="J142" s="171">
        <f>VLOOKUP($B142,GainLoss!$B$19:$O$27,9,FALSE)</f>
        <v>0</v>
      </c>
      <c r="K142" s="171">
        <f>VLOOKUP($B142,GainLoss!$B$19:$O$27,10,FALSE)</f>
        <v>0</v>
      </c>
      <c r="L142" s="171">
        <f>VLOOKUP($B142,GainLoss!$B$19:$O$27,11,FALSE)</f>
        <v>0</v>
      </c>
      <c r="M142" s="171">
        <f>VLOOKUP($B142,GainLoss!$B$19:$O$27,12,FALSE)</f>
        <v>0</v>
      </c>
      <c r="N142" s="171">
        <f>VLOOKUP($B142,GainLoss!$B$19:$O$27,13,FALSE)</f>
        <v>0</v>
      </c>
      <c r="O142" s="198">
        <f>VLOOKUP($B142,GainLoss!$B$19:$O$27,14,FALSE)</f>
        <v>0</v>
      </c>
    </row>
    <row r="143" spans="2:15" ht="14.25">
      <c r="B143" s="14" t="str">
        <f>+B134 &amp;" Diversions"</f>
        <v>Node 1.09 Diversions</v>
      </c>
      <c r="C143" s="13"/>
      <c r="D143" s="54">
        <f>MIN(VLOOKUP($B134,'Diversion Data'!$B$3:$O$227,3,FALSE),(D140-D142))</f>
        <v>0</v>
      </c>
      <c r="E143" s="54">
        <f>MIN(VLOOKUP($B134,'Diversion Data'!$B$3:$O$227,4,FALSE),(E140-E142))</f>
        <v>0</v>
      </c>
      <c r="F143" s="54">
        <f>MIN(VLOOKUP($B134,'Diversion Data'!$B$3:$O$227,5,FALSE),(F140-F142))</f>
        <v>0</v>
      </c>
      <c r="G143" s="54">
        <f>MIN(VLOOKUP($B134,'Diversion Data'!$B$3:$O$227,6,FALSE),(G140-G142))</f>
        <v>0</v>
      </c>
      <c r="H143" s="54">
        <f>MIN(VLOOKUP($B134,'Diversion Data'!$B$3:$O$227,7,FALSE),(H140-H142))</f>
        <v>214.6277360820248</v>
      </c>
      <c r="I143" s="54">
        <f>MIN(VLOOKUP($B134,'Diversion Data'!$B$3:$O$227,8,FALSE),(I140-I142))</f>
        <v>247.11370614297519</v>
      </c>
      <c r="J143" s="54">
        <f>MIN(VLOOKUP($B134,'Diversion Data'!$B$3:$O$227,9,FALSE),(J140-J142))</f>
        <v>228.76809222252064</v>
      </c>
      <c r="K143" s="54">
        <f>MIN(VLOOKUP($B134,'Diversion Data'!$B$3:$O$227,10,FALSE),(K140-K142))</f>
        <v>112.81941612706611</v>
      </c>
      <c r="L143" s="54">
        <f>MIN(VLOOKUP($B134,'Diversion Data'!$B$3:$O$227,11,FALSE),(L140-L142))</f>
        <v>100.28145306570249</v>
      </c>
      <c r="M143" s="54">
        <f>MIN(VLOOKUP($B134,'Diversion Data'!$B$3:$O$227,12,FALSE),(M140-M142))</f>
        <v>0</v>
      </c>
      <c r="N143" s="54">
        <f>MIN(VLOOKUP($B134,'Diversion Data'!$B$3:$O$227,13,FALSE),(N140-N142))</f>
        <v>0</v>
      </c>
      <c r="O143" s="110">
        <f>MIN(VLOOKUP($B134,'Diversion Data'!$B$3:$O$227,14,FALSE),(O140-O142))</f>
        <v>0</v>
      </c>
    </row>
    <row r="144" spans="2:15" ht="15.75" thickBot="1">
      <c r="B144" s="24" t="str">
        <f>"Total " &amp; (B134) &amp;" Outflow"</f>
        <v>Total Node 1.09 Outflow</v>
      </c>
      <c r="C144" s="23"/>
      <c r="D144" s="27">
        <f t="shared" ref="D144:O144" si="41">SUM(D142:D143)</f>
        <v>0</v>
      </c>
      <c r="E144" s="27">
        <f t="shared" si="41"/>
        <v>0</v>
      </c>
      <c r="F144" s="27">
        <f t="shared" si="41"/>
        <v>0</v>
      </c>
      <c r="G144" s="27">
        <f t="shared" si="41"/>
        <v>0</v>
      </c>
      <c r="H144" s="27">
        <f t="shared" si="41"/>
        <v>214.6277360820248</v>
      </c>
      <c r="I144" s="27">
        <f t="shared" si="41"/>
        <v>247.11370614297519</v>
      </c>
      <c r="J144" s="27">
        <f t="shared" si="41"/>
        <v>228.76809222252064</v>
      </c>
      <c r="K144" s="27">
        <f t="shared" si="41"/>
        <v>112.81941612706611</v>
      </c>
      <c r="L144" s="27">
        <f t="shared" si="41"/>
        <v>100.28145306570249</v>
      </c>
      <c r="M144" s="27">
        <f t="shared" si="41"/>
        <v>0</v>
      </c>
      <c r="N144" s="27">
        <f t="shared" si="41"/>
        <v>0</v>
      </c>
      <c r="O144" s="28">
        <f t="shared" si="41"/>
        <v>0</v>
      </c>
    </row>
    <row r="145" spans="2:15" ht="15.75" thickBot="1">
      <c r="B145" s="24" t="str">
        <f>(B134)&amp;" NET Flow (In - Out)"</f>
        <v>Node 1.09 NET Flow (In - Out)</v>
      </c>
      <c r="C145" s="23"/>
      <c r="D145" s="193">
        <f t="shared" ref="D145:O145" si="42">MAX(D140-D144,0)</f>
        <v>2385.0605176118456</v>
      </c>
      <c r="E145" s="193">
        <f t="shared" si="42"/>
        <v>2733.4425891352939</v>
      </c>
      <c r="F145" s="193">
        <f t="shared" si="42"/>
        <v>7596.7841295666813</v>
      </c>
      <c r="G145" s="193">
        <f t="shared" si="42"/>
        <v>10183.269175647018</v>
      </c>
      <c r="H145" s="193">
        <f t="shared" si="42"/>
        <v>27077.728062569287</v>
      </c>
      <c r="I145" s="193">
        <f t="shared" si="42"/>
        <v>15705.083715343033</v>
      </c>
      <c r="J145" s="193">
        <f t="shared" si="42"/>
        <v>4170.6031031659159</v>
      </c>
      <c r="K145" s="193">
        <f t="shared" si="42"/>
        <v>2895.4906091036</v>
      </c>
      <c r="L145" s="193">
        <f t="shared" si="42"/>
        <v>2206.9178871159711</v>
      </c>
      <c r="M145" s="193">
        <f t="shared" si="42"/>
        <v>3310.6257137424213</v>
      </c>
      <c r="N145" s="193">
        <f t="shared" si="42"/>
        <v>2870.0760420792244</v>
      </c>
      <c r="O145" s="200">
        <f t="shared" si="42"/>
        <v>2515.2434878980216</v>
      </c>
    </row>
    <row r="147" spans="2:15" ht="15.75" thickBot="1">
      <c r="B147" s="108" t="s">
        <v>67</v>
      </c>
      <c r="C147" s="109" t="str">
        <f>VLOOKUP(B147,NodeList!$D$4:$E$121,2,FALSE)</f>
        <v>Evanston Pipeline</v>
      </c>
      <c r="D147" s="6"/>
      <c r="E147" s="6"/>
      <c r="F147" s="6"/>
      <c r="G147" s="6"/>
      <c r="H147" s="7"/>
      <c r="I147" s="7"/>
      <c r="J147" s="7"/>
      <c r="K147" s="7"/>
      <c r="L147" s="7"/>
      <c r="M147" s="7"/>
      <c r="N147" s="7"/>
      <c r="O147" s="7"/>
    </row>
    <row r="148" spans="2:15" ht="15">
      <c r="B148" s="9" t="s">
        <v>16</v>
      </c>
      <c r="C148" s="10"/>
      <c r="D148" s="11" t="s">
        <v>0</v>
      </c>
      <c r="E148" s="11" t="s">
        <v>1</v>
      </c>
      <c r="F148" s="11" t="s">
        <v>2</v>
      </c>
      <c r="G148" s="11" t="s">
        <v>3</v>
      </c>
      <c r="H148" s="11" t="s">
        <v>4</v>
      </c>
      <c r="I148" s="11" t="s">
        <v>5</v>
      </c>
      <c r="J148" s="11" t="s">
        <v>6</v>
      </c>
      <c r="K148" s="11" t="s">
        <v>7</v>
      </c>
      <c r="L148" s="11" t="s">
        <v>8</v>
      </c>
      <c r="M148" s="11" t="s">
        <v>9</v>
      </c>
      <c r="N148" s="11" t="s">
        <v>10</v>
      </c>
      <c r="O148" s="12" t="s">
        <v>11</v>
      </c>
    </row>
    <row r="149" spans="2:15" ht="14.25">
      <c r="B149" s="14" t="str">
        <f>+B147 &amp;" Node Inflow"</f>
        <v>Node 1.10 Node Inflow</v>
      </c>
      <c r="C149" s="13"/>
      <c r="D149" s="15">
        <f>+D145</f>
        <v>2385.0605176118456</v>
      </c>
      <c r="E149" s="15">
        <f t="shared" ref="E149:O149" si="43">+E145</f>
        <v>2733.4425891352939</v>
      </c>
      <c r="F149" s="15">
        <f t="shared" si="43"/>
        <v>7596.7841295666813</v>
      </c>
      <c r="G149" s="15">
        <f t="shared" si="43"/>
        <v>10183.269175647018</v>
      </c>
      <c r="H149" s="15">
        <f t="shared" si="43"/>
        <v>27077.728062569287</v>
      </c>
      <c r="I149" s="15">
        <f t="shared" si="43"/>
        <v>15705.083715343033</v>
      </c>
      <c r="J149" s="15">
        <f t="shared" si="43"/>
        <v>4170.6031031659159</v>
      </c>
      <c r="K149" s="15">
        <f t="shared" si="43"/>
        <v>2895.4906091036</v>
      </c>
      <c r="L149" s="15">
        <f t="shared" si="43"/>
        <v>2206.9178871159711</v>
      </c>
      <c r="M149" s="15">
        <f t="shared" si="43"/>
        <v>3310.6257137424213</v>
      </c>
      <c r="N149" s="15">
        <f t="shared" si="43"/>
        <v>2870.0760420792244</v>
      </c>
      <c r="O149" s="16">
        <f t="shared" si="43"/>
        <v>2515.2434878980216</v>
      </c>
    </row>
    <row r="150" spans="2:15" ht="14.25">
      <c r="B150" s="14" t="str">
        <f>+B147 &amp;" Irrigation Returns"</f>
        <v>Node 1.10 Irrigation Returns</v>
      </c>
      <c r="C150" s="13"/>
      <c r="D150" s="54">
        <f>VLOOKUP(($B147),'Irrigation Returns'!$B$644:$P$930,4,FALSE)</f>
        <v>0</v>
      </c>
      <c r="E150" s="54">
        <f>VLOOKUP(($B147),'Irrigation Returns'!$B$644:$P$930,5,FALSE)</f>
        <v>0</v>
      </c>
      <c r="F150" s="54">
        <f>VLOOKUP(($B147),'Irrigation Returns'!$B$644:$P$930,6,FALSE)</f>
        <v>0</v>
      </c>
      <c r="G150" s="54">
        <f>VLOOKUP(($B147),'Irrigation Returns'!$B$644:$P$930,7,FALSE)</f>
        <v>0</v>
      </c>
      <c r="H150" s="54">
        <f>VLOOKUP(($B147),'Irrigation Returns'!$B$644:$P$930,8,FALSE)</f>
        <v>0</v>
      </c>
      <c r="I150" s="54">
        <f>VLOOKUP(($B147),'Irrigation Returns'!$B$644:$P$930,9,FALSE)</f>
        <v>0</v>
      </c>
      <c r="J150" s="54">
        <f>VLOOKUP(($B147),'Irrigation Returns'!$B$644:$P$930,10,FALSE)</f>
        <v>0</v>
      </c>
      <c r="K150" s="54">
        <f>VLOOKUP(($B147),'Irrigation Returns'!$B$644:$P$930,11,FALSE)</f>
        <v>0</v>
      </c>
      <c r="L150" s="54">
        <f>VLOOKUP(($B147),'Irrigation Returns'!$B$644:$P$930,12,FALSE)</f>
        <v>0</v>
      </c>
      <c r="M150" s="54">
        <f>VLOOKUP(($B147),'Irrigation Returns'!$B$644:$P$930,13,FALSE)</f>
        <v>0</v>
      </c>
      <c r="N150" s="54">
        <f>VLOOKUP(($B147),'Irrigation Returns'!$B$644:$P$930,14,FALSE)</f>
        <v>0</v>
      </c>
      <c r="O150" s="110">
        <f>VLOOKUP(($B147),'Irrigation Returns'!$B$644:$P$930,15,FALSE)</f>
        <v>0</v>
      </c>
    </row>
    <row r="151" spans="2:15" ht="14.25">
      <c r="B151" s="14" t="s">
        <v>328</v>
      </c>
      <c r="C151" s="13" t="s">
        <v>180</v>
      </c>
      <c r="D151" s="54">
        <f>VLOOKUP($B151,GainLoss!$B$5:$O$14,3,FALSE)</f>
        <v>0</v>
      </c>
      <c r="E151" s="54">
        <f>VLOOKUP($B151,GainLoss!$B$5:$O$14,4,FALSE)</f>
        <v>0</v>
      </c>
      <c r="F151" s="54">
        <f>VLOOKUP($B151,GainLoss!$B$5:$O$14,5,FALSE)</f>
        <v>0</v>
      </c>
      <c r="G151" s="54">
        <f>VLOOKUP($B151,GainLoss!$B$5:$O$14,6,FALSE)</f>
        <v>0</v>
      </c>
      <c r="H151" s="54">
        <f>VLOOKUP($B151,GainLoss!$B$5:$O$14,7,FALSE)</f>
        <v>0</v>
      </c>
      <c r="I151" s="54">
        <f>VLOOKUP($B151,GainLoss!$B$5:$O$14,8,FALSE)</f>
        <v>0</v>
      </c>
      <c r="J151" s="54">
        <f>VLOOKUP($B151,GainLoss!$B$5:$O$14,9,FALSE)</f>
        <v>0</v>
      </c>
      <c r="K151" s="54">
        <f>VLOOKUP($B151,GainLoss!$B$5:$O$14,10,FALSE)</f>
        <v>0</v>
      </c>
      <c r="L151" s="54">
        <f>VLOOKUP($B151,GainLoss!$B$5:$O$14,11,FALSE)</f>
        <v>0</v>
      </c>
      <c r="M151" s="54">
        <f>VLOOKUP($B151,GainLoss!$B$5:$O$14,12,FALSE)</f>
        <v>0</v>
      </c>
      <c r="N151" s="54">
        <f>VLOOKUP($B151,GainLoss!$B$5:$O$14,13,FALSE)</f>
        <v>0</v>
      </c>
      <c r="O151" s="110">
        <f>VLOOKUP($B151,GainLoss!$B$5:$O$14,14,FALSE)</f>
        <v>0</v>
      </c>
    </row>
    <row r="152" spans="2:15" ht="14.25">
      <c r="B152" s="14" t="str">
        <f>+B147 &amp;" Import/Export"</f>
        <v>Node 1.10 Import/Export</v>
      </c>
      <c r="C152" s="13"/>
      <c r="D152" s="190">
        <f>VLOOKUP($B147,ImportExport!$B$6:$O$68,3,FALSE)</f>
        <v>0</v>
      </c>
      <c r="E152" s="190">
        <f>VLOOKUP($B147,ImportExport!$B$6:$O$68,4,FALSE)</f>
        <v>0</v>
      </c>
      <c r="F152" s="190">
        <f>VLOOKUP($B147,ImportExport!$B$6:$O$68,5,FALSE)</f>
        <v>0</v>
      </c>
      <c r="G152" s="190">
        <f>VLOOKUP($B147,ImportExport!$B$6:$O$68,6,FALSE)</f>
        <v>0</v>
      </c>
      <c r="H152" s="190">
        <f>VLOOKUP($B147,ImportExport!$B$6:$O$68,7,FALSE)</f>
        <v>0</v>
      </c>
      <c r="I152" s="190">
        <f>VLOOKUP($B147,ImportExport!$B$6:$O$68,8,FALSE)</f>
        <v>0</v>
      </c>
      <c r="J152" s="190">
        <f>VLOOKUP($B147,ImportExport!$B$6:$O$68,9,FALSE)</f>
        <v>0</v>
      </c>
      <c r="K152" s="190">
        <f>VLOOKUP($B147,ImportExport!$B$6:$O$68,10,FALSE)</f>
        <v>0</v>
      </c>
      <c r="L152" s="190">
        <f>VLOOKUP($B147,ImportExport!$B$6:$O$68,11,FALSE)</f>
        <v>0</v>
      </c>
      <c r="M152" s="190">
        <f>VLOOKUP($B147,ImportExport!$B$6:$O$68,12,FALSE)</f>
        <v>0</v>
      </c>
      <c r="N152" s="190">
        <f>VLOOKUP($B147,ImportExport!$B$6:$O$68,13,FALSE)</f>
        <v>0</v>
      </c>
      <c r="O152" s="197">
        <f>VLOOKUP($B147,ImportExport!$B$6:$O$68,14,FALSE)</f>
        <v>0</v>
      </c>
    </row>
    <row r="153" spans="2:15" ht="15.75" thickBot="1">
      <c r="B153" s="18" t="str">
        <f>"Total "&amp; (B147)&amp;" Inflow"</f>
        <v>Total Node 1.10 Inflow</v>
      </c>
      <c r="C153" s="17"/>
      <c r="D153" s="25">
        <f t="shared" ref="D153:O153" si="44">SUM(D149:D152)</f>
        <v>2385.0605176118456</v>
      </c>
      <c r="E153" s="25">
        <f t="shared" si="44"/>
        <v>2733.4425891352939</v>
      </c>
      <c r="F153" s="25">
        <f t="shared" si="44"/>
        <v>7596.7841295666813</v>
      </c>
      <c r="G153" s="25">
        <f t="shared" si="44"/>
        <v>10183.269175647018</v>
      </c>
      <c r="H153" s="25">
        <f t="shared" si="44"/>
        <v>27077.728062569287</v>
      </c>
      <c r="I153" s="25">
        <f t="shared" si="44"/>
        <v>15705.083715343033</v>
      </c>
      <c r="J153" s="25">
        <f t="shared" si="44"/>
        <v>4170.6031031659159</v>
      </c>
      <c r="K153" s="25">
        <f t="shared" si="44"/>
        <v>2895.4906091036</v>
      </c>
      <c r="L153" s="25">
        <f t="shared" si="44"/>
        <v>2206.9178871159711</v>
      </c>
      <c r="M153" s="25">
        <f t="shared" si="44"/>
        <v>3310.6257137424213</v>
      </c>
      <c r="N153" s="25">
        <f t="shared" si="44"/>
        <v>2870.0760420792244</v>
      </c>
      <c r="O153" s="26">
        <f t="shared" si="44"/>
        <v>2515.2434878980216</v>
      </c>
    </row>
    <row r="154" spans="2:15" ht="15">
      <c r="B154" s="19" t="s">
        <v>17</v>
      </c>
      <c r="C154" s="20"/>
      <c r="D154" s="282" t="str">
        <f>IF(((VLOOKUP($B147,'Diversion Data'!$B$3:$O$227,3,FALSE))-D156)&gt;0,"Short","")</f>
        <v/>
      </c>
      <c r="E154" s="282" t="str">
        <f>IF(((VLOOKUP($B147,'Diversion Data'!$B$3:$O$227,4,FALSE))-E156)&gt;0,"Short","")</f>
        <v/>
      </c>
      <c r="F154" s="282" t="str">
        <f>IF(((VLOOKUP($B147,'Diversion Data'!$B$3:$O$227,5,FALSE))-F156)&gt;0,"Short","")</f>
        <v/>
      </c>
      <c r="G154" s="282" t="str">
        <f>IF(((VLOOKUP($B147,'Diversion Data'!$B$3:$O$227,6,FALSE))-G156)&gt;0,"Short","")</f>
        <v/>
      </c>
      <c r="H154" s="282" t="str">
        <f>IF(((VLOOKUP($B147,'Diversion Data'!$B$3:$O$227,7,FALSE))-H156)&gt;0,"Short","")</f>
        <v/>
      </c>
      <c r="I154" s="282" t="str">
        <f>IF(((VLOOKUP($B147,'Diversion Data'!$B$3:$O$227,8,FALSE))-I156)&gt;0,"Short","")</f>
        <v/>
      </c>
      <c r="J154" s="282" t="str">
        <f>IF(((VLOOKUP($B147,'Diversion Data'!$B$3:$O$227,9,FALSE))-J156)&gt;0,"Short","")</f>
        <v/>
      </c>
      <c r="K154" s="282" t="str">
        <f>IF(((VLOOKUP($B147,'Diversion Data'!$B$3:$O$227,10,FALSE))-K156)&gt;0,"Short","")</f>
        <v/>
      </c>
      <c r="L154" s="282" t="str">
        <f>IF(((VLOOKUP($B147,'Diversion Data'!$B$3:$O$227,11,FALSE))-L156)&gt;0,"Short","")</f>
        <v/>
      </c>
      <c r="M154" s="282" t="str">
        <f>IF(((VLOOKUP($B147,'Diversion Data'!$B$3:$O$227,12,FALSE))-M156)&gt;0,"Short","")</f>
        <v/>
      </c>
      <c r="N154" s="282" t="str">
        <f>IF(((VLOOKUP($B147,'Diversion Data'!$B$3:$O$227,13,FALSE))-N156)&gt;0,"Short","")</f>
        <v/>
      </c>
      <c r="O154" s="283" t="str">
        <f>IF(((VLOOKUP($B147,'Diversion Data'!$B$3:$O$227,14,FALSE))-O156)&gt;0,"Short","")</f>
        <v/>
      </c>
    </row>
    <row r="155" spans="2:15" ht="14.25">
      <c r="B155" s="14" t="s">
        <v>81</v>
      </c>
      <c r="C155" s="13" t="s">
        <v>181</v>
      </c>
      <c r="D155" s="171">
        <f>VLOOKUP($B155,GainLoss!$B$19:$O$27,3,FALSE)</f>
        <v>0</v>
      </c>
      <c r="E155" s="171">
        <f>VLOOKUP($B155,GainLoss!$B$19:$O$27,4,FALSE)</f>
        <v>0</v>
      </c>
      <c r="F155" s="171">
        <f>VLOOKUP($B155,GainLoss!$B$19:$O$27,5,FALSE)</f>
        <v>0</v>
      </c>
      <c r="G155" s="171">
        <f>VLOOKUP($B155,GainLoss!$B$19:$O$27,6,FALSE)</f>
        <v>0</v>
      </c>
      <c r="H155" s="171">
        <f>VLOOKUP($B155,GainLoss!$B$19:$O$27,7,FALSE)</f>
        <v>0</v>
      </c>
      <c r="I155" s="171">
        <f>VLOOKUP($B155,GainLoss!$B$19:$O$27,8,FALSE)</f>
        <v>0</v>
      </c>
      <c r="J155" s="171">
        <f>VLOOKUP($B155,GainLoss!$B$19:$O$27,9,FALSE)</f>
        <v>0</v>
      </c>
      <c r="K155" s="171">
        <f>VLOOKUP($B155,GainLoss!$B$19:$O$27,10,FALSE)</f>
        <v>0</v>
      </c>
      <c r="L155" s="171">
        <f>VLOOKUP($B155,GainLoss!$B$19:$O$27,11,FALSE)</f>
        <v>0</v>
      </c>
      <c r="M155" s="171">
        <f>VLOOKUP($B155,GainLoss!$B$19:$O$27,12,FALSE)</f>
        <v>0</v>
      </c>
      <c r="N155" s="171">
        <f>VLOOKUP($B155,GainLoss!$B$19:$O$27,13,FALSE)</f>
        <v>0</v>
      </c>
      <c r="O155" s="198">
        <f>VLOOKUP($B155,GainLoss!$B$19:$O$27,14,FALSE)</f>
        <v>0</v>
      </c>
    </row>
    <row r="156" spans="2:15" ht="14.25">
      <c r="B156" s="14" t="str">
        <f>+B147 &amp;" Diversions"</f>
        <v>Node 1.10 Diversions</v>
      </c>
      <c r="C156" s="13"/>
      <c r="D156" s="54">
        <f>MIN(VLOOKUP($B147,'Diversion Data'!$B$3:$O$227,3,FALSE),(D153-D155))</f>
        <v>0</v>
      </c>
      <c r="E156" s="54">
        <f>MIN(VLOOKUP($B147,'Diversion Data'!$B$3:$O$227,4,FALSE),(E153-E155))</f>
        <v>0</v>
      </c>
      <c r="F156" s="54">
        <f>MIN(VLOOKUP($B147,'Diversion Data'!$B$3:$O$227,5,FALSE),(F153-F155))</f>
        <v>0</v>
      </c>
      <c r="G156" s="54">
        <f>MIN(VLOOKUP($B147,'Diversion Data'!$B$3:$O$227,6,FALSE),(G153-G155))</f>
        <v>0</v>
      </c>
      <c r="H156" s="54">
        <f>MIN(VLOOKUP($B147,'Diversion Data'!$B$3:$O$227,7,FALSE),(H153-H155))</f>
        <v>275.75893700592286</v>
      </c>
      <c r="I156" s="54">
        <f>MIN(VLOOKUP($B147,'Diversion Data'!$B$3:$O$227,8,FALSE),(I153-I155))</f>
        <v>468.8110969685261</v>
      </c>
      <c r="J156" s="54">
        <f>MIN(VLOOKUP($B147,'Diversion Data'!$B$3:$O$227,9,FALSE),(J153-J155))</f>
        <v>651.2470224885675</v>
      </c>
      <c r="K156" s="54">
        <f>MIN(VLOOKUP($B147,'Diversion Data'!$B$3:$O$227,10,FALSE),(K153-K155))</f>
        <v>556.31488941033058</v>
      </c>
      <c r="L156" s="54">
        <f>MIN(VLOOKUP($B147,'Diversion Data'!$B$3:$O$227,11,FALSE),(L153-L155))</f>
        <v>399.4480644179751</v>
      </c>
      <c r="M156" s="54">
        <f>MIN(VLOOKUP($B147,'Diversion Data'!$B$3:$O$227,12,FALSE),(M153-M155))</f>
        <v>0</v>
      </c>
      <c r="N156" s="54">
        <f>MIN(VLOOKUP($B147,'Diversion Data'!$B$3:$O$227,13,FALSE),(N153-N155))</f>
        <v>0</v>
      </c>
      <c r="O156" s="110">
        <f>MIN(VLOOKUP($B147,'Diversion Data'!$B$3:$O$227,14,FALSE),(O153-O155))</f>
        <v>0</v>
      </c>
    </row>
    <row r="157" spans="2:15" ht="15.75" thickBot="1">
      <c r="B157" s="24" t="str">
        <f>"Total " &amp; (B147) &amp;" Outflow"</f>
        <v>Total Node 1.10 Outflow</v>
      </c>
      <c r="C157" s="23"/>
      <c r="D157" s="27">
        <f t="shared" ref="D157:O157" si="45">SUM(D155:D156)</f>
        <v>0</v>
      </c>
      <c r="E157" s="27">
        <f t="shared" si="45"/>
        <v>0</v>
      </c>
      <c r="F157" s="27">
        <f t="shared" si="45"/>
        <v>0</v>
      </c>
      <c r="G157" s="27">
        <f t="shared" si="45"/>
        <v>0</v>
      </c>
      <c r="H157" s="27">
        <f t="shared" si="45"/>
        <v>275.75893700592286</v>
      </c>
      <c r="I157" s="27">
        <f t="shared" si="45"/>
        <v>468.8110969685261</v>
      </c>
      <c r="J157" s="27">
        <f t="shared" si="45"/>
        <v>651.2470224885675</v>
      </c>
      <c r="K157" s="27">
        <f t="shared" si="45"/>
        <v>556.31488941033058</v>
      </c>
      <c r="L157" s="27">
        <f t="shared" si="45"/>
        <v>399.4480644179751</v>
      </c>
      <c r="M157" s="27">
        <f t="shared" si="45"/>
        <v>0</v>
      </c>
      <c r="N157" s="27">
        <f t="shared" si="45"/>
        <v>0</v>
      </c>
      <c r="O157" s="28">
        <f t="shared" si="45"/>
        <v>0</v>
      </c>
    </row>
    <row r="158" spans="2:15" ht="15.75" thickBot="1">
      <c r="B158" s="24" t="str">
        <f>(B147)&amp;" NET Flow (In - Out)"</f>
        <v>Node 1.10 NET Flow (In - Out)</v>
      </c>
      <c r="C158" s="23"/>
      <c r="D158" s="193">
        <f t="shared" ref="D158:O158" si="46">MAX(D153-D157,0)</f>
        <v>2385.0605176118456</v>
      </c>
      <c r="E158" s="193">
        <f t="shared" si="46"/>
        <v>2733.4425891352939</v>
      </c>
      <c r="F158" s="193">
        <f t="shared" si="46"/>
        <v>7596.7841295666813</v>
      </c>
      <c r="G158" s="193">
        <f t="shared" si="46"/>
        <v>10183.269175647018</v>
      </c>
      <c r="H158" s="193">
        <f t="shared" si="46"/>
        <v>26801.969125563366</v>
      </c>
      <c r="I158" s="193">
        <f t="shared" si="46"/>
        <v>15236.272618374507</v>
      </c>
      <c r="J158" s="193">
        <f t="shared" si="46"/>
        <v>3519.3560806773485</v>
      </c>
      <c r="K158" s="193">
        <f t="shared" si="46"/>
        <v>2339.1757196932695</v>
      </c>
      <c r="L158" s="193">
        <f t="shared" si="46"/>
        <v>1807.4698226979961</v>
      </c>
      <c r="M158" s="193">
        <f t="shared" si="46"/>
        <v>3310.6257137424213</v>
      </c>
      <c r="N158" s="193">
        <f t="shared" si="46"/>
        <v>2870.0760420792244</v>
      </c>
      <c r="O158" s="200">
        <f t="shared" si="46"/>
        <v>2515.2434878980216</v>
      </c>
    </row>
    <row r="160" spans="2:15" ht="15.75" thickBot="1">
      <c r="B160" s="108" t="s">
        <v>68</v>
      </c>
      <c r="C160" s="109" t="str">
        <f>VLOOKUP(B160,NodeList!$D$4:$E$121,2,FALSE)</f>
        <v>Booth</v>
      </c>
      <c r="D160" s="6"/>
      <c r="E160" s="6"/>
      <c r="F160" s="6"/>
      <c r="G160" s="6"/>
      <c r="H160" s="7"/>
      <c r="I160" s="7"/>
      <c r="J160" s="7"/>
      <c r="K160" s="7"/>
      <c r="L160" s="7"/>
      <c r="M160" s="7"/>
      <c r="N160" s="7"/>
      <c r="O160" s="7"/>
    </row>
    <row r="161" spans="2:15" ht="15">
      <c r="B161" s="9" t="s">
        <v>16</v>
      </c>
      <c r="C161" s="10"/>
      <c r="D161" s="11" t="s">
        <v>0</v>
      </c>
      <c r="E161" s="11" t="s">
        <v>1</v>
      </c>
      <c r="F161" s="11" t="s">
        <v>2</v>
      </c>
      <c r="G161" s="11" t="s">
        <v>3</v>
      </c>
      <c r="H161" s="11" t="s">
        <v>4</v>
      </c>
      <c r="I161" s="11" t="s">
        <v>5</v>
      </c>
      <c r="J161" s="11" t="s">
        <v>6</v>
      </c>
      <c r="K161" s="11" t="s">
        <v>7</v>
      </c>
      <c r="L161" s="11" t="s">
        <v>8</v>
      </c>
      <c r="M161" s="11" t="s">
        <v>9</v>
      </c>
      <c r="N161" s="11" t="s">
        <v>10</v>
      </c>
      <c r="O161" s="12" t="s">
        <v>11</v>
      </c>
    </row>
    <row r="162" spans="2:15" ht="14.25">
      <c r="B162" s="14" t="str">
        <f>+B160 &amp;" Node Inflow"</f>
        <v>Node 1.11 Node Inflow</v>
      </c>
      <c r="C162" s="13"/>
      <c r="D162" s="15">
        <f>+D158</f>
        <v>2385.0605176118456</v>
      </c>
      <c r="E162" s="15">
        <f t="shared" ref="E162:O162" si="47">+E158</f>
        <v>2733.4425891352939</v>
      </c>
      <c r="F162" s="15">
        <f t="shared" si="47"/>
        <v>7596.7841295666813</v>
      </c>
      <c r="G162" s="15">
        <f t="shared" si="47"/>
        <v>10183.269175647018</v>
      </c>
      <c r="H162" s="15">
        <f t="shared" si="47"/>
        <v>26801.969125563366</v>
      </c>
      <c r="I162" s="15">
        <f t="shared" si="47"/>
        <v>15236.272618374507</v>
      </c>
      <c r="J162" s="15">
        <f t="shared" si="47"/>
        <v>3519.3560806773485</v>
      </c>
      <c r="K162" s="15">
        <f t="shared" si="47"/>
        <v>2339.1757196932695</v>
      </c>
      <c r="L162" s="15">
        <f t="shared" si="47"/>
        <v>1807.4698226979961</v>
      </c>
      <c r="M162" s="15">
        <f t="shared" si="47"/>
        <v>3310.6257137424213</v>
      </c>
      <c r="N162" s="15">
        <f t="shared" si="47"/>
        <v>2870.0760420792244</v>
      </c>
      <c r="O162" s="16">
        <f t="shared" si="47"/>
        <v>2515.2434878980216</v>
      </c>
    </row>
    <row r="163" spans="2:15" ht="14.25">
      <c r="B163" s="14" t="str">
        <f>+B160 &amp;" Irrigation Returns"</f>
        <v>Node 1.11 Irrigation Returns</v>
      </c>
      <c r="C163" s="13"/>
      <c r="D163" s="54">
        <f>VLOOKUP(($B160),'Irrigation Returns'!$B$644:$P$930,4,FALSE)</f>
        <v>0</v>
      </c>
      <c r="E163" s="54">
        <f>VLOOKUP(($B160),'Irrigation Returns'!$B$644:$P$930,5,FALSE)</f>
        <v>0</v>
      </c>
      <c r="F163" s="54">
        <f>VLOOKUP(($B160),'Irrigation Returns'!$B$644:$P$930,6,FALSE)</f>
        <v>0</v>
      </c>
      <c r="G163" s="54">
        <f>VLOOKUP(($B160),'Irrigation Returns'!$B$644:$P$930,7,FALSE)</f>
        <v>0</v>
      </c>
      <c r="H163" s="54">
        <f>VLOOKUP(($B160),'Irrigation Returns'!$B$644:$P$930,8,FALSE)</f>
        <v>36.288120200147823</v>
      </c>
      <c r="I163" s="54">
        <f>VLOOKUP(($B160),'Irrigation Returns'!$B$644:$P$930,9,FALSE)</f>
        <v>71.414612749492562</v>
      </c>
      <c r="J163" s="54">
        <f>VLOOKUP(($B160),'Irrigation Returns'!$B$644:$P$930,10,FALSE)</f>
        <v>92.55587956327129</v>
      </c>
      <c r="K163" s="54">
        <f>VLOOKUP(($B160),'Irrigation Returns'!$B$644:$P$930,11,FALSE)</f>
        <v>74.72079788985846</v>
      </c>
      <c r="L163" s="54">
        <f>VLOOKUP(($B160),'Irrigation Returns'!$B$644:$P$930,12,FALSE)</f>
        <v>36.657465014532434</v>
      </c>
      <c r="M163" s="54">
        <f>VLOOKUP(($B160),'Irrigation Returns'!$B$644:$P$930,13,FALSE)</f>
        <v>10.436819052331817</v>
      </c>
      <c r="N163" s="54">
        <f>VLOOKUP(($B160),'Irrigation Returns'!$B$644:$P$930,14,FALSE)</f>
        <v>1.9312764534286158</v>
      </c>
      <c r="O163" s="110">
        <f>VLOOKUP(($B160),'Irrigation Returns'!$B$644:$P$930,15,FALSE)</f>
        <v>0</v>
      </c>
    </row>
    <row r="164" spans="2:15" ht="14.25">
      <c r="B164" s="14" t="s">
        <v>328</v>
      </c>
      <c r="C164" s="13" t="s">
        <v>180</v>
      </c>
      <c r="D164" s="54">
        <f>VLOOKUP($B164,GainLoss!$B$5:$O$14,3,FALSE)</f>
        <v>0</v>
      </c>
      <c r="E164" s="54">
        <f>VLOOKUP($B164,GainLoss!$B$5:$O$14,4,FALSE)</f>
        <v>0</v>
      </c>
      <c r="F164" s="54">
        <f>VLOOKUP($B164,GainLoss!$B$5:$O$14,5,FALSE)</f>
        <v>0</v>
      </c>
      <c r="G164" s="54">
        <f>VLOOKUP($B164,GainLoss!$B$5:$O$14,6,FALSE)</f>
        <v>0</v>
      </c>
      <c r="H164" s="54">
        <f>VLOOKUP($B164,GainLoss!$B$5:$O$14,7,FALSE)</f>
        <v>0</v>
      </c>
      <c r="I164" s="54">
        <f>VLOOKUP($B164,GainLoss!$B$5:$O$14,8,FALSE)</f>
        <v>0</v>
      </c>
      <c r="J164" s="54">
        <f>VLOOKUP($B164,GainLoss!$B$5:$O$14,9,FALSE)</f>
        <v>0</v>
      </c>
      <c r="K164" s="54">
        <f>VLOOKUP($B164,GainLoss!$B$5:$O$14,10,FALSE)</f>
        <v>0</v>
      </c>
      <c r="L164" s="54">
        <f>VLOOKUP($B164,GainLoss!$B$5:$O$14,11,FALSE)</f>
        <v>0</v>
      </c>
      <c r="M164" s="54">
        <f>VLOOKUP($B164,GainLoss!$B$5:$O$14,12,FALSE)</f>
        <v>0</v>
      </c>
      <c r="N164" s="54">
        <f>VLOOKUP($B164,GainLoss!$B$5:$O$14,13,FALSE)</f>
        <v>0</v>
      </c>
      <c r="O164" s="110">
        <f>VLOOKUP($B164,GainLoss!$B$5:$O$14,14,FALSE)</f>
        <v>0</v>
      </c>
    </row>
    <row r="165" spans="2:15" ht="14.25">
      <c r="B165" s="14" t="str">
        <f>+B160 &amp;" Import/Export"</f>
        <v>Node 1.11 Import/Export</v>
      </c>
      <c r="C165" s="13"/>
      <c r="D165" s="190">
        <f>VLOOKUP($B160,ImportExport!$B$6:$O$68,3,FALSE)</f>
        <v>0</v>
      </c>
      <c r="E165" s="190">
        <f>VLOOKUP($B160,ImportExport!$B$6:$O$68,4,FALSE)</f>
        <v>0</v>
      </c>
      <c r="F165" s="190">
        <f>VLOOKUP($B160,ImportExport!$B$6:$O$68,5,FALSE)</f>
        <v>0</v>
      </c>
      <c r="G165" s="190">
        <f>VLOOKUP($B160,ImportExport!$B$6:$O$68,6,FALSE)</f>
        <v>0</v>
      </c>
      <c r="H165" s="190">
        <f>VLOOKUP($B160,ImportExport!$B$6:$O$68,7,FALSE)</f>
        <v>0</v>
      </c>
      <c r="I165" s="190">
        <f>VLOOKUP($B160,ImportExport!$B$6:$O$68,8,FALSE)</f>
        <v>0</v>
      </c>
      <c r="J165" s="190">
        <f>VLOOKUP($B160,ImportExport!$B$6:$O$68,9,FALSE)</f>
        <v>0</v>
      </c>
      <c r="K165" s="190">
        <f>VLOOKUP($B160,ImportExport!$B$6:$O$68,10,FALSE)</f>
        <v>0</v>
      </c>
      <c r="L165" s="190">
        <f>VLOOKUP($B160,ImportExport!$B$6:$O$68,11,FALSE)</f>
        <v>0</v>
      </c>
      <c r="M165" s="190">
        <f>VLOOKUP($B160,ImportExport!$B$6:$O$68,12,FALSE)</f>
        <v>0</v>
      </c>
      <c r="N165" s="190">
        <f>VLOOKUP($B160,ImportExport!$B$6:$O$68,13,FALSE)</f>
        <v>0</v>
      </c>
      <c r="O165" s="197">
        <f>VLOOKUP($B160,ImportExport!$B$6:$O$68,14,FALSE)</f>
        <v>0</v>
      </c>
    </row>
    <row r="166" spans="2:15" ht="15.75" thickBot="1">
      <c r="B166" s="18" t="str">
        <f>"Total "&amp; (B160)&amp;" Inflow"</f>
        <v>Total Node 1.11 Inflow</v>
      </c>
      <c r="C166" s="17"/>
      <c r="D166" s="25">
        <f t="shared" ref="D166:O166" si="48">SUM(D162:D165)</f>
        <v>2385.0605176118456</v>
      </c>
      <c r="E166" s="25">
        <f t="shared" si="48"/>
        <v>2733.4425891352939</v>
      </c>
      <c r="F166" s="25">
        <f t="shared" si="48"/>
        <v>7596.7841295666813</v>
      </c>
      <c r="G166" s="25">
        <f t="shared" si="48"/>
        <v>10183.269175647018</v>
      </c>
      <c r="H166" s="25">
        <f t="shared" si="48"/>
        <v>26838.257245763514</v>
      </c>
      <c r="I166" s="25">
        <f t="shared" si="48"/>
        <v>15307.687231124</v>
      </c>
      <c r="J166" s="25">
        <f t="shared" si="48"/>
        <v>3611.9119602406199</v>
      </c>
      <c r="K166" s="25">
        <f t="shared" si="48"/>
        <v>2413.8965175831281</v>
      </c>
      <c r="L166" s="25">
        <f t="shared" si="48"/>
        <v>1844.1272877125284</v>
      </c>
      <c r="M166" s="25">
        <f t="shared" si="48"/>
        <v>3321.0625327947532</v>
      </c>
      <c r="N166" s="25">
        <f t="shared" si="48"/>
        <v>2872.0073185326532</v>
      </c>
      <c r="O166" s="26">
        <f t="shared" si="48"/>
        <v>2515.2434878980216</v>
      </c>
    </row>
    <row r="167" spans="2:15" ht="15">
      <c r="B167" s="19" t="s">
        <v>17</v>
      </c>
      <c r="C167" s="20"/>
      <c r="D167" s="282" t="str">
        <f>IF(((VLOOKUP($B160,'Diversion Data'!$B$3:$O$227,3,FALSE))-D169)&gt;0,"Short","")</f>
        <v/>
      </c>
      <c r="E167" s="282" t="str">
        <f>IF(((VLOOKUP($B160,'Diversion Data'!$B$3:$O$227,4,FALSE))-E169)&gt;0,"Short","")</f>
        <v/>
      </c>
      <c r="F167" s="282" t="str">
        <f>IF(((VLOOKUP($B160,'Diversion Data'!$B$3:$O$227,5,FALSE))-F169)&gt;0,"Short","")</f>
        <v/>
      </c>
      <c r="G167" s="282" t="str">
        <f>IF(((VLOOKUP($B160,'Diversion Data'!$B$3:$O$227,6,FALSE))-G169)&gt;0,"Short","")</f>
        <v/>
      </c>
      <c r="H167" s="282" t="str">
        <f>IF(((VLOOKUP($B160,'Diversion Data'!$B$3:$O$227,7,FALSE))-H169)&gt;0,"Short","")</f>
        <v/>
      </c>
      <c r="I167" s="282" t="str">
        <f>IF(((VLOOKUP($B160,'Diversion Data'!$B$3:$O$227,8,FALSE))-I169)&gt;0,"Short","")</f>
        <v/>
      </c>
      <c r="J167" s="282" t="str">
        <f>IF(((VLOOKUP($B160,'Diversion Data'!$B$3:$O$227,9,FALSE))-J169)&gt;0,"Short","")</f>
        <v/>
      </c>
      <c r="K167" s="282" t="str">
        <f>IF(((VLOOKUP($B160,'Diversion Data'!$B$3:$O$227,10,FALSE))-K169)&gt;0,"Short","")</f>
        <v/>
      </c>
      <c r="L167" s="282" t="str">
        <f>IF(((VLOOKUP($B160,'Diversion Data'!$B$3:$O$227,11,FALSE))-L169)&gt;0,"Short","")</f>
        <v/>
      </c>
      <c r="M167" s="282" t="str">
        <f>IF(((VLOOKUP($B160,'Diversion Data'!$B$3:$O$227,12,FALSE))-M169)&gt;0,"Short","")</f>
        <v/>
      </c>
      <c r="N167" s="282" t="str">
        <f>IF(((VLOOKUP($B160,'Diversion Data'!$B$3:$O$227,13,FALSE))-N169)&gt;0,"Short","")</f>
        <v/>
      </c>
      <c r="O167" s="283" t="str">
        <f>IF(((VLOOKUP($B160,'Diversion Data'!$B$3:$O$227,14,FALSE))-O169)&gt;0,"Short","")</f>
        <v/>
      </c>
    </row>
    <row r="168" spans="2:15" ht="14.25">
      <c r="B168" s="14" t="s">
        <v>81</v>
      </c>
      <c r="C168" s="13" t="s">
        <v>181</v>
      </c>
      <c r="D168" s="171">
        <f>VLOOKUP($B168,GainLoss!$B$19:$O$27,3,FALSE)</f>
        <v>0</v>
      </c>
      <c r="E168" s="171">
        <f>VLOOKUP($B168,GainLoss!$B$19:$O$27,4,FALSE)</f>
        <v>0</v>
      </c>
      <c r="F168" s="171">
        <f>VLOOKUP($B168,GainLoss!$B$19:$O$27,5,FALSE)</f>
        <v>0</v>
      </c>
      <c r="G168" s="171">
        <f>VLOOKUP($B168,GainLoss!$B$19:$O$27,6,FALSE)</f>
        <v>0</v>
      </c>
      <c r="H168" s="171">
        <f>VLOOKUP($B168,GainLoss!$B$19:$O$27,7,FALSE)</f>
        <v>0</v>
      </c>
      <c r="I168" s="171">
        <f>VLOOKUP($B168,GainLoss!$B$19:$O$27,8,FALSE)</f>
        <v>0</v>
      </c>
      <c r="J168" s="171">
        <f>VLOOKUP($B168,GainLoss!$B$19:$O$27,9,FALSE)</f>
        <v>0</v>
      </c>
      <c r="K168" s="171">
        <f>VLOOKUP($B168,GainLoss!$B$19:$O$27,10,FALSE)</f>
        <v>0</v>
      </c>
      <c r="L168" s="171">
        <f>VLOOKUP($B168,GainLoss!$B$19:$O$27,11,FALSE)</f>
        <v>0</v>
      </c>
      <c r="M168" s="171">
        <f>VLOOKUP($B168,GainLoss!$B$19:$O$27,12,FALSE)</f>
        <v>0</v>
      </c>
      <c r="N168" s="171">
        <f>VLOOKUP($B168,GainLoss!$B$19:$O$27,13,FALSE)</f>
        <v>0</v>
      </c>
      <c r="O168" s="198">
        <f>VLOOKUP($B168,GainLoss!$B$19:$O$27,14,FALSE)</f>
        <v>0</v>
      </c>
    </row>
    <row r="169" spans="2:15" ht="14.25">
      <c r="B169" s="14" t="str">
        <f>+B160 &amp;" Diversions"</f>
        <v>Node 1.11 Diversions</v>
      </c>
      <c r="C169" s="13"/>
      <c r="D169" s="54">
        <f>MIN(VLOOKUP($B160,'Diversion Data'!$B$3:$O$227,3,FALSE),(D166-D168))</f>
        <v>0</v>
      </c>
      <c r="E169" s="54">
        <f>MIN(VLOOKUP($B160,'Diversion Data'!$B$3:$O$227,4,FALSE),(E166-E168))</f>
        <v>0</v>
      </c>
      <c r="F169" s="54">
        <f>MIN(VLOOKUP($B160,'Diversion Data'!$B$3:$O$227,5,FALSE),(F166-F168))</f>
        <v>0</v>
      </c>
      <c r="G169" s="54">
        <f>MIN(VLOOKUP($B160,'Diversion Data'!$B$3:$O$227,6,FALSE),(G166-G168))</f>
        <v>0</v>
      </c>
      <c r="H169" s="54">
        <f>MIN(VLOOKUP($B160,'Diversion Data'!$B$3:$O$227,7,FALSE),(H166-H168))</f>
        <v>404.51120453367764</v>
      </c>
      <c r="I169" s="54">
        <f>MIN(VLOOKUP($B160,'Diversion Data'!$B$3:$O$227,8,FALSE),(I166-I168))</f>
        <v>679.45942062572317</v>
      </c>
      <c r="J169" s="54">
        <f>MIN(VLOOKUP($B160,'Diversion Data'!$B$3:$O$227,9,FALSE),(J166-J168))</f>
        <v>457.62821301074382</v>
      </c>
      <c r="K169" s="54">
        <f>MIN(VLOOKUP($B160,'Diversion Data'!$B$3:$O$227,10,FALSE),(K166-K168))</f>
        <v>250.82871178037192</v>
      </c>
      <c r="L169" s="54">
        <f>MIN(VLOOKUP($B160,'Diversion Data'!$B$3:$O$227,11,FALSE),(L166-L168))</f>
        <v>202.24233285991738</v>
      </c>
      <c r="M169" s="54">
        <f>MIN(VLOOKUP($B160,'Diversion Data'!$B$3:$O$227,12,FALSE),(M166-M168))</f>
        <v>0</v>
      </c>
      <c r="N169" s="54">
        <f>MIN(VLOOKUP($B160,'Diversion Data'!$B$3:$O$227,13,FALSE),(N166-N168))</f>
        <v>0</v>
      </c>
      <c r="O169" s="110">
        <f>MIN(VLOOKUP($B160,'Diversion Data'!$B$3:$O$227,14,FALSE),(O166-O168))</f>
        <v>0</v>
      </c>
    </row>
    <row r="170" spans="2:15" ht="15.75" thickBot="1">
      <c r="B170" s="24" t="str">
        <f>"Total " &amp; (B160) &amp;" Outflow"</f>
        <v>Total Node 1.11 Outflow</v>
      </c>
      <c r="C170" s="23"/>
      <c r="D170" s="27">
        <f t="shared" ref="D170:O170" si="49">SUM(D168:D169)</f>
        <v>0</v>
      </c>
      <c r="E170" s="27">
        <f t="shared" si="49"/>
        <v>0</v>
      </c>
      <c r="F170" s="27">
        <f t="shared" si="49"/>
        <v>0</v>
      </c>
      <c r="G170" s="27">
        <f t="shared" si="49"/>
        <v>0</v>
      </c>
      <c r="H170" s="27">
        <f t="shared" si="49"/>
        <v>404.51120453367764</v>
      </c>
      <c r="I170" s="27">
        <f t="shared" si="49"/>
        <v>679.45942062572317</v>
      </c>
      <c r="J170" s="27">
        <f t="shared" si="49"/>
        <v>457.62821301074382</v>
      </c>
      <c r="K170" s="27">
        <f t="shared" si="49"/>
        <v>250.82871178037192</v>
      </c>
      <c r="L170" s="27">
        <f t="shared" si="49"/>
        <v>202.24233285991738</v>
      </c>
      <c r="M170" s="27">
        <f t="shared" si="49"/>
        <v>0</v>
      </c>
      <c r="N170" s="27">
        <f t="shared" si="49"/>
        <v>0</v>
      </c>
      <c r="O170" s="28">
        <f t="shared" si="49"/>
        <v>0</v>
      </c>
    </row>
    <row r="171" spans="2:15" ht="15.75" thickBot="1">
      <c r="B171" s="24" t="str">
        <f>(B160)&amp;" NET Flow (In - Out)"</f>
        <v>Node 1.11 NET Flow (In - Out)</v>
      </c>
      <c r="C171" s="23"/>
      <c r="D171" s="193">
        <f t="shared" ref="D171:O171" si="50">MAX(D166-D170,0)</f>
        <v>2385.0605176118456</v>
      </c>
      <c r="E171" s="193">
        <f t="shared" si="50"/>
        <v>2733.4425891352939</v>
      </c>
      <c r="F171" s="193">
        <f t="shared" si="50"/>
        <v>7596.7841295666813</v>
      </c>
      <c r="G171" s="193">
        <f t="shared" si="50"/>
        <v>10183.269175647018</v>
      </c>
      <c r="H171" s="193">
        <f t="shared" si="50"/>
        <v>26433.746041229835</v>
      </c>
      <c r="I171" s="193">
        <f t="shared" si="50"/>
        <v>14628.227810498278</v>
      </c>
      <c r="J171" s="193">
        <f t="shared" si="50"/>
        <v>3154.2837472298761</v>
      </c>
      <c r="K171" s="193">
        <f t="shared" si="50"/>
        <v>2163.0678058027561</v>
      </c>
      <c r="L171" s="193">
        <f t="shared" si="50"/>
        <v>1641.8849548526109</v>
      </c>
      <c r="M171" s="193">
        <f t="shared" si="50"/>
        <v>3321.0625327947532</v>
      </c>
      <c r="N171" s="193">
        <f t="shared" si="50"/>
        <v>2872.0073185326532</v>
      </c>
      <c r="O171" s="200">
        <f t="shared" si="50"/>
        <v>2515.2434878980216</v>
      </c>
    </row>
    <row r="173" spans="2:15" ht="15.75" thickBot="1">
      <c r="B173" s="108" t="s">
        <v>69</v>
      </c>
      <c r="C173" s="109" t="str">
        <f>VLOOKUP(B173,NodeList!$D$4:$E$121,2,FALSE)</f>
        <v>Anel</v>
      </c>
      <c r="D173" s="6"/>
      <c r="E173" s="6"/>
      <c r="F173" s="6"/>
      <c r="G173" s="6"/>
      <c r="H173" s="7"/>
      <c r="I173" s="7"/>
      <c r="J173" s="7"/>
      <c r="K173" s="7"/>
      <c r="L173" s="7"/>
      <c r="M173" s="7"/>
      <c r="N173" s="7"/>
      <c r="O173" s="7"/>
    </row>
    <row r="174" spans="2:15" ht="15">
      <c r="B174" s="9" t="s">
        <v>16</v>
      </c>
      <c r="C174" s="10"/>
      <c r="D174" s="11" t="s">
        <v>0</v>
      </c>
      <c r="E174" s="11" t="s">
        <v>1</v>
      </c>
      <c r="F174" s="11" t="s">
        <v>2</v>
      </c>
      <c r="G174" s="11" t="s">
        <v>3</v>
      </c>
      <c r="H174" s="11" t="s">
        <v>4</v>
      </c>
      <c r="I174" s="11" t="s">
        <v>5</v>
      </c>
      <c r="J174" s="11" t="s">
        <v>6</v>
      </c>
      <c r="K174" s="11" t="s">
        <v>7</v>
      </c>
      <c r="L174" s="11" t="s">
        <v>8</v>
      </c>
      <c r="M174" s="11" t="s">
        <v>9</v>
      </c>
      <c r="N174" s="11" t="s">
        <v>10</v>
      </c>
      <c r="O174" s="12" t="s">
        <v>11</v>
      </c>
    </row>
    <row r="175" spans="2:15" ht="14.25">
      <c r="B175" s="14" t="str">
        <f>+B173 &amp;" Node Inflow"</f>
        <v>Node 1.12 Node Inflow</v>
      </c>
      <c r="C175" s="13"/>
      <c r="D175" s="15">
        <f>+D171</f>
        <v>2385.0605176118456</v>
      </c>
      <c r="E175" s="15">
        <f t="shared" ref="E175:O175" si="51">+E171</f>
        <v>2733.4425891352939</v>
      </c>
      <c r="F175" s="15">
        <f t="shared" si="51"/>
        <v>7596.7841295666813</v>
      </c>
      <c r="G175" s="15">
        <f t="shared" si="51"/>
        <v>10183.269175647018</v>
      </c>
      <c r="H175" s="15">
        <f t="shared" si="51"/>
        <v>26433.746041229835</v>
      </c>
      <c r="I175" s="15">
        <f t="shared" si="51"/>
        <v>14628.227810498278</v>
      </c>
      <c r="J175" s="15">
        <f t="shared" si="51"/>
        <v>3154.2837472298761</v>
      </c>
      <c r="K175" s="15">
        <f t="shared" si="51"/>
        <v>2163.0678058027561</v>
      </c>
      <c r="L175" s="15">
        <f t="shared" si="51"/>
        <v>1641.8849548526109</v>
      </c>
      <c r="M175" s="15">
        <f t="shared" si="51"/>
        <v>3321.0625327947532</v>
      </c>
      <c r="N175" s="15">
        <f t="shared" si="51"/>
        <v>2872.0073185326532</v>
      </c>
      <c r="O175" s="16">
        <f t="shared" si="51"/>
        <v>2515.2434878980216</v>
      </c>
    </row>
    <row r="176" spans="2:15" ht="14.25">
      <c r="B176" s="14" t="str">
        <f>+B173 &amp;" Irrigation Returns"</f>
        <v>Node 1.12 Irrigation Returns</v>
      </c>
      <c r="C176" s="13"/>
      <c r="D176" s="54">
        <f>VLOOKUP(($B173),'Irrigation Returns'!$B$644:$P$930,4,FALSE)</f>
        <v>0</v>
      </c>
      <c r="E176" s="54">
        <f>VLOOKUP(($B173),'Irrigation Returns'!$B$644:$P$930,5,FALSE)</f>
        <v>0</v>
      </c>
      <c r="F176" s="54">
        <f>VLOOKUP(($B173),'Irrigation Returns'!$B$644:$P$930,6,FALSE)</f>
        <v>0</v>
      </c>
      <c r="G176" s="54">
        <f>VLOOKUP(($B173),'Irrigation Returns'!$B$644:$P$930,7,FALSE)</f>
        <v>0</v>
      </c>
      <c r="H176" s="54">
        <f>VLOOKUP(($B173),'Irrigation Returns'!$B$644:$P$930,8,FALSE)</f>
        <v>105.16759068019213</v>
      </c>
      <c r="I176" s="54">
        <f>VLOOKUP(($B173),'Irrigation Returns'!$B$644:$P$930,9,FALSE)</f>
        <v>151.1335990615413</v>
      </c>
      <c r="J176" s="54">
        <f>VLOOKUP(($B173),'Irrigation Returns'!$B$644:$P$930,10,FALSE)</f>
        <v>161.71622557479338</v>
      </c>
      <c r="K176" s="54">
        <f>VLOOKUP(($B173),'Irrigation Returns'!$B$644:$P$930,11,FALSE)</f>
        <v>104.60700624342354</v>
      </c>
      <c r="L176" s="54">
        <f>VLOOKUP(($B173),'Irrigation Returns'!$B$644:$P$930,12,FALSE)</f>
        <v>80.946396715559914</v>
      </c>
      <c r="M176" s="54">
        <f>VLOOKUP(($B173),'Irrigation Returns'!$B$644:$P$930,13,FALSE)</f>
        <v>21.936762558092976</v>
      </c>
      <c r="N176" s="54">
        <f>VLOOKUP(($B173),'Irrigation Returns'!$B$644:$P$930,14,FALSE)</f>
        <v>7.019701714599174</v>
      </c>
      <c r="O176" s="110">
        <f>VLOOKUP(($B173),'Irrigation Returns'!$B$644:$P$930,15,FALSE)</f>
        <v>0</v>
      </c>
    </row>
    <row r="177" spans="2:15" ht="14.25">
      <c r="B177" s="14" t="s">
        <v>328</v>
      </c>
      <c r="C177" s="13" t="s">
        <v>180</v>
      </c>
      <c r="D177" s="54">
        <f>VLOOKUP($B177,GainLoss!$B$5:$O$14,3,FALSE)</f>
        <v>0</v>
      </c>
      <c r="E177" s="54">
        <f>VLOOKUP($B177,GainLoss!$B$5:$O$14,4,FALSE)</f>
        <v>0</v>
      </c>
      <c r="F177" s="54">
        <f>VLOOKUP($B177,GainLoss!$B$5:$O$14,5,FALSE)</f>
        <v>0</v>
      </c>
      <c r="G177" s="54">
        <f>VLOOKUP($B177,GainLoss!$B$5:$O$14,6,FALSE)</f>
        <v>0</v>
      </c>
      <c r="H177" s="54">
        <f>VLOOKUP($B177,GainLoss!$B$5:$O$14,7,FALSE)</f>
        <v>0</v>
      </c>
      <c r="I177" s="54">
        <f>VLOOKUP($B177,GainLoss!$B$5:$O$14,8,FALSE)</f>
        <v>0</v>
      </c>
      <c r="J177" s="54">
        <f>VLOOKUP($B177,GainLoss!$B$5:$O$14,9,FALSE)</f>
        <v>0</v>
      </c>
      <c r="K177" s="54">
        <f>VLOOKUP($B177,GainLoss!$B$5:$O$14,10,FALSE)</f>
        <v>0</v>
      </c>
      <c r="L177" s="54">
        <f>VLOOKUP($B177,GainLoss!$B$5:$O$14,11,FALSE)</f>
        <v>0</v>
      </c>
      <c r="M177" s="54">
        <f>VLOOKUP($B177,GainLoss!$B$5:$O$14,12,FALSE)</f>
        <v>0</v>
      </c>
      <c r="N177" s="54">
        <f>VLOOKUP($B177,GainLoss!$B$5:$O$14,13,FALSE)</f>
        <v>0</v>
      </c>
      <c r="O177" s="110">
        <f>VLOOKUP($B177,GainLoss!$B$5:$O$14,14,FALSE)</f>
        <v>0</v>
      </c>
    </row>
    <row r="178" spans="2:15" ht="14.25">
      <c r="B178" s="14" t="str">
        <f>+B173 &amp;" Import/Export"</f>
        <v>Node 1.12 Import/Export</v>
      </c>
      <c r="C178" s="13"/>
      <c r="D178" s="190">
        <f>VLOOKUP($B173,ImportExport!$B$6:$O$68,3,FALSE)</f>
        <v>0</v>
      </c>
      <c r="E178" s="190">
        <f>VLOOKUP($B173,ImportExport!$B$6:$O$68,4,FALSE)</f>
        <v>0</v>
      </c>
      <c r="F178" s="190">
        <f>VLOOKUP($B173,ImportExport!$B$6:$O$68,5,FALSE)</f>
        <v>0</v>
      </c>
      <c r="G178" s="190">
        <f>VLOOKUP($B173,ImportExport!$B$6:$O$68,6,FALSE)</f>
        <v>0</v>
      </c>
      <c r="H178" s="190">
        <f>VLOOKUP($B173,ImportExport!$B$6:$O$68,7,FALSE)</f>
        <v>0</v>
      </c>
      <c r="I178" s="190">
        <f>VLOOKUP($B173,ImportExport!$B$6:$O$68,8,FALSE)</f>
        <v>0</v>
      </c>
      <c r="J178" s="190">
        <f>VLOOKUP($B173,ImportExport!$B$6:$O$68,9,FALSE)</f>
        <v>0</v>
      </c>
      <c r="K178" s="190">
        <f>VLOOKUP($B173,ImportExport!$B$6:$O$68,10,FALSE)</f>
        <v>0</v>
      </c>
      <c r="L178" s="190">
        <f>VLOOKUP($B173,ImportExport!$B$6:$O$68,11,FALSE)</f>
        <v>0</v>
      </c>
      <c r="M178" s="190">
        <f>VLOOKUP($B173,ImportExport!$B$6:$O$68,12,FALSE)</f>
        <v>0</v>
      </c>
      <c r="N178" s="190">
        <f>VLOOKUP($B173,ImportExport!$B$6:$O$68,13,FALSE)</f>
        <v>0</v>
      </c>
      <c r="O178" s="197">
        <f>VLOOKUP($B173,ImportExport!$B$6:$O$68,14,FALSE)</f>
        <v>0</v>
      </c>
    </row>
    <row r="179" spans="2:15" ht="15.75" thickBot="1">
      <c r="B179" s="18" t="str">
        <f>"Total "&amp; (B173)&amp;" Inflow"</f>
        <v>Total Node 1.12 Inflow</v>
      </c>
      <c r="C179" s="17"/>
      <c r="D179" s="25">
        <f t="shared" ref="D179:O179" si="52">SUM(D175:D178)</f>
        <v>2385.0605176118456</v>
      </c>
      <c r="E179" s="25">
        <f t="shared" si="52"/>
        <v>2733.4425891352939</v>
      </c>
      <c r="F179" s="25">
        <f t="shared" si="52"/>
        <v>7596.7841295666813</v>
      </c>
      <c r="G179" s="25">
        <f t="shared" si="52"/>
        <v>10183.269175647018</v>
      </c>
      <c r="H179" s="25">
        <f t="shared" si="52"/>
        <v>26538.913631910029</v>
      </c>
      <c r="I179" s="25">
        <f t="shared" si="52"/>
        <v>14779.361409559819</v>
      </c>
      <c r="J179" s="25">
        <f t="shared" si="52"/>
        <v>3315.9999728046696</v>
      </c>
      <c r="K179" s="25">
        <f t="shared" si="52"/>
        <v>2267.6748120461798</v>
      </c>
      <c r="L179" s="25">
        <f t="shared" si="52"/>
        <v>1722.8313515681709</v>
      </c>
      <c r="M179" s="25">
        <f t="shared" si="52"/>
        <v>3342.9992953528463</v>
      </c>
      <c r="N179" s="25">
        <f t="shared" si="52"/>
        <v>2879.0270202472525</v>
      </c>
      <c r="O179" s="26">
        <f t="shared" si="52"/>
        <v>2515.2434878980216</v>
      </c>
    </row>
    <row r="180" spans="2:15" ht="15">
      <c r="B180" s="19" t="s">
        <v>17</v>
      </c>
      <c r="C180" s="20"/>
      <c r="D180" s="282" t="str">
        <f>IF(((VLOOKUP($B173,'Diversion Data'!$B$3:$O$227,3,FALSE))-D182)&gt;0,"Short","")</f>
        <v/>
      </c>
      <c r="E180" s="282" t="str">
        <f>IF(((VLOOKUP($B173,'Diversion Data'!$B$3:$O$227,4,FALSE))-E182)&gt;0,"Short","")</f>
        <v/>
      </c>
      <c r="F180" s="282" t="str">
        <f>IF(((VLOOKUP($B173,'Diversion Data'!$B$3:$O$227,5,FALSE))-F182)&gt;0,"Short","")</f>
        <v/>
      </c>
      <c r="G180" s="282" t="str">
        <f>IF(((VLOOKUP($B173,'Diversion Data'!$B$3:$O$227,6,FALSE))-G182)&gt;0,"Short","")</f>
        <v/>
      </c>
      <c r="H180" s="282" t="str">
        <f>IF(((VLOOKUP($B173,'Diversion Data'!$B$3:$O$227,7,FALSE))-H182)&gt;0,"Short","")</f>
        <v/>
      </c>
      <c r="I180" s="282" t="str">
        <f>IF(((VLOOKUP($B173,'Diversion Data'!$B$3:$O$227,8,FALSE))-I182)&gt;0,"Short","")</f>
        <v/>
      </c>
      <c r="J180" s="282" t="str">
        <f>IF(((VLOOKUP($B173,'Diversion Data'!$B$3:$O$227,9,FALSE))-J182)&gt;0,"Short","")</f>
        <v/>
      </c>
      <c r="K180" s="282" t="str">
        <f>IF(((VLOOKUP($B173,'Diversion Data'!$B$3:$O$227,10,FALSE))-K182)&gt;0,"Short","")</f>
        <v/>
      </c>
      <c r="L180" s="282" t="str">
        <f>IF(((VLOOKUP($B173,'Diversion Data'!$B$3:$O$227,11,FALSE))-L182)&gt;0,"Short","")</f>
        <v/>
      </c>
      <c r="M180" s="282" t="str">
        <f>IF(((VLOOKUP($B173,'Diversion Data'!$B$3:$O$227,12,FALSE))-M182)&gt;0,"Short","")</f>
        <v/>
      </c>
      <c r="N180" s="282" t="str">
        <f>IF(((VLOOKUP($B173,'Diversion Data'!$B$3:$O$227,13,FALSE))-N182)&gt;0,"Short","")</f>
        <v/>
      </c>
      <c r="O180" s="283" t="str">
        <f>IF(((VLOOKUP($B173,'Diversion Data'!$B$3:$O$227,14,FALSE))-O182)&gt;0,"Short","")</f>
        <v/>
      </c>
    </row>
    <row r="181" spans="2:15" ht="14.25">
      <c r="B181" s="14" t="s">
        <v>81</v>
      </c>
      <c r="C181" s="13" t="s">
        <v>181</v>
      </c>
      <c r="D181" s="171">
        <f>VLOOKUP($B181,GainLoss!$B$19:$O$27,3,FALSE)</f>
        <v>0</v>
      </c>
      <c r="E181" s="171">
        <f>VLOOKUP($B181,GainLoss!$B$19:$O$27,4,FALSE)</f>
        <v>0</v>
      </c>
      <c r="F181" s="171">
        <f>VLOOKUP($B181,GainLoss!$B$19:$O$27,5,FALSE)</f>
        <v>0</v>
      </c>
      <c r="G181" s="171">
        <f>VLOOKUP($B181,GainLoss!$B$19:$O$27,6,FALSE)</f>
        <v>0</v>
      </c>
      <c r="H181" s="171">
        <f>VLOOKUP($B181,GainLoss!$B$19:$O$27,7,FALSE)</f>
        <v>0</v>
      </c>
      <c r="I181" s="171">
        <f>VLOOKUP($B181,GainLoss!$B$19:$O$27,8,FALSE)</f>
        <v>0</v>
      </c>
      <c r="J181" s="171">
        <f>VLOOKUP($B181,GainLoss!$B$19:$O$27,9,FALSE)</f>
        <v>0</v>
      </c>
      <c r="K181" s="171">
        <f>VLOOKUP($B181,GainLoss!$B$19:$O$27,10,FALSE)</f>
        <v>0</v>
      </c>
      <c r="L181" s="171">
        <f>VLOOKUP($B181,GainLoss!$B$19:$O$27,11,FALSE)</f>
        <v>0</v>
      </c>
      <c r="M181" s="171">
        <f>VLOOKUP($B181,GainLoss!$B$19:$O$27,12,FALSE)</f>
        <v>0</v>
      </c>
      <c r="N181" s="171">
        <f>VLOOKUP($B181,GainLoss!$B$19:$O$27,13,FALSE)</f>
        <v>0</v>
      </c>
      <c r="O181" s="198">
        <f>VLOOKUP($B181,GainLoss!$B$19:$O$27,14,FALSE)</f>
        <v>0</v>
      </c>
    </row>
    <row r="182" spans="2:15" ht="14.25">
      <c r="B182" s="14" t="str">
        <f>+B173 &amp;" Diversions"</f>
        <v>Node 1.12 Diversions</v>
      </c>
      <c r="C182" s="13"/>
      <c r="D182" s="54">
        <f>MIN(VLOOKUP($B173,'Diversion Data'!$B$3:$O$227,3,FALSE),(D179-D181))</f>
        <v>0</v>
      </c>
      <c r="E182" s="54">
        <f>MIN(VLOOKUP($B173,'Diversion Data'!$B$3:$O$227,4,FALSE),(E179-E181))</f>
        <v>0</v>
      </c>
      <c r="F182" s="54">
        <f>MIN(VLOOKUP($B173,'Diversion Data'!$B$3:$O$227,5,FALSE),(F179-F181))</f>
        <v>0</v>
      </c>
      <c r="G182" s="54">
        <f>MIN(VLOOKUP($B173,'Diversion Data'!$B$3:$O$227,6,FALSE),(G179-G181))</f>
        <v>0</v>
      </c>
      <c r="H182" s="54">
        <f>MIN(VLOOKUP($B173,'Diversion Data'!$B$3:$O$227,7,FALSE),(H179-H181))</f>
        <v>211.33139231270664</v>
      </c>
      <c r="I182" s="54">
        <f>MIN(VLOOKUP($B173,'Diversion Data'!$B$3:$O$227,8,FALSE),(I179-I181))</f>
        <v>346.46868143150829</v>
      </c>
      <c r="J182" s="54">
        <f>MIN(VLOOKUP($B173,'Diversion Data'!$B$3:$O$227,9,FALSE),(J179-J181))</f>
        <v>196.28271956859504</v>
      </c>
      <c r="K182" s="54">
        <f>MIN(VLOOKUP($B173,'Diversion Data'!$B$3:$O$227,10,FALSE),(K179-K181))</f>
        <v>31.785912544214877</v>
      </c>
      <c r="L182" s="54">
        <f>MIN(VLOOKUP($B173,'Diversion Data'!$B$3:$O$227,11,FALSE),(L179-L181))</f>
        <v>17.479786898243805</v>
      </c>
      <c r="M182" s="54">
        <f>MIN(VLOOKUP($B173,'Diversion Data'!$B$3:$O$227,12,FALSE),(M179-M181))</f>
        <v>0</v>
      </c>
      <c r="N182" s="54">
        <f>MIN(VLOOKUP($B173,'Diversion Data'!$B$3:$O$227,13,FALSE),(N179-N181))</f>
        <v>0</v>
      </c>
      <c r="O182" s="110">
        <f>MIN(VLOOKUP($B173,'Diversion Data'!$B$3:$O$227,14,FALSE),(O179-O181))</f>
        <v>0</v>
      </c>
    </row>
    <row r="183" spans="2:15" ht="15.75" thickBot="1">
      <c r="B183" s="24" t="str">
        <f>"Total " &amp; (B173) &amp;" Outflow"</f>
        <v>Total Node 1.12 Outflow</v>
      </c>
      <c r="C183" s="23"/>
      <c r="D183" s="27">
        <f t="shared" ref="D183:O183" si="53">SUM(D181:D182)</f>
        <v>0</v>
      </c>
      <c r="E183" s="27">
        <f t="shared" si="53"/>
        <v>0</v>
      </c>
      <c r="F183" s="27">
        <f t="shared" si="53"/>
        <v>0</v>
      </c>
      <c r="G183" s="27">
        <f t="shared" si="53"/>
        <v>0</v>
      </c>
      <c r="H183" s="27">
        <f t="shared" si="53"/>
        <v>211.33139231270664</v>
      </c>
      <c r="I183" s="27">
        <f t="shared" si="53"/>
        <v>346.46868143150829</v>
      </c>
      <c r="J183" s="27">
        <f t="shared" si="53"/>
        <v>196.28271956859504</v>
      </c>
      <c r="K183" s="27">
        <f t="shared" si="53"/>
        <v>31.785912544214877</v>
      </c>
      <c r="L183" s="27">
        <f t="shared" si="53"/>
        <v>17.479786898243805</v>
      </c>
      <c r="M183" s="27">
        <f t="shared" si="53"/>
        <v>0</v>
      </c>
      <c r="N183" s="27">
        <f t="shared" si="53"/>
        <v>0</v>
      </c>
      <c r="O183" s="28">
        <f t="shared" si="53"/>
        <v>0</v>
      </c>
    </row>
    <row r="184" spans="2:15" ht="15.75" thickBot="1">
      <c r="B184" s="24" t="str">
        <f>(B173)&amp;" NET Flow (In - Out)"</f>
        <v>Node 1.12 NET Flow (In - Out)</v>
      </c>
      <c r="C184" s="23"/>
      <c r="D184" s="193">
        <f t="shared" ref="D184:O184" si="54">MAX(D179-D183,0)</f>
        <v>2385.0605176118456</v>
      </c>
      <c r="E184" s="193">
        <f t="shared" si="54"/>
        <v>2733.4425891352939</v>
      </c>
      <c r="F184" s="193">
        <f t="shared" si="54"/>
        <v>7596.7841295666813</v>
      </c>
      <c r="G184" s="193">
        <f t="shared" si="54"/>
        <v>10183.269175647018</v>
      </c>
      <c r="H184" s="193">
        <f t="shared" si="54"/>
        <v>26327.582239597323</v>
      </c>
      <c r="I184" s="193">
        <f t="shared" si="54"/>
        <v>14432.89272812831</v>
      </c>
      <c r="J184" s="193">
        <f t="shared" si="54"/>
        <v>3119.7172532360746</v>
      </c>
      <c r="K184" s="193">
        <f t="shared" si="54"/>
        <v>2235.8888995019647</v>
      </c>
      <c r="L184" s="193">
        <f t="shared" si="54"/>
        <v>1705.351564669927</v>
      </c>
      <c r="M184" s="193">
        <f t="shared" si="54"/>
        <v>3342.9992953528463</v>
      </c>
      <c r="N184" s="193">
        <f t="shared" si="54"/>
        <v>2879.0270202472525</v>
      </c>
      <c r="O184" s="200">
        <f t="shared" si="54"/>
        <v>2515.2434878980216</v>
      </c>
    </row>
    <row r="186" spans="2:15" ht="15.75" thickBot="1">
      <c r="B186" s="108" t="s">
        <v>70</v>
      </c>
      <c r="C186" s="109" t="str">
        <f>VLOOKUP(B186,NodeList!$D$4:$E$121,2,FALSE)</f>
        <v>Evanston Water Supply</v>
      </c>
      <c r="D186" s="6"/>
      <c r="E186" s="6"/>
      <c r="F186" s="6"/>
      <c r="G186" s="6"/>
      <c r="H186" s="7"/>
      <c r="I186" s="7"/>
      <c r="J186" s="7"/>
      <c r="K186" s="7"/>
      <c r="L186" s="7"/>
      <c r="M186" s="7"/>
      <c r="N186" s="7"/>
      <c r="O186" s="7"/>
    </row>
    <row r="187" spans="2:15" ht="15">
      <c r="B187" s="9" t="s">
        <v>16</v>
      </c>
      <c r="C187" s="10"/>
      <c r="D187" s="11" t="s">
        <v>0</v>
      </c>
      <c r="E187" s="11" t="s">
        <v>1</v>
      </c>
      <c r="F187" s="11" t="s">
        <v>2</v>
      </c>
      <c r="G187" s="11" t="s">
        <v>3</v>
      </c>
      <c r="H187" s="11" t="s">
        <v>4</v>
      </c>
      <c r="I187" s="11" t="s">
        <v>5</v>
      </c>
      <c r="J187" s="11" t="s">
        <v>6</v>
      </c>
      <c r="K187" s="11" t="s">
        <v>7</v>
      </c>
      <c r="L187" s="11" t="s">
        <v>8</v>
      </c>
      <c r="M187" s="11" t="s">
        <v>9</v>
      </c>
      <c r="N187" s="11" t="s">
        <v>10</v>
      </c>
      <c r="O187" s="12" t="s">
        <v>11</v>
      </c>
    </row>
    <row r="188" spans="2:15" ht="14.25">
      <c r="B188" s="14" t="str">
        <f>+B186 &amp;" Node Inflow"</f>
        <v>Node 1.13 Node Inflow</v>
      </c>
      <c r="C188" s="13"/>
      <c r="D188" s="15">
        <f>+D184</f>
        <v>2385.0605176118456</v>
      </c>
      <c r="E188" s="15">
        <f t="shared" ref="E188:O188" si="55">+E184</f>
        <v>2733.4425891352939</v>
      </c>
      <c r="F188" s="15">
        <f t="shared" si="55"/>
        <v>7596.7841295666813</v>
      </c>
      <c r="G188" s="15">
        <f t="shared" si="55"/>
        <v>10183.269175647018</v>
      </c>
      <c r="H188" s="15">
        <f t="shared" si="55"/>
        <v>26327.582239597323</v>
      </c>
      <c r="I188" s="15">
        <f t="shared" si="55"/>
        <v>14432.89272812831</v>
      </c>
      <c r="J188" s="15">
        <f t="shared" si="55"/>
        <v>3119.7172532360746</v>
      </c>
      <c r="K188" s="15">
        <f t="shared" si="55"/>
        <v>2235.8888995019647</v>
      </c>
      <c r="L188" s="15">
        <f t="shared" si="55"/>
        <v>1705.351564669927</v>
      </c>
      <c r="M188" s="15">
        <f t="shared" si="55"/>
        <v>3342.9992953528463</v>
      </c>
      <c r="N188" s="15">
        <f t="shared" si="55"/>
        <v>2879.0270202472525</v>
      </c>
      <c r="O188" s="16">
        <f t="shared" si="55"/>
        <v>2515.2434878980216</v>
      </c>
    </row>
    <row r="189" spans="2:15" ht="14.25">
      <c r="B189" s="14" t="str">
        <f>+B186 &amp;" Irrigation Returns"</f>
        <v>Node 1.13 Irrigation Returns</v>
      </c>
      <c r="C189" s="13"/>
      <c r="D189" s="54">
        <f>VLOOKUP(($B186),'Irrigation Returns'!$B$644:$P$930,4,FALSE)</f>
        <v>0</v>
      </c>
      <c r="E189" s="54">
        <f>VLOOKUP(($B186),'Irrigation Returns'!$B$644:$P$930,5,FALSE)</f>
        <v>0</v>
      </c>
      <c r="F189" s="54">
        <f>VLOOKUP(($B186),'Irrigation Returns'!$B$644:$P$930,6,FALSE)</f>
        <v>0</v>
      </c>
      <c r="G189" s="54">
        <f>VLOOKUP(($B186),'Irrigation Returns'!$B$644:$P$930,7,FALSE)</f>
        <v>0</v>
      </c>
      <c r="H189" s="54">
        <f>VLOOKUP(($B186),'Irrigation Returns'!$B$644:$P$930,8,FALSE)</f>
        <v>0</v>
      </c>
      <c r="I189" s="54">
        <f>VLOOKUP(($B186),'Irrigation Returns'!$B$644:$P$930,9,FALSE)</f>
        <v>0</v>
      </c>
      <c r="J189" s="54">
        <f>VLOOKUP(($B186),'Irrigation Returns'!$B$644:$P$930,10,FALSE)</f>
        <v>0</v>
      </c>
      <c r="K189" s="54">
        <f>VLOOKUP(($B186),'Irrigation Returns'!$B$644:$P$930,11,FALSE)</f>
        <v>0</v>
      </c>
      <c r="L189" s="54">
        <f>VLOOKUP(($B186),'Irrigation Returns'!$B$644:$P$930,12,FALSE)</f>
        <v>0</v>
      </c>
      <c r="M189" s="54">
        <f>VLOOKUP(($B186),'Irrigation Returns'!$B$644:$P$930,13,FALSE)</f>
        <v>0</v>
      </c>
      <c r="N189" s="54">
        <f>VLOOKUP(($B186),'Irrigation Returns'!$B$644:$P$930,14,FALSE)</f>
        <v>0</v>
      </c>
      <c r="O189" s="110">
        <f>VLOOKUP(($B186),'Irrigation Returns'!$B$644:$P$930,15,FALSE)</f>
        <v>0</v>
      </c>
    </row>
    <row r="190" spans="2:15" ht="14.25">
      <c r="B190" s="14" t="s">
        <v>328</v>
      </c>
      <c r="C190" s="13" t="s">
        <v>180</v>
      </c>
      <c r="D190" s="54">
        <f>VLOOKUP($B190,GainLoss!$B$5:$O$14,3,FALSE)</f>
        <v>0</v>
      </c>
      <c r="E190" s="54">
        <f>VLOOKUP($B190,GainLoss!$B$5:$O$14,4,FALSE)</f>
        <v>0</v>
      </c>
      <c r="F190" s="54">
        <f>VLOOKUP($B190,GainLoss!$B$5:$O$14,5,FALSE)</f>
        <v>0</v>
      </c>
      <c r="G190" s="54">
        <f>VLOOKUP($B190,GainLoss!$B$5:$O$14,6,FALSE)</f>
        <v>0</v>
      </c>
      <c r="H190" s="54">
        <f>VLOOKUP($B190,GainLoss!$B$5:$O$14,7,FALSE)</f>
        <v>0</v>
      </c>
      <c r="I190" s="54">
        <f>VLOOKUP($B190,GainLoss!$B$5:$O$14,8,FALSE)</f>
        <v>0</v>
      </c>
      <c r="J190" s="54">
        <f>VLOOKUP($B190,GainLoss!$B$5:$O$14,9,FALSE)</f>
        <v>0</v>
      </c>
      <c r="K190" s="54">
        <f>VLOOKUP($B190,GainLoss!$B$5:$O$14,10,FALSE)</f>
        <v>0</v>
      </c>
      <c r="L190" s="54">
        <f>VLOOKUP($B190,GainLoss!$B$5:$O$14,11,FALSE)</f>
        <v>0</v>
      </c>
      <c r="M190" s="54">
        <f>VLOOKUP($B190,GainLoss!$B$5:$O$14,12,FALSE)</f>
        <v>0</v>
      </c>
      <c r="N190" s="54">
        <f>VLOOKUP($B190,GainLoss!$B$5:$O$14,13,FALSE)</f>
        <v>0</v>
      </c>
      <c r="O190" s="110">
        <f>VLOOKUP($B190,GainLoss!$B$5:$O$14,14,FALSE)</f>
        <v>0</v>
      </c>
    </row>
    <row r="191" spans="2:15" ht="14.25">
      <c r="B191" s="14" t="str">
        <f>+B186 &amp;" Import/Export"</f>
        <v>Node 1.13 Import/Export</v>
      </c>
      <c r="C191" s="13"/>
      <c r="D191" s="190">
        <f>VLOOKUP($B186,ImportExport!$B$6:$O$68,3,FALSE)</f>
        <v>0</v>
      </c>
      <c r="E191" s="190">
        <f>VLOOKUP($B186,ImportExport!$B$6:$O$68,4,FALSE)</f>
        <v>0</v>
      </c>
      <c r="F191" s="190">
        <f>VLOOKUP($B186,ImportExport!$B$6:$O$68,5,FALSE)</f>
        <v>0</v>
      </c>
      <c r="G191" s="190">
        <f>VLOOKUP($B186,ImportExport!$B$6:$O$68,6,FALSE)</f>
        <v>0</v>
      </c>
      <c r="H191" s="190">
        <f>VLOOKUP($B186,ImportExport!$B$6:$O$68,7,FALSE)</f>
        <v>0</v>
      </c>
      <c r="I191" s="190">
        <f>VLOOKUP($B186,ImportExport!$B$6:$O$68,8,FALSE)</f>
        <v>0</v>
      </c>
      <c r="J191" s="190">
        <f>VLOOKUP($B186,ImportExport!$B$6:$O$68,9,FALSE)</f>
        <v>0</v>
      </c>
      <c r="K191" s="190">
        <f>VLOOKUP($B186,ImportExport!$B$6:$O$68,10,FALSE)</f>
        <v>0</v>
      </c>
      <c r="L191" s="190">
        <f>VLOOKUP($B186,ImportExport!$B$6:$O$68,11,FALSE)</f>
        <v>0</v>
      </c>
      <c r="M191" s="190">
        <f>VLOOKUP($B186,ImportExport!$B$6:$O$68,12,FALSE)</f>
        <v>0</v>
      </c>
      <c r="N191" s="190">
        <f>VLOOKUP($B186,ImportExport!$B$6:$O$68,13,FALSE)</f>
        <v>0</v>
      </c>
      <c r="O191" s="197">
        <f>VLOOKUP($B186,ImportExport!$B$6:$O$68,14,FALSE)</f>
        <v>0</v>
      </c>
    </row>
    <row r="192" spans="2:15" ht="15.75" thickBot="1">
      <c r="B192" s="18" t="str">
        <f>"Total "&amp; (B186)&amp;" Inflow"</f>
        <v>Total Node 1.13 Inflow</v>
      </c>
      <c r="C192" s="17"/>
      <c r="D192" s="25">
        <f t="shared" ref="D192:O192" si="56">SUM(D188:D191)</f>
        <v>2385.0605176118456</v>
      </c>
      <c r="E192" s="25">
        <f t="shared" si="56"/>
        <v>2733.4425891352939</v>
      </c>
      <c r="F192" s="25">
        <f t="shared" si="56"/>
        <v>7596.7841295666813</v>
      </c>
      <c r="G192" s="25">
        <f t="shared" si="56"/>
        <v>10183.269175647018</v>
      </c>
      <c r="H192" s="25">
        <f t="shared" si="56"/>
        <v>26327.582239597323</v>
      </c>
      <c r="I192" s="25">
        <f t="shared" si="56"/>
        <v>14432.89272812831</v>
      </c>
      <c r="J192" s="25">
        <f t="shared" si="56"/>
        <v>3119.7172532360746</v>
      </c>
      <c r="K192" s="25">
        <f t="shared" si="56"/>
        <v>2235.8888995019647</v>
      </c>
      <c r="L192" s="25">
        <f t="shared" si="56"/>
        <v>1705.351564669927</v>
      </c>
      <c r="M192" s="25">
        <f t="shared" si="56"/>
        <v>3342.9992953528463</v>
      </c>
      <c r="N192" s="25">
        <f t="shared" si="56"/>
        <v>2879.0270202472525</v>
      </c>
      <c r="O192" s="26">
        <f t="shared" si="56"/>
        <v>2515.2434878980216</v>
      </c>
    </row>
    <row r="193" spans="1:15" ht="15">
      <c r="B193" s="19" t="s">
        <v>17</v>
      </c>
      <c r="C193" s="20"/>
      <c r="D193" s="282" t="str">
        <f>IF(((VLOOKUP($B186,'Diversion Data'!$B$3:$O$227,3,FALSE))-D195)&gt;0,"Short","")</f>
        <v/>
      </c>
      <c r="E193" s="282" t="str">
        <f>IF(((VLOOKUP($B186,'Diversion Data'!$B$3:$O$227,4,FALSE))-E195)&gt;0,"Short","")</f>
        <v/>
      </c>
      <c r="F193" s="282" t="str">
        <f>IF(((VLOOKUP($B186,'Diversion Data'!$B$3:$O$227,5,FALSE))-F195)&gt;0,"Short","")</f>
        <v/>
      </c>
      <c r="G193" s="282" t="str">
        <f>IF(((VLOOKUP($B186,'Diversion Data'!$B$3:$O$227,6,FALSE))-G195)&gt;0,"Short","")</f>
        <v/>
      </c>
      <c r="H193" s="282" t="str">
        <f>IF(((VLOOKUP($B186,'Diversion Data'!$B$3:$O$227,7,FALSE))-H195)&gt;0,"Short","")</f>
        <v/>
      </c>
      <c r="I193" s="282" t="str">
        <f>IF(((VLOOKUP($B186,'Diversion Data'!$B$3:$O$227,8,FALSE))-I195)&gt;0,"Short","")</f>
        <v/>
      </c>
      <c r="J193" s="282" t="str">
        <f>IF(((VLOOKUP($B186,'Diversion Data'!$B$3:$O$227,9,FALSE))-J195)&gt;0,"Short","")</f>
        <v/>
      </c>
      <c r="K193" s="282" t="str">
        <f>IF(((VLOOKUP($B186,'Diversion Data'!$B$3:$O$227,10,FALSE))-K195)&gt;0,"Short","")</f>
        <v/>
      </c>
      <c r="L193" s="282" t="str">
        <f>IF(((VLOOKUP($B186,'Diversion Data'!$B$3:$O$227,11,FALSE))-L195)&gt;0,"Short","")</f>
        <v/>
      </c>
      <c r="M193" s="282" t="str">
        <f>IF(((VLOOKUP($B186,'Diversion Data'!$B$3:$O$227,12,FALSE))-M195)&gt;0,"Short","")</f>
        <v/>
      </c>
      <c r="N193" s="282" t="str">
        <f>IF(((VLOOKUP($B186,'Diversion Data'!$B$3:$O$227,13,FALSE))-N195)&gt;0,"Short","")</f>
        <v/>
      </c>
      <c r="O193" s="283" t="str">
        <f>IF(((VLOOKUP($B186,'Diversion Data'!$B$3:$O$227,14,FALSE))-O195)&gt;0,"Short","")</f>
        <v/>
      </c>
    </row>
    <row r="194" spans="1:15" ht="14.25">
      <c r="B194" s="14" t="s">
        <v>81</v>
      </c>
      <c r="C194" s="13" t="s">
        <v>181</v>
      </c>
      <c r="D194" s="171">
        <f>VLOOKUP($B194,GainLoss!$B$19:$O$27,3,FALSE)</f>
        <v>0</v>
      </c>
      <c r="E194" s="171">
        <f>VLOOKUP($B194,GainLoss!$B$19:$O$27,4,FALSE)</f>
        <v>0</v>
      </c>
      <c r="F194" s="171">
        <f>VLOOKUP($B194,GainLoss!$B$19:$O$27,5,FALSE)</f>
        <v>0</v>
      </c>
      <c r="G194" s="171">
        <f>VLOOKUP($B194,GainLoss!$B$19:$O$27,6,FALSE)</f>
        <v>0</v>
      </c>
      <c r="H194" s="171">
        <f>VLOOKUP($B194,GainLoss!$B$19:$O$27,7,FALSE)</f>
        <v>0</v>
      </c>
      <c r="I194" s="171">
        <f>VLOOKUP($B194,GainLoss!$B$19:$O$27,8,FALSE)</f>
        <v>0</v>
      </c>
      <c r="J194" s="171">
        <f>VLOOKUP($B194,GainLoss!$B$19:$O$27,9,FALSE)</f>
        <v>0</v>
      </c>
      <c r="K194" s="171">
        <f>VLOOKUP($B194,GainLoss!$B$19:$O$27,10,FALSE)</f>
        <v>0</v>
      </c>
      <c r="L194" s="171">
        <f>VLOOKUP($B194,GainLoss!$B$19:$O$27,11,FALSE)</f>
        <v>0</v>
      </c>
      <c r="M194" s="171">
        <f>VLOOKUP($B194,GainLoss!$B$19:$O$27,12,FALSE)</f>
        <v>0</v>
      </c>
      <c r="N194" s="171">
        <f>VLOOKUP($B194,GainLoss!$B$19:$O$27,13,FALSE)</f>
        <v>0</v>
      </c>
      <c r="O194" s="198">
        <f>VLOOKUP($B194,GainLoss!$B$19:$O$27,14,FALSE)</f>
        <v>0</v>
      </c>
    </row>
    <row r="195" spans="1:15" ht="14.25">
      <c r="B195" s="14" t="str">
        <f>+B186 &amp;" Diversions"</f>
        <v>Node 1.13 Diversions</v>
      </c>
      <c r="C195" s="13"/>
      <c r="D195" s="54">
        <f>MIN(VLOOKUP($B186,'Diversion Data'!$B$3:$O$227,3,FALSE),(D192-D194))</f>
        <v>0</v>
      </c>
      <c r="E195" s="54">
        <f>MIN(VLOOKUP($B186,'Diversion Data'!$B$3:$O$227,4,FALSE),(E192-E194))</f>
        <v>0</v>
      </c>
      <c r="F195" s="54">
        <f>MIN(VLOOKUP($B186,'Diversion Data'!$B$3:$O$227,5,FALSE),(F192-F194))</f>
        <v>0</v>
      </c>
      <c r="G195" s="54">
        <f>MIN(VLOOKUP($B186,'Diversion Data'!$B$3:$O$227,6,FALSE),(G192-G194))</f>
        <v>0</v>
      </c>
      <c r="H195" s="54">
        <f>MIN(VLOOKUP($B186,'Diversion Data'!$B$3:$O$227,7,FALSE),(H192-H194))</f>
        <v>117.74779830588845</v>
      </c>
      <c r="I195" s="54">
        <f>MIN(VLOOKUP($B186,'Diversion Data'!$B$3:$O$227,8,FALSE),(I192-I194))</f>
        <v>255.06277154989669</v>
      </c>
      <c r="J195" s="54">
        <f>MIN(VLOOKUP($B186,'Diversion Data'!$B$3:$O$227,9,FALSE),(J192-J194))</f>
        <v>213.1787392119835</v>
      </c>
      <c r="K195" s="54">
        <f>MIN(VLOOKUP($B186,'Diversion Data'!$B$3:$O$227,10,FALSE),(K192-K194))</f>
        <v>136.76054564504133</v>
      </c>
      <c r="L195" s="54">
        <f>MIN(VLOOKUP($B186,'Diversion Data'!$B$3:$O$227,11,FALSE),(L192-L194))</f>
        <v>42.892561983471076</v>
      </c>
      <c r="M195" s="54">
        <f>MIN(VLOOKUP($B186,'Diversion Data'!$B$3:$O$227,12,FALSE),(M192-M194))</f>
        <v>0</v>
      </c>
      <c r="N195" s="54">
        <f>MIN(VLOOKUP($B186,'Diversion Data'!$B$3:$O$227,13,FALSE),(N192-N194))</f>
        <v>0</v>
      </c>
      <c r="O195" s="110">
        <f>MIN(VLOOKUP($B186,'Diversion Data'!$B$3:$O$227,14,FALSE),(O192-O194))</f>
        <v>0</v>
      </c>
    </row>
    <row r="196" spans="1:15" ht="15.75" thickBot="1">
      <c r="B196" s="24" t="str">
        <f>"Total " &amp; (B186) &amp;" Outflow"</f>
        <v>Total Node 1.13 Outflow</v>
      </c>
      <c r="C196" s="23"/>
      <c r="D196" s="27">
        <f t="shared" ref="D196:O196" si="57">SUM(D194:D195)</f>
        <v>0</v>
      </c>
      <c r="E196" s="27">
        <f t="shared" si="57"/>
        <v>0</v>
      </c>
      <c r="F196" s="27">
        <f t="shared" si="57"/>
        <v>0</v>
      </c>
      <c r="G196" s="27">
        <f t="shared" si="57"/>
        <v>0</v>
      </c>
      <c r="H196" s="27">
        <f t="shared" si="57"/>
        <v>117.74779830588845</v>
      </c>
      <c r="I196" s="27">
        <f t="shared" si="57"/>
        <v>255.06277154989669</v>
      </c>
      <c r="J196" s="27">
        <f t="shared" si="57"/>
        <v>213.1787392119835</v>
      </c>
      <c r="K196" s="27">
        <f t="shared" si="57"/>
        <v>136.76054564504133</v>
      </c>
      <c r="L196" s="27">
        <f t="shared" si="57"/>
        <v>42.892561983471076</v>
      </c>
      <c r="M196" s="27">
        <f t="shared" si="57"/>
        <v>0</v>
      </c>
      <c r="N196" s="27">
        <f t="shared" si="57"/>
        <v>0</v>
      </c>
      <c r="O196" s="28">
        <f t="shared" si="57"/>
        <v>0</v>
      </c>
    </row>
    <row r="197" spans="1:15" ht="15.75" thickBot="1">
      <c r="B197" s="24" t="str">
        <f>(B186)&amp;" NET Flow (In - Out)"</f>
        <v>Node 1.13 NET Flow (In - Out)</v>
      </c>
      <c r="C197" s="23"/>
      <c r="D197" s="193">
        <f t="shared" ref="D197:O197" si="58">MAX(D192-D196,0)</f>
        <v>2385.0605176118456</v>
      </c>
      <c r="E197" s="193">
        <f t="shared" si="58"/>
        <v>2733.4425891352939</v>
      </c>
      <c r="F197" s="193">
        <f t="shared" si="58"/>
        <v>7596.7841295666813</v>
      </c>
      <c r="G197" s="193">
        <f t="shared" si="58"/>
        <v>10183.269175647018</v>
      </c>
      <c r="H197" s="193">
        <f t="shared" si="58"/>
        <v>26209.834441291434</v>
      </c>
      <c r="I197" s="193">
        <f t="shared" si="58"/>
        <v>14177.829956578415</v>
      </c>
      <c r="J197" s="193">
        <f t="shared" si="58"/>
        <v>2906.538514024091</v>
      </c>
      <c r="K197" s="193">
        <f t="shared" si="58"/>
        <v>2099.1283538569232</v>
      </c>
      <c r="L197" s="193">
        <f t="shared" si="58"/>
        <v>1662.459002686456</v>
      </c>
      <c r="M197" s="193">
        <f t="shared" si="58"/>
        <v>3342.9992953528463</v>
      </c>
      <c r="N197" s="193">
        <f t="shared" si="58"/>
        <v>2879.0270202472525</v>
      </c>
      <c r="O197" s="200">
        <f t="shared" si="58"/>
        <v>2515.2434878980216</v>
      </c>
    </row>
    <row r="199" spans="1:15" customFormat="1" ht="15.75" thickBot="1">
      <c r="A199" s="4"/>
      <c r="B199" s="108" t="s">
        <v>315</v>
      </c>
      <c r="C199" s="109" t="str">
        <f>VLOOKUP(B199,NodeList!$D$4:$E$121,2,FALSE)</f>
        <v>AggDiv BR-1</v>
      </c>
      <c r="D199" s="6"/>
      <c r="E199" s="6"/>
      <c r="F199" s="6"/>
      <c r="G199" s="6"/>
      <c r="H199" s="7"/>
      <c r="I199" s="7"/>
      <c r="J199" s="7"/>
      <c r="K199" s="7"/>
      <c r="L199" s="7"/>
      <c r="M199" s="7"/>
      <c r="N199" s="7"/>
      <c r="O199" s="7"/>
    </row>
    <row r="200" spans="1:15" customFormat="1" ht="15">
      <c r="A200" s="4"/>
      <c r="B200" s="9" t="s">
        <v>16</v>
      </c>
      <c r="C200" s="10"/>
      <c r="D200" s="11" t="s">
        <v>0</v>
      </c>
      <c r="E200" s="11" t="s">
        <v>1</v>
      </c>
      <c r="F200" s="11" t="s">
        <v>2</v>
      </c>
      <c r="G200" s="11" t="s">
        <v>3</v>
      </c>
      <c r="H200" s="11" t="s">
        <v>4</v>
      </c>
      <c r="I200" s="11" t="s">
        <v>5</v>
      </c>
      <c r="J200" s="11" t="s">
        <v>6</v>
      </c>
      <c r="K200" s="11" t="s">
        <v>7</v>
      </c>
      <c r="L200" s="11" t="s">
        <v>8</v>
      </c>
      <c r="M200" s="11" t="s">
        <v>9</v>
      </c>
      <c r="N200" s="11" t="s">
        <v>10</v>
      </c>
      <c r="O200" s="12" t="s">
        <v>11</v>
      </c>
    </row>
    <row r="201" spans="1:15" customFormat="1" ht="14.25">
      <c r="A201" s="4"/>
      <c r="B201" s="14" t="str">
        <f>+B199 &amp;" Node Inflow"</f>
        <v>Node 1.15 Node Inflow</v>
      </c>
      <c r="C201" s="13"/>
      <c r="D201" s="15">
        <f>+D197</f>
        <v>2385.0605176118456</v>
      </c>
      <c r="E201" s="15">
        <f t="shared" ref="E201:O201" si="59">+E197</f>
        <v>2733.4425891352939</v>
      </c>
      <c r="F201" s="15">
        <f t="shared" si="59"/>
        <v>7596.7841295666813</v>
      </c>
      <c r="G201" s="15">
        <f t="shared" si="59"/>
        <v>10183.269175647018</v>
      </c>
      <c r="H201" s="15">
        <f t="shared" si="59"/>
        <v>26209.834441291434</v>
      </c>
      <c r="I201" s="15">
        <f t="shared" si="59"/>
        <v>14177.829956578415</v>
      </c>
      <c r="J201" s="15">
        <f t="shared" si="59"/>
        <v>2906.538514024091</v>
      </c>
      <c r="K201" s="15">
        <f t="shared" si="59"/>
        <v>2099.1283538569232</v>
      </c>
      <c r="L201" s="15">
        <f t="shared" si="59"/>
        <v>1662.459002686456</v>
      </c>
      <c r="M201" s="15">
        <f t="shared" si="59"/>
        <v>3342.9992953528463</v>
      </c>
      <c r="N201" s="15">
        <f t="shared" si="59"/>
        <v>2879.0270202472525</v>
      </c>
      <c r="O201" s="16">
        <f t="shared" si="59"/>
        <v>2515.2434878980216</v>
      </c>
    </row>
    <row r="202" spans="1:15" customFormat="1" ht="14.25">
      <c r="A202" s="4"/>
      <c r="B202" s="14" t="str">
        <f>+B199 &amp;" Irrigation Returns"</f>
        <v>Node 1.15 Irrigation Returns</v>
      </c>
      <c r="C202" s="13"/>
      <c r="D202" s="54">
        <f>VLOOKUP(($B199),'Irrigation Returns'!$B$644:$P$930,4,FALSE)</f>
        <v>0</v>
      </c>
      <c r="E202" s="54">
        <f>VLOOKUP(($B199),'Irrigation Returns'!$B$644:$P$930,5,FALSE)</f>
        <v>0</v>
      </c>
      <c r="F202" s="54">
        <f>VLOOKUP(($B199),'Irrigation Returns'!$B$644:$P$930,6,FALSE)</f>
        <v>0</v>
      </c>
      <c r="G202" s="54">
        <f>VLOOKUP(($B199),'Irrigation Returns'!$B$644:$P$930,7,FALSE)</f>
        <v>0</v>
      </c>
      <c r="H202" s="54">
        <f>VLOOKUP(($B199),'Irrigation Returns'!$B$644:$P$930,8,FALSE)</f>
        <v>103.55238223322624</v>
      </c>
      <c r="I202" s="54">
        <f>VLOOKUP(($B199),'Irrigation Returns'!$B$644:$P$930,9,FALSE)</f>
        <v>199.35604882521798</v>
      </c>
      <c r="J202" s="54">
        <f>VLOOKUP(($B199),'Irrigation Returns'!$B$644:$P$930,10,FALSE)</f>
        <v>159.47734545091217</v>
      </c>
      <c r="K202" s="54">
        <f>VLOOKUP(($B199),'Irrigation Returns'!$B$644:$P$930,11,FALSE)</f>
        <v>67.307485586474172</v>
      </c>
      <c r="L202" s="54">
        <f>VLOOKUP(($B199),'Irrigation Returns'!$B$644:$P$930,12,FALSE)</f>
        <v>26.754913706131198</v>
      </c>
      <c r="M202" s="54">
        <f>VLOOKUP(($B199),'Irrigation Returns'!$B$644:$P$930,13,FALSE)</f>
        <v>4.6721840438491746</v>
      </c>
      <c r="N202" s="54">
        <f>VLOOKUP(($B199),'Irrigation Returns'!$B$644:$P$930,14,FALSE)</f>
        <v>1.2235850828770665</v>
      </c>
      <c r="O202" s="110">
        <f>VLOOKUP(($B199),'Irrigation Returns'!$B$644:$P$930,15,FALSE)</f>
        <v>0</v>
      </c>
    </row>
    <row r="203" spans="1:15" customFormat="1" ht="14.25">
      <c r="A203" s="4"/>
      <c r="B203" s="14" t="s">
        <v>328</v>
      </c>
      <c r="C203" s="13" t="s">
        <v>180</v>
      </c>
      <c r="D203" s="54">
        <f>VLOOKUP($B203,GainLoss!$B$5:$O$14,3,FALSE)</f>
        <v>0</v>
      </c>
      <c r="E203" s="54">
        <f>VLOOKUP($B203,GainLoss!$B$5:$O$14,4,FALSE)</f>
        <v>0</v>
      </c>
      <c r="F203" s="54">
        <f>VLOOKUP($B203,GainLoss!$B$5:$O$14,5,FALSE)</f>
        <v>0</v>
      </c>
      <c r="G203" s="54">
        <f>VLOOKUP($B203,GainLoss!$B$5:$O$14,6,FALSE)</f>
        <v>0</v>
      </c>
      <c r="H203" s="54">
        <f>VLOOKUP($B203,GainLoss!$B$5:$O$14,7,FALSE)</f>
        <v>0</v>
      </c>
      <c r="I203" s="54">
        <f>VLOOKUP($B203,GainLoss!$B$5:$O$14,8,FALSE)</f>
        <v>0</v>
      </c>
      <c r="J203" s="54">
        <f>VLOOKUP($B203,GainLoss!$B$5:$O$14,9,FALSE)</f>
        <v>0</v>
      </c>
      <c r="K203" s="54">
        <f>VLOOKUP($B203,GainLoss!$B$5:$O$14,10,FALSE)</f>
        <v>0</v>
      </c>
      <c r="L203" s="54">
        <f>VLOOKUP($B203,GainLoss!$B$5:$O$14,11,FALSE)</f>
        <v>0</v>
      </c>
      <c r="M203" s="54">
        <f>VLOOKUP($B203,GainLoss!$B$5:$O$14,12,FALSE)</f>
        <v>0</v>
      </c>
      <c r="N203" s="54">
        <f>VLOOKUP($B203,GainLoss!$B$5:$O$14,13,FALSE)</f>
        <v>0</v>
      </c>
      <c r="O203" s="110">
        <f>VLOOKUP($B203,GainLoss!$B$5:$O$14,14,FALSE)</f>
        <v>0</v>
      </c>
    </row>
    <row r="204" spans="1:15" customFormat="1" ht="14.25">
      <c r="A204" s="4"/>
      <c r="B204" s="14" t="str">
        <f>+B199 &amp;" Import/Export"</f>
        <v>Node 1.15 Import/Export</v>
      </c>
      <c r="C204" s="13"/>
      <c r="D204" s="190">
        <f>VLOOKUP($B199,ImportExport!$B$6:$O$68,3,FALSE)</f>
        <v>0</v>
      </c>
      <c r="E204" s="190">
        <f>VLOOKUP($B199,ImportExport!$B$6:$O$68,4,FALSE)</f>
        <v>0</v>
      </c>
      <c r="F204" s="190">
        <f>VLOOKUP($B199,ImportExport!$B$6:$O$68,5,FALSE)</f>
        <v>0</v>
      </c>
      <c r="G204" s="190">
        <f>VLOOKUP($B199,ImportExport!$B$6:$O$68,6,FALSE)</f>
        <v>0</v>
      </c>
      <c r="H204" s="190">
        <f>VLOOKUP($B199,ImportExport!$B$6:$O$68,7,FALSE)</f>
        <v>0</v>
      </c>
      <c r="I204" s="190">
        <f>VLOOKUP($B199,ImportExport!$B$6:$O$68,8,FALSE)</f>
        <v>0</v>
      </c>
      <c r="J204" s="190">
        <f>VLOOKUP($B199,ImportExport!$B$6:$O$68,9,FALSE)</f>
        <v>0</v>
      </c>
      <c r="K204" s="190">
        <f>VLOOKUP($B199,ImportExport!$B$6:$O$68,10,FALSE)</f>
        <v>0</v>
      </c>
      <c r="L204" s="190">
        <f>VLOOKUP($B199,ImportExport!$B$6:$O$68,11,FALSE)</f>
        <v>0</v>
      </c>
      <c r="M204" s="190">
        <f>VLOOKUP($B199,ImportExport!$B$6:$O$68,12,FALSE)</f>
        <v>0</v>
      </c>
      <c r="N204" s="190">
        <f>VLOOKUP($B199,ImportExport!$B$6:$O$68,13,FALSE)</f>
        <v>0</v>
      </c>
      <c r="O204" s="197">
        <f>VLOOKUP($B199,ImportExport!$B$6:$O$68,14,FALSE)</f>
        <v>0</v>
      </c>
    </row>
    <row r="205" spans="1:15" customFormat="1" ht="15.75" thickBot="1">
      <c r="A205" s="4"/>
      <c r="B205" s="18" t="str">
        <f>"Total "&amp; (B199)&amp;" Inflow"</f>
        <v>Total Node 1.15 Inflow</v>
      </c>
      <c r="C205" s="17"/>
      <c r="D205" s="25">
        <f t="shared" ref="D205:O205" si="60">SUM(D201:D204)</f>
        <v>2385.0605176118456</v>
      </c>
      <c r="E205" s="25">
        <f t="shared" si="60"/>
        <v>2733.4425891352939</v>
      </c>
      <c r="F205" s="25">
        <f t="shared" si="60"/>
        <v>7596.7841295666813</v>
      </c>
      <c r="G205" s="25">
        <f t="shared" si="60"/>
        <v>10183.269175647018</v>
      </c>
      <c r="H205" s="25">
        <f t="shared" si="60"/>
        <v>26313.386823524659</v>
      </c>
      <c r="I205" s="25">
        <f t="shared" si="60"/>
        <v>14377.186005403633</v>
      </c>
      <c r="J205" s="25">
        <f t="shared" si="60"/>
        <v>3066.0158594750033</v>
      </c>
      <c r="K205" s="25">
        <f t="shared" si="60"/>
        <v>2166.4358394433975</v>
      </c>
      <c r="L205" s="25">
        <f t="shared" si="60"/>
        <v>1689.2139163925872</v>
      </c>
      <c r="M205" s="25">
        <f t="shared" si="60"/>
        <v>3347.6714793966953</v>
      </c>
      <c r="N205" s="25">
        <f t="shared" si="60"/>
        <v>2880.2506053301295</v>
      </c>
      <c r="O205" s="26">
        <f t="shared" si="60"/>
        <v>2515.2434878980216</v>
      </c>
    </row>
    <row r="206" spans="1:15" customFormat="1" ht="15">
      <c r="A206" s="4"/>
      <c r="B206" s="19" t="s">
        <v>17</v>
      </c>
      <c r="C206" s="20"/>
      <c r="D206" s="282" t="str">
        <f>IF(((VLOOKUP($B199,'Diversion Data'!$B$3:$O$227,3,FALSE))-D208)&gt;0,"Short","")</f>
        <v/>
      </c>
      <c r="E206" s="282" t="str">
        <f>IF(((VLOOKUP($B199,'Diversion Data'!$B$3:$O$227,4,FALSE))-E208)&gt;0,"Short","")</f>
        <v/>
      </c>
      <c r="F206" s="282" t="str">
        <f>IF(((VLOOKUP($B199,'Diversion Data'!$B$3:$O$227,5,FALSE))-F208)&gt;0,"Short","")</f>
        <v/>
      </c>
      <c r="G206" s="282" t="str">
        <f>IF(((VLOOKUP($B199,'Diversion Data'!$B$3:$O$227,6,FALSE))-G208)&gt;0,"Short","")</f>
        <v/>
      </c>
      <c r="H206" s="282" t="str">
        <f>IF(((VLOOKUP($B199,'Diversion Data'!$B$3:$O$227,7,FALSE))-H208)&gt;0,"Short","")</f>
        <v/>
      </c>
      <c r="I206" s="282" t="str">
        <f>IF(((VLOOKUP($B199,'Diversion Data'!$B$3:$O$227,8,FALSE))-I208)&gt;0,"Short","")</f>
        <v/>
      </c>
      <c r="J206" s="282" t="str">
        <f>IF(((VLOOKUP($B199,'Diversion Data'!$B$3:$O$227,9,FALSE))-J208)&gt;0,"Short","")</f>
        <v/>
      </c>
      <c r="K206" s="282" t="str">
        <f>IF(((VLOOKUP($B199,'Diversion Data'!$B$3:$O$227,10,FALSE))-K208)&gt;0,"Short","")</f>
        <v/>
      </c>
      <c r="L206" s="282" t="str">
        <f>IF(((VLOOKUP($B199,'Diversion Data'!$B$3:$O$227,11,FALSE))-L208)&gt;0,"Short","")</f>
        <v/>
      </c>
      <c r="M206" s="282" t="str">
        <f>IF(((VLOOKUP($B199,'Diversion Data'!$B$3:$O$227,12,FALSE))-M208)&gt;0,"Short","")</f>
        <v/>
      </c>
      <c r="N206" s="282" t="str">
        <f>IF(((VLOOKUP($B199,'Diversion Data'!$B$3:$O$227,13,FALSE))-N208)&gt;0,"Short","")</f>
        <v/>
      </c>
      <c r="O206" s="283" t="str">
        <f>IF(((VLOOKUP($B199,'Diversion Data'!$B$3:$O$227,14,FALSE))-O208)&gt;0,"Short","")</f>
        <v/>
      </c>
    </row>
    <row r="207" spans="1:15" customFormat="1" ht="14.25">
      <c r="A207" s="4"/>
      <c r="B207" s="14" t="s">
        <v>81</v>
      </c>
      <c r="C207" s="13" t="s">
        <v>181</v>
      </c>
      <c r="D207" s="171">
        <f>VLOOKUP($B207,GainLoss!$B$19:$O$27,3,FALSE)</f>
        <v>0</v>
      </c>
      <c r="E207" s="171">
        <f>VLOOKUP($B207,GainLoss!$B$19:$O$27,4,FALSE)</f>
        <v>0</v>
      </c>
      <c r="F207" s="171">
        <f>VLOOKUP($B207,GainLoss!$B$19:$O$27,5,FALSE)</f>
        <v>0</v>
      </c>
      <c r="G207" s="171">
        <f>VLOOKUP($B207,GainLoss!$B$19:$O$27,6,FALSE)</f>
        <v>0</v>
      </c>
      <c r="H207" s="171">
        <f>VLOOKUP($B207,GainLoss!$B$19:$O$27,7,FALSE)</f>
        <v>0</v>
      </c>
      <c r="I207" s="171">
        <f>VLOOKUP($B207,GainLoss!$B$19:$O$27,8,FALSE)</f>
        <v>0</v>
      </c>
      <c r="J207" s="171">
        <f>VLOOKUP($B207,GainLoss!$B$19:$O$27,9,FALSE)</f>
        <v>0</v>
      </c>
      <c r="K207" s="171">
        <f>VLOOKUP($B207,GainLoss!$B$19:$O$27,10,FALSE)</f>
        <v>0</v>
      </c>
      <c r="L207" s="171">
        <f>VLOOKUP($B207,GainLoss!$B$19:$O$27,11,FALSE)</f>
        <v>0</v>
      </c>
      <c r="M207" s="171">
        <f>VLOOKUP($B207,GainLoss!$B$19:$O$27,12,FALSE)</f>
        <v>0</v>
      </c>
      <c r="N207" s="171">
        <f>VLOOKUP($B207,GainLoss!$B$19:$O$27,13,FALSE)</f>
        <v>0</v>
      </c>
      <c r="O207" s="198">
        <f>VLOOKUP($B207,GainLoss!$B$19:$O$27,14,FALSE)</f>
        <v>0</v>
      </c>
    </row>
    <row r="208" spans="1:15" customFormat="1" ht="14.25">
      <c r="A208" s="4"/>
      <c r="B208" s="14" t="str">
        <f>+B199 &amp;" Diversions"</f>
        <v>Node 1.15 Diversions</v>
      </c>
      <c r="C208" s="13"/>
      <c r="D208" s="54">
        <f>MIN(VLOOKUP($B199,'Diversion Data'!$B$3:$O$227,3,FALSE),(D205-D207))</f>
        <v>0</v>
      </c>
      <c r="E208" s="54">
        <f>MIN(VLOOKUP($B199,'Diversion Data'!$B$3:$O$227,4,FALSE),(E205-E207))</f>
        <v>0</v>
      </c>
      <c r="F208" s="54">
        <f>MIN(VLOOKUP($B199,'Diversion Data'!$B$3:$O$227,5,FALSE),(F205-F207))</f>
        <v>0</v>
      </c>
      <c r="G208" s="54">
        <f>MIN(VLOOKUP($B199,'Diversion Data'!$B$3:$O$227,6,FALSE),(G205-G207))</f>
        <v>0</v>
      </c>
      <c r="H208" s="54">
        <f>MIN(VLOOKUP($B199,'Diversion Data'!$B$3:$O$227,7,FALSE),(H205-H207))</f>
        <v>183.24374999999998</v>
      </c>
      <c r="I208" s="54">
        <f>MIN(VLOOKUP($B199,'Diversion Data'!$B$3:$O$227,8,FALSE),(I205-I207))</f>
        <v>418.04500000000007</v>
      </c>
      <c r="J208" s="54">
        <f>MIN(VLOOKUP($B199,'Diversion Data'!$B$3:$O$227,9,FALSE),(J205-J207))</f>
        <v>337.14875000000001</v>
      </c>
      <c r="K208" s="54">
        <f>MIN(VLOOKUP($B199,'Diversion Data'!$B$3:$O$227,10,FALSE),(K205-K207))</f>
        <v>116.71</v>
      </c>
      <c r="L208" s="54">
        <f>MIN(VLOOKUP($B199,'Diversion Data'!$B$3:$O$227,11,FALSE),(L205-L207))</f>
        <v>50.767499999999998</v>
      </c>
      <c r="M208" s="54">
        <f>MIN(VLOOKUP($B199,'Diversion Data'!$B$3:$O$227,12,FALSE),(M205-M207))</f>
        <v>0</v>
      </c>
      <c r="N208" s="54">
        <f>MIN(VLOOKUP($B199,'Diversion Data'!$B$3:$O$227,13,FALSE),(N205-N207))</f>
        <v>0</v>
      </c>
      <c r="O208" s="110">
        <f>MIN(VLOOKUP($B199,'Diversion Data'!$B$3:$O$227,14,FALSE),(O205-O207))</f>
        <v>0</v>
      </c>
    </row>
    <row r="209" spans="1:16" customFormat="1" ht="15.75" thickBot="1">
      <c r="A209" s="4"/>
      <c r="B209" s="24" t="str">
        <f>"Total " &amp; (B199) &amp;" Outflow"</f>
        <v>Total Node 1.15 Outflow</v>
      </c>
      <c r="C209" s="23"/>
      <c r="D209" s="27">
        <f t="shared" ref="D209:O209" si="61">SUM(D207:D208)</f>
        <v>0</v>
      </c>
      <c r="E209" s="27">
        <f t="shared" si="61"/>
        <v>0</v>
      </c>
      <c r="F209" s="27">
        <f t="shared" si="61"/>
        <v>0</v>
      </c>
      <c r="G209" s="27">
        <f t="shared" si="61"/>
        <v>0</v>
      </c>
      <c r="H209" s="27">
        <f t="shared" si="61"/>
        <v>183.24374999999998</v>
      </c>
      <c r="I209" s="27">
        <f t="shared" si="61"/>
        <v>418.04500000000007</v>
      </c>
      <c r="J209" s="27">
        <f t="shared" si="61"/>
        <v>337.14875000000001</v>
      </c>
      <c r="K209" s="27">
        <f t="shared" si="61"/>
        <v>116.71</v>
      </c>
      <c r="L209" s="27">
        <f t="shared" si="61"/>
        <v>50.767499999999998</v>
      </c>
      <c r="M209" s="27">
        <f t="shared" si="61"/>
        <v>0</v>
      </c>
      <c r="N209" s="27">
        <f t="shared" si="61"/>
        <v>0</v>
      </c>
      <c r="O209" s="28">
        <f t="shared" si="61"/>
        <v>0</v>
      </c>
    </row>
    <row r="210" spans="1:16" customFormat="1" ht="15.75" thickBot="1">
      <c r="A210" s="4"/>
      <c r="B210" s="24" t="str">
        <f>(B199)&amp;" NET Flow (In - Out)"</f>
        <v>Node 1.15 NET Flow (In - Out)</v>
      </c>
      <c r="C210" s="23"/>
      <c r="D210" s="193">
        <f t="shared" ref="D210:O210" si="62">MAX(D205-D209,0)</f>
        <v>2385.0605176118456</v>
      </c>
      <c r="E210" s="193">
        <f t="shared" si="62"/>
        <v>2733.4425891352939</v>
      </c>
      <c r="F210" s="193">
        <f t="shared" si="62"/>
        <v>7596.7841295666813</v>
      </c>
      <c r="G210" s="193">
        <f t="shared" si="62"/>
        <v>10183.269175647018</v>
      </c>
      <c r="H210" s="193">
        <f t="shared" si="62"/>
        <v>26130.143073524658</v>
      </c>
      <c r="I210" s="193">
        <f t="shared" si="62"/>
        <v>13959.141005403633</v>
      </c>
      <c r="J210" s="193">
        <f t="shared" si="62"/>
        <v>2728.8671094750034</v>
      </c>
      <c r="K210" s="193">
        <f t="shared" si="62"/>
        <v>2049.7258394433975</v>
      </c>
      <c r="L210" s="193">
        <f t="shared" si="62"/>
        <v>1638.4464163925873</v>
      </c>
      <c r="M210" s="193">
        <f t="shared" si="62"/>
        <v>3347.6714793966953</v>
      </c>
      <c r="N210" s="193">
        <f t="shared" si="62"/>
        <v>2880.2506053301295</v>
      </c>
      <c r="O210" s="200">
        <f t="shared" si="62"/>
        <v>2515.2434878980216</v>
      </c>
    </row>
    <row r="212" spans="1:16" ht="20.25">
      <c r="B212" s="285" t="s">
        <v>316</v>
      </c>
      <c r="C212" s="286"/>
      <c r="D212" s="286"/>
      <c r="E212" s="286"/>
      <c r="F212" s="286"/>
      <c r="G212" s="286"/>
      <c r="H212" s="286"/>
      <c r="I212" s="286"/>
      <c r="J212" s="286"/>
      <c r="K212" s="286"/>
      <c r="L212" s="286"/>
      <c r="M212" s="286"/>
      <c r="N212" s="286"/>
      <c r="O212" s="286"/>
    </row>
    <row r="215" spans="1:16">
      <c r="B215"/>
      <c r="C215"/>
      <c r="D215"/>
      <c r="E215"/>
      <c r="F215"/>
      <c r="G215"/>
      <c r="H215"/>
      <c r="I215"/>
      <c r="J215"/>
      <c r="K215"/>
      <c r="L215"/>
      <c r="M215"/>
      <c r="N215"/>
      <c r="O215"/>
      <c r="P215"/>
    </row>
    <row r="216" spans="1:16" ht="12.75" customHeight="1">
      <c r="B216"/>
      <c r="C216"/>
      <c r="D216"/>
      <c r="E216"/>
      <c r="F216"/>
      <c r="G216"/>
      <c r="H216"/>
      <c r="I216"/>
      <c r="J216"/>
      <c r="K216"/>
      <c r="L216"/>
      <c r="M216"/>
      <c r="N216"/>
      <c r="O216"/>
      <c r="P216"/>
    </row>
    <row r="217" spans="1:16">
      <c r="B217"/>
      <c r="C217"/>
      <c r="D217"/>
      <c r="E217"/>
      <c r="F217"/>
      <c r="G217"/>
      <c r="H217"/>
      <c r="I217"/>
      <c r="J217"/>
      <c r="K217"/>
      <c r="L217"/>
      <c r="M217"/>
      <c r="N217"/>
      <c r="O217"/>
      <c r="P217"/>
    </row>
    <row r="218" spans="1:16">
      <c r="B218"/>
      <c r="C218"/>
      <c r="D218"/>
      <c r="E218"/>
      <c r="F218"/>
      <c r="G218"/>
      <c r="H218"/>
      <c r="I218"/>
      <c r="J218"/>
      <c r="K218"/>
      <c r="L218"/>
      <c r="M218"/>
      <c r="N218"/>
      <c r="O218"/>
      <c r="P218"/>
    </row>
    <row r="219" spans="1:16">
      <c r="B219"/>
      <c r="C219"/>
      <c r="D219"/>
      <c r="E219"/>
      <c r="F219"/>
      <c r="G219"/>
      <c r="H219"/>
      <c r="I219"/>
      <c r="J219"/>
      <c r="K219"/>
      <c r="L219"/>
      <c r="M219"/>
      <c r="N219"/>
      <c r="O219"/>
      <c r="P219"/>
    </row>
    <row r="220" spans="1:16">
      <c r="B220"/>
      <c r="C220"/>
      <c r="D220"/>
      <c r="E220"/>
      <c r="F220"/>
      <c r="G220"/>
      <c r="H220"/>
      <c r="I220"/>
      <c r="J220"/>
      <c r="K220"/>
      <c r="L220"/>
      <c r="M220"/>
      <c r="N220"/>
      <c r="O220"/>
      <c r="P220"/>
    </row>
    <row r="221" spans="1:16">
      <c r="B221"/>
      <c r="C221"/>
      <c r="D221"/>
      <c r="E221"/>
      <c r="F221"/>
      <c r="G221"/>
      <c r="H221"/>
      <c r="I221"/>
      <c r="J221"/>
      <c r="K221"/>
      <c r="L221"/>
      <c r="M221"/>
      <c r="N221"/>
      <c r="O221"/>
      <c r="P221"/>
    </row>
    <row r="235" spans="2:2">
      <c r="B235"/>
    </row>
  </sheetData>
  <sheetProtection objects="1" scenarios="1"/>
  <mergeCells count="5">
    <mergeCell ref="W1:AJ1"/>
    <mergeCell ref="A3:A15"/>
    <mergeCell ref="X5:AF9"/>
    <mergeCell ref="P4:X4"/>
    <mergeCell ref="E1:M1"/>
  </mergeCells>
  <phoneticPr fontId="0" type="noConversion"/>
  <conditionalFormatting sqref="Z22:AK22 D107:O107">
    <cfRule type="cellIs" dxfId="15" priority="1" stopIfTrue="1" operator="lessThanOrEqual">
      <formula>0</formula>
    </cfRule>
  </conditionalFormatting>
  <conditionalFormatting sqref="D14:O14 D93:O93 D197:O197 D28:O28 D41:O41 D54:O54 D67:O67 D80:O80 D106:O106 D119:O119 D132:O132 D145:O145 D158:O158 D171:O171 D184:O184 D210:O210">
    <cfRule type="cellIs" dxfId="14" priority="2" stopIfTrue="1" operator="lessThanOrEqual">
      <formula>0</formula>
    </cfRule>
  </conditionalFormatting>
  <pageMargins left="0.75" right="0.75" top="1" bottom="1" header="0.5" footer="0.5"/>
  <pageSetup scale="65" fitToHeight="0" orientation="landscape" horizontalDpi="4294967292" verticalDpi="300" r:id="rId1"/>
  <headerFooter alignWithMargins="0">
    <oddHeader>&amp;C&amp;"Arial,Bold"&amp;12Bear River Spreadsheet Model
Dry Year Conditions</oddHeader>
    <oddFooter>&amp;L&amp;F &amp;A&amp;RAPPENDIX A (Page &amp;P of &amp;N)</oddFooter>
  </headerFooter>
  <rowBreaks count="5" manualBreakCount="5">
    <brk id="42" max="15" man="1"/>
    <brk id="81" max="15" man="1"/>
    <brk id="120" max="15" man="1"/>
    <brk id="159" max="15" man="1"/>
    <brk id="198" max="15" man="1"/>
  </rowBreaks>
  <drawing r:id="rId2"/>
  <legacyDrawing r:id="rId3"/>
</worksheet>
</file>

<file path=xl/worksheets/sheet5.xml><?xml version="1.0" encoding="utf-8"?>
<worksheet xmlns="http://schemas.openxmlformats.org/spreadsheetml/2006/main" xmlns:r="http://schemas.openxmlformats.org/officeDocument/2006/relationships">
  <sheetPr codeName="Sheet9">
    <pageSetUpPr autoPageBreaks="0"/>
  </sheetPr>
  <dimension ref="A1:AA65"/>
  <sheetViews>
    <sheetView showGridLines="0" zoomScale="75" zoomScaleNormal="75" workbookViewId="0">
      <pane ySplit="1" topLeftCell="A23" activePane="bottomLeft" state="frozen"/>
      <selection activeCell="B26" sqref="B26"/>
      <selection pane="bottomLeft" activeCell="K71" sqref="K71"/>
    </sheetView>
  </sheetViews>
  <sheetFormatPr defaultColWidth="10.28515625" defaultRowHeight="12.75"/>
  <cols>
    <col min="1" max="1" width="2.28515625" style="4" customWidth="1"/>
    <col min="2" max="2" width="10.85546875" style="4" customWidth="1"/>
    <col min="3" max="3" width="25.28515625" style="4" customWidth="1"/>
    <col min="4" max="4" width="10.5703125" style="4" customWidth="1"/>
    <col min="5" max="5" width="10.42578125" style="4" customWidth="1"/>
    <col min="6" max="15" width="8.7109375" style="4" customWidth="1"/>
    <col min="16" max="16384" width="10.28515625" style="4"/>
  </cols>
  <sheetData>
    <row r="1" spans="1:27" ht="43.5" customHeight="1">
      <c r="A1" s="2"/>
      <c r="B1" s="3"/>
      <c r="C1" s="3"/>
      <c r="D1"/>
      <c r="E1" s="661" t="s">
        <v>224</v>
      </c>
      <c r="F1" s="661"/>
      <c r="G1" s="661"/>
      <c r="H1" s="661"/>
      <c r="I1" s="661"/>
      <c r="J1" s="661"/>
      <c r="K1" s="661"/>
      <c r="L1" s="661"/>
      <c r="M1" s="661"/>
    </row>
    <row r="2" spans="1:27" ht="18.75" thickBot="1">
      <c r="A2" s="5"/>
      <c r="B2" s="6"/>
      <c r="C2" s="6"/>
      <c r="D2" s="6"/>
      <c r="E2" s="661"/>
      <c r="F2" s="661"/>
      <c r="G2" s="661"/>
      <c r="H2" s="661"/>
      <c r="I2" s="661"/>
      <c r="J2" s="661"/>
      <c r="K2" s="661"/>
      <c r="L2" s="661"/>
      <c r="M2" s="661"/>
      <c r="N2" s="7"/>
      <c r="O2" s="7"/>
    </row>
    <row r="3" spans="1:27" ht="18.75" thickBot="1">
      <c r="A3" s="662"/>
      <c r="B3" s="194" t="s">
        <v>77</v>
      </c>
      <c r="C3" s="195" t="str">
        <f>VLOOKUP(B3,NodeList!$D$4:$E$121,2,FALSE)</f>
        <v>USGS 10015700:  Sulphur Cr. ab Res.Bl.La Chapelle Cr.Nr.Evanston,WY</v>
      </c>
      <c r="D3" s="196"/>
      <c r="E3" s="196"/>
      <c r="F3" s="196"/>
      <c r="G3" s="196"/>
      <c r="H3" s="428"/>
      <c r="I3" s="428"/>
      <c r="J3" s="428"/>
      <c r="K3" s="428"/>
      <c r="L3" s="428"/>
      <c r="M3" s="428"/>
      <c r="N3" s="428"/>
      <c r="O3" s="437" t="s">
        <v>540</v>
      </c>
      <c r="P3" s="429"/>
      <c r="Q3" s="429"/>
      <c r="R3" s="429"/>
      <c r="S3" s="295"/>
      <c r="T3" s="295"/>
      <c r="U3" s="295"/>
      <c r="V3" s="295"/>
      <c r="W3" s="295"/>
      <c r="X3" s="295"/>
      <c r="Y3" s="295"/>
      <c r="Z3" s="295"/>
      <c r="AA3" s="295"/>
    </row>
    <row r="4" spans="1:27" ht="15">
      <c r="A4" s="662"/>
      <c r="B4" s="9" t="s">
        <v>16</v>
      </c>
      <c r="C4" s="10"/>
      <c r="D4" s="11" t="s">
        <v>0</v>
      </c>
      <c r="E4" s="11" t="s">
        <v>1</v>
      </c>
      <c r="F4" s="11" t="s">
        <v>2</v>
      </c>
      <c r="G4" s="11" t="s">
        <v>3</v>
      </c>
      <c r="H4" s="11" t="s">
        <v>4</v>
      </c>
      <c r="I4" s="11" t="s">
        <v>5</v>
      </c>
      <c r="J4" s="11" t="s">
        <v>6</v>
      </c>
      <c r="K4" s="11" t="s">
        <v>7</v>
      </c>
      <c r="L4" s="11" t="s">
        <v>8</v>
      </c>
      <c r="M4" s="11" t="s">
        <v>9</v>
      </c>
      <c r="N4" s="11" t="s">
        <v>10</v>
      </c>
      <c r="O4" s="12" t="s">
        <v>11</v>
      </c>
    </row>
    <row r="5" spans="1:27" ht="14.25">
      <c r="A5" s="662"/>
      <c r="B5" s="14" t="str">
        <f>+B3 &amp;" Gage Inflow"</f>
        <v>Node 2.00 Gage Inflow</v>
      </c>
      <c r="C5" s="13"/>
      <c r="D5" s="15">
        <f>VLOOKUP($B3,'USGS Gages'!$B$6:$P$19,4,FALSE)</f>
        <v>180.74770661157024</v>
      </c>
      <c r="E5" s="15">
        <f>VLOOKUP($B3,'USGS Gages'!$B$6:$P$19,5,FALSE)</f>
        <v>188.46940082644628</v>
      </c>
      <c r="F5" s="15">
        <f>VLOOKUP($B3,'USGS Gages'!$B$6:$P$19,6,FALSE)</f>
        <v>886.07324380165301</v>
      </c>
      <c r="G5" s="15">
        <f>VLOOKUP($B3,'USGS Gages'!$B$6:$P$19,7,FALSE)</f>
        <v>1143.808367768595</v>
      </c>
      <c r="H5" s="15">
        <f>VLOOKUP($B3,'USGS Gages'!$B$6:$P$19,8,FALSE)</f>
        <v>1487.0920454545453</v>
      </c>
      <c r="I5" s="15">
        <f>VLOOKUP($B3,'USGS Gages'!$B$6:$P$19,9,FALSE)</f>
        <v>639.0879132231405</v>
      </c>
      <c r="J5" s="15">
        <f>VLOOKUP($B3,'USGS Gages'!$B$6:$P$19,10,FALSE)</f>
        <v>162.32173553719008</v>
      </c>
      <c r="K5" s="15">
        <f>VLOOKUP($B3,'USGS Gages'!$B$6:$P$19,11,FALSE)</f>
        <v>60.872789256198352</v>
      </c>
      <c r="L5" s="15">
        <f>VLOOKUP($B3,'USGS Gages'!$B$6:$P$19,12,FALSE)</f>
        <v>49.380061983471073</v>
      </c>
      <c r="M5" s="15">
        <f>VLOOKUP($B3,'USGS Gages'!$B$6:$P$19,13,FALSE)</f>
        <v>135.11683884297523</v>
      </c>
      <c r="N5" s="15">
        <f>VLOOKUP($B3,'USGS Gages'!$B$6:$P$19,14,FALSE)</f>
        <v>195.62840909090909</v>
      </c>
      <c r="O5" s="16">
        <f>VLOOKUP($B3,'USGS Gages'!$B$6:$P$19,15,FALSE)</f>
        <v>178.57035123966944</v>
      </c>
    </row>
    <row r="6" spans="1:27" ht="14.25">
      <c r="A6" s="662"/>
      <c r="B6" s="14" t="str">
        <f>+B3 &amp;" Irrigation Returns"</f>
        <v>Node 2.00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row>
    <row r="7" spans="1:27" ht="14.25">
      <c r="A7" s="662"/>
      <c r="B7" s="14" t="s">
        <v>328</v>
      </c>
      <c r="C7" s="13" t="s">
        <v>180</v>
      </c>
      <c r="D7" s="54">
        <f>VLOOKUP($B7,GainLoss!$B$5:$O$14,3,FALSE)*0.03</f>
        <v>0</v>
      </c>
      <c r="E7" s="54">
        <f>VLOOKUP($B7,GainLoss!$B$5:$O$14,4,FALSE)*0.03</f>
        <v>0</v>
      </c>
      <c r="F7" s="54">
        <f>VLOOKUP($B7,GainLoss!$B$5:$O$14,5,FALSE)*0.03</f>
        <v>0</v>
      </c>
      <c r="G7" s="54">
        <f>VLOOKUP($B7,GainLoss!$B$5:$O$14,6,FALSE)*0.03</f>
        <v>0</v>
      </c>
      <c r="H7" s="54">
        <f>VLOOKUP($B7,GainLoss!$B$5:$O$14,7,FALSE)*0.03</f>
        <v>0</v>
      </c>
      <c r="I7" s="54">
        <f>VLOOKUP($B7,GainLoss!$B$5:$O$14,8,FALSE)*0.03</f>
        <v>0</v>
      </c>
      <c r="J7" s="54">
        <f>VLOOKUP($B7,GainLoss!$B$5:$O$14,9,FALSE)*0.03</f>
        <v>0</v>
      </c>
      <c r="K7" s="54">
        <f>VLOOKUP($B7,GainLoss!$B$5:$O$14,10,FALSE)*0.03</f>
        <v>0</v>
      </c>
      <c r="L7" s="54">
        <f>VLOOKUP($B7,GainLoss!$B$5:$O$14,11,FALSE)*0.03</f>
        <v>0</v>
      </c>
      <c r="M7" s="54">
        <f>VLOOKUP($B7,GainLoss!$B$5:$O$14,12,FALSE)*0.03</f>
        <v>0</v>
      </c>
      <c r="N7" s="54">
        <f>VLOOKUP($B7,GainLoss!$B$5:$O$14,13,FALSE)*0.03</f>
        <v>0</v>
      </c>
      <c r="O7" s="110">
        <f>VLOOKUP($B7,GainLoss!$B$5:$O$14,14,FALSE)*0.03</f>
        <v>0</v>
      </c>
    </row>
    <row r="8" spans="1:27" ht="14.25">
      <c r="A8" s="662"/>
      <c r="B8" s="14" t="str">
        <f>+B3 &amp;" Import/Export"</f>
        <v>Node 2.00 Import/Export</v>
      </c>
      <c r="C8" s="13"/>
      <c r="D8" s="190">
        <f>VLOOKUP($B3,ImportExport!$B$6:$O$68,3,FALSE)</f>
        <v>0</v>
      </c>
      <c r="E8" s="190">
        <f>VLOOKUP($B3,ImportExport!$B$6:$O$68,4,FALSE)</f>
        <v>0</v>
      </c>
      <c r="F8" s="190">
        <f>VLOOKUP($B3,ImportExport!$B$6:$O$68,5,FALSE)</f>
        <v>0</v>
      </c>
      <c r="G8" s="190">
        <f>VLOOKUP($B3,ImportExport!$B$6:$O$68,6,FALSE)</f>
        <v>0</v>
      </c>
      <c r="H8" s="190">
        <f>VLOOKUP($B3,ImportExport!$B$6:$O$68,7,FALSE)</f>
        <v>0</v>
      </c>
      <c r="I8" s="190">
        <f>VLOOKUP($B3,ImportExport!$B$6:$O$68,8,FALSE)</f>
        <v>0</v>
      </c>
      <c r="J8" s="190">
        <f>VLOOKUP($B3,ImportExport!$B$6:$O$68,9,FALSE)</f>
        <v>0</v>
      </c>
      <c r="K8" s="190">
        <f>VLOOKUP($B3,ImportExport!$B$6:$O$68,10,FALSE)</f>
        <v>0</v>
      </c>
      <c r="L8" s="190">
        <f>VLOOKUP($B3,ImportExport!$B$6:$O$68,11,FALSE)</f>
        <v>0</v>
      </c>
      <c r="M8" s="190">
        <f>VLOOKUP($B3,ImportExport!$B$6:$O$68,12,FALSE)</f>
        <v>0</v>
      </c>
      <c r="N8" s="190">
        <f>VLOOKUP($B3,ImportExport!$B$6:$O$68,13,FALSE)</f>
        <v>0</v>
      </c>
      <c r="O8" s="197">
        <f>VLOOKUP($B3,ImportExport!$B$6:$O$68,14,FALSE)</f>
        <v>0</v>
      </c>
    </row>
    <row r="9" spans="1:27" ht="15.75" thickBot="1">
      <c r="A9" s="662"/>
      <c r="B9" s="18" t="str">
        <f>"Total "&amp; (B3)&amp;" Inflow"</f>
        <v>Total Node 2.00 Inflow</v>
      </c>
      <c r="C9" s="17"/>
      <c r="D9" s="25">
        <f>SUM(D5:D8)</f>
        <v>180.74770661157024</v>
      </c>
      <c r="E9" s="25">
        <f t="shared" ref="E9:O9" si="0">SUM(E5:E8)</f>
        <v>188.46940082644628</v>
      </c>
      <c r="F9" s="25">
        <f t="shared" si="0"/>
        <v>886.07324380165301</v>
      </c>
      <c r="G9" s="25">
        <f t="shared" si="0"/>
        <v>1143.808367768595</v>
      </c>
      <c r="H9" s="25">
        <f t="shared" si="0"/>
        <v>1487.0920454545453</v>
      </c>
      <c r="I9" s="25">
        <f t="shared" si="0"/>
        <v>639.0879132231405</v>
      </c>
      <c r="J9" s="25">
        <f t="shared" si="0"/>
        <v>162.32173553719008</v>
      </c>
      <c r="K9" s="25">
        <f t="shared" si="0"/>
        <v>60.872789256198352</v>
      </c>
      <c r="L9" s="25">
        <f t="shared" si="0"/>
        <v>49.380061983471073</v>
      </c>
      <c r="M9" s="25">
        <f t="shared" si="0"/>
        <v>135.11683884297523</v>
      </c>
      <c r="N9" s="25">
        <f t="shared" si="0"/>
        <v>195.62840909090909</v>
      </c>
      <c r="O9" s="26">
        <f t="shared" si="0"/>
        <v>178.57035123966944</v>
      </c>
    </row>
    <row r="10" spans="1:27" ht="15">
      <c r="A10" s="662"/>
      <c r="B10" s="19" t="s">
        <v>17</v>
      </c>
      <c r="C10" s="20"/>
      <c r="D10" s="282" t="str">
        <f>IF(((VLOOKUP($B3,'Diversion Data'!$B$3:$O$227,3,FALSE))-D12)&gt;0,"Short","")</f>
        <v/>
      </c>
      <c r="E10" s="282" t="str">
        <f>IF(((VLOOKUP($B3,'Diversion Data'!$B$3:$O$227,4,FALSE))-E12)&gt;0,"Short","")</f>
        <v/>
      </c>
      <c r="F10" s="282" t="str">
        <f>IF(((VLOOKUP($B3,'Diversion Data'!$B$3:$O$227,5,FALSE))-F12)&gt;0,"Short","")</f>
        <v/>
      </c>
      <c r="G10" s="282" t="str">
        <f>IF(((VLOOKUP($B3,'Diversion Data'!$B$3:$O$227,6,FALSE))-G12)&gt;0,"Short","")</f>
        <v/>
      </c>
      <c r="H10" s="282" t="str">
        <f>IF(((VLOOKUP($B3,'Diversion Data'!$B$3:$O$227,7,FALSE))-H12)&gt;0,"Short","")</f>
        <v/>
      </c>
      <c r="I10" s="282" t="str">
        <f>IF(((VLOOKUP($B3,'Diversion Data'!$B$3:$O$227,8,FALSE))-I12)&gt;0,"Short","")</f>
        <v/>
      </c>
      <c r="J10" s="282" t="str">
        <f>IF(((VLOOKUP($B3,'Diversion Data'!$B$3:$O$227,9,FALSE))-J12)&gt;0,"Short","")</f>
        <v/>
      </c>
      <c r="K10" s="282" t="str">
        <f>IF(((VLOOKUP($B3,'Diversion Data'!$B$3:$O$227,10,FALSE))-K12)&gt;0,"Short","")</f>
        <v/>
      </c>
      <c r="L10" s="282" t="str">
        <f>IF(((VLOOKUP($B3,'Diversion Data'!$B$3:$O$227,11,FALSE))-L12)&gt;0,"Short","")</f>
        <v/>
      </c>
      <c r="M10" s="282" t="str">
        <f>IF(((VLOOKUP($B3,'Diversion Data'!$B$3:$O$227,12,FALSE))-M12)&gt;0,"Short","")</f>
        <v/>
      </c>
      <c r="N10" s="282" t="str">
        <f>IF(((VLOOKUP($B3,'Diversion Data'!$B$3:$O$227,13,FALSE))-N12)&gt;0,"Short","")</f>
        <v/>
      </c>
      <c r="O10" s="283" t="str">
        <f>IF(((VLOOKUP($B3,'Diversion Data'!$B$3:$O$227,14,FALSE))-O12)&gt;0,"Short","")</f>
        <v/>
      </c>
    </row>
    <row r="11" spans="1:27" ht="14.25">
      <c r="A11" s="662"/>
      <c r="B11" s="14" t="s">
        <v>81</v>
      </c>
      <c r="C11" s="13" t="s">
        <v>181</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8">
        <f>VLOOKUP($B11,GainLoss!$B$19:$O$27,14,FALSE)</f>
        <v>0</v>
      </c>
    </row>
    <row r="12" spans="1:27" ht="14.25">
      <c r="A12" s="662"/>
      <c r="B12" s="14" t="str">
        <f>+B3 &amp;" Diversions"</f>
        <v>Node 2.00 Diversions</v>
      </c>
      <c r="C12" s="13"/>
      <c r="D12" s="54">
        <f>MIN(VLOOKUP($B3,'Diversion Data'!$B$3:$O$227,3,FALSE),(D9-D11))</f>
        <v>0</v>
      </c>
      <c r="E12" s="54">
        <f>MIN(VLOOKUP($B3,'Diversion Data'!$B$3:$O$227,4,FALSE),(E9-E11))</f>
        <v>0</v>
      </c>
      <c r="F12" s="54">
        <f>MIN(VLOOKUP($B3,'Diversion Data'!$B$3:$O$227,5,FALSE),(F9-F11))</f>
        <v>0</v>
      </c>
      <c r="G12" s="54">
        <f>MIN(VLOOKUP($B3,'Diversion Data'!$B$3:$O$227,6,FALSE),(G9-G11))</f>
        <v>0</v>
      </c>
      <c r="H12" s="54">
        <f>MIN(VLOOKUP($B3,'Diversion Data'!$B$3:$O$227,7,FALSE),(H9-H11))</f>
        <v>0</v>
      </c>
      <c r="I12" s="54">
        <f>MIN(VLOOKUP($B3,'Diversion Data'!$B$3:$O$227,8,FALSE),(I9-I11))</f>
        <v>0</v>
      </c>
      <c r="J12" s="54">
        <f>MIN(VLOOKUP($B3,'Diversion Data'!$B$3:$O$227,9,FALSE),(J9-J11))</f>
        <v>0</v>
      </c>
      <c r="K12" s="54">
        <f>MIN(VLOOKUP($B3,'Diversion Data'!$B$3:$O$227,10,FALSE),(K9-K11))</f>
        <v>0</v>
      </c>
      <c r="L12" s="54">
        <f>MIN(VLOOKUP($B3,'Diversion Data'!$B$3:$O$227,11,FALSE),(L9-L11))</f>
        <v>0</v>
      </c>
      <c r="M12" s="54">
        <f>MIN(VLOOKUP($B3,'Diversion Data'!$B$3:$O$227,12,FALSE),(M9-M11))</f>
        <v>0</v>
      </c>
      <c r="N12" s="54">
        <f>MIN(VLOOKUP($B3,'Diversion Data'!$B$3:$O$227,13,FALSE),(N9-N11))</f>
        <v>0</v>
      </c>
      <c r="O12" s="110">
        <f>MIN(VLOOKUP($B3,'Diversion Data'!$B$3:$O$227,14,FALSE),(O9-O11))</f>
        <v>0</v>
      </c>
    </row>
    <row r="13" spans="1:27" ht="15.75" thickBot="1">
      <c r="A13" s="662"/>
      <c r="B13" s="24" t="str">
        <f>"Total " &amp; (B3) &amp;" Outflow"</f>
        <v>Total Node 2.00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27" ht="15.75" thickBot="1">
      <c r="A14" s="662"/>
      <c r="B14" s="24" t="str">
        <f>(B3)&amp;" NET Flow (In - Out)"</f>
        <v>Node 2.00 NET Flow (In - Out)</v>
      </c>
      <c r="C14" s="23"/>
      <c r="D14" s="193">
        <f t="shared" ref="D14:O14" si="2">MAX(D9-D13,0)</f>
        <v>180.74770661157024</v>
      </c>
      <c r="E14" s="193">
        <f t="shared" si="2"/>
        <v>188.46940082644628</v>
      </c>
      <c r="F14" s="193">
        <f t="shared" si="2"/>
        <v>886.07324380165301</v>
      </c>
      <c r="G14" s="193">
        <f t="shared" si="2"/>
        <v>1143.808367768595</v>
      </c>
      <c r="H14" s="193">
        <f t="shared" si="2"/>
        <v>1487.0920454545453</v>
      </c>
      <c r="I14" s="193">
        <f t="shared" si="2"/>
        <v>639.0879132231405</v>
      </c>
      <c r="J14" s="193">
        <f t="shared" si="2"/>
        <v>162.32173553719008</v>
      </c>
      <c r="K14" s="193">
        <f t="shared" si="2"/>
        <v>60.872789256198352</v>
      </c>
      <c r="L14" s="193">
        <f t="shared" si="2"/>
        <v>49.380061983471073</v>
      </c>
      <c r="M14" s="193">
        <f t="shared" si="2"/>
        <v>135.11683884297523</v>
      </c>
      <c r="N14" s="193">
        <f t="shared" si="2"/>
        <v>195.62840909090909</v>
      </c>
      <c r="O14" s="200">
        <f t="shared" si="2"/>
        <v>178.57035123966944</v>
      </c>
    </row>
    <row r="15" spans="1:27" ht="15">
      <c r="B15" s="108"/>
      <c r="C15" s="109"/>
      <c r="D15" s="177"/>
      <c r="E15" s="177"/>
      <c r="F15" s="177"/>
      <c r="G15" s="177"/>
      <c r="H15" s="177"/>
      <c r="I15" s="177"/>
      <c r="J15" s="177"/>
      <c r="K15" s="177"/>
      <c r="L15" s="177"/>
      <c r="M15" s="177"/>
      <c r="N15" s="177"/>
      <c r="O15" s="297"/>
    </row>
    <row r="16" spans="1:27" ht="15.75" thickBot="1">
      <c r="B16" s="108" t="s">
        <v>78</v>
      </c>
      <c r="C16" s="109" t="str">
        <f>VLOOKUP(B16,NodeList!$D$4:$E$121,2,FALSE)</f>
        <v>AggDiv SC-1/Broadbent</v>
      </c>
      <c r="D16" s="361"/>
      <c r="E16" s="361"/>
      <c r="F16" s="361"/>
      <c r="G16" s="361"/>
      <c r="H16" s="362"/>
      <c r="I16" s="362"/>
      <c r="J16" s="362"/>
      <c r="K16" s="362"/>
      <c r="L16" s="362"/>
      <c r="M16" s="362"/>
      <c r="N16" s="362"/>
      <c r="O16" s="362"/>
    </row>
    <row r="17" spans="1: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1:15" ht="14.25">
      <c r="B18" s="14" t="str">
        <f>+B16 &amp;" Node Inflow"</f>
        <v>Node 2.01 Node Inflow</v>
      </c>
      <c r="C18" s="13"/>
      <c r="D18" s="15">
        <f>+D14</f>
        <v>180.74770661157024</v>
      </c>
      <c r="E18" s="15">
        <f t="shared" ref="E18:O18" si="3">+E14</f>
        <v>188.46940082644628</v>
      </c>
      <c r="F18" s="15">
        <f t="shared" si="3"/>
        <v>886.07324380165301</v>
      </c>
      <c r="G18" s="15">
        <f t="shared" si="3"/>
        <v>1143.808367768595</v>
      </c>
      <c r="H18" s="15">
        <f t="shared" si="3"/>
        <v>1487.0920454545453</v>
      </c>
      <c r="I18" s="15">
        <f t="shared" si="3"/>
        <v>639.0879132231405</v>
      </c>
      <c r="J18" s="15">
        <f t="shared" si="3"/>
        <v>162.32173553719008</v>
      </c>
      <c r="K18" s="15">
        <f t="shared" si="3"/>
        <v>60.872789256198352</v>
      </c>
      <c r="L18" s="15">
        <f t="shared" si="3"/>
        <v>49.380061983471073</v>
      </c>
      <c r="M18" s="15">
        <f t="shared" si="3"/>
        <v>135.11683884297523</v>
      </c>
      <c r="N18" s="15">
        <f t="shared" si="3"/>
        <v>195.62840909090909</v>
      </c>
      <c r="O18" s="16">
        <f t="shared" si="3"/>
        <v>178.57035123966944</v>
      </c>
    </row>
    <row r="19" spans="1:15" ht="14.25">
      <c r="B19" s="14" t="str">
        <f>+B16 &amp;" Irrigation Returns"</f>
        <v>Node 2.01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0</v>
      </c>
      <c r="I19" s="54">
        <f>VLOOKUP(($B16),'Irrigation Returns'!$B$644:$P$930,9,FALSE)</f>
        <v>0</v>
      </c>
      <c r="J19" s="54">
        <f>VLOOKUP(($B16),'Irrigation Returns'!$B$644:$P$930,10,FALSE)</f>
        <v>0</v>
      </c>
      <c r="K19" s="54">
        <f>VLOOKUP(($B16),'Irrigation Returns'!$B$644:$P$930,11,FALSE)</f>
        <v>0</v>
      </c>
      <c r="L19" s="54">
        <f>VLOOKUP(($B16),'Irrigation Returns'!$B$644:$P$930,12,FALSE)</f>
        <v>0</v>
      </c>
      <c r="M19" s="54">
        <f>VLOOKUP(($B16),'Irrigation Returns'!$B$644:$P$930,13,FALSE)</f>
        <v>0</v>
      </c>
      <c r="N19" s="54">
        <f>VLOOKUP(($B16),'Irrigation Returns'!$B$644:$P$930,14,FALSE)</f>
        <v>0</v>
      </c>
      <c r="O19" s="110">
        <f>VLOOKUP(($B16),'Irrigation Returns'!$B$644:$P$930,15,FALSE)</f>
        <v>0</v>
      </c>
    </row>
    <row r="20" spans="1:15" ht="14.25">
      <c r="B20" s="14" t="s">
        <v>328</v>
      </c>
      <c r="C20" s="13" t="s">
        <v>180</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1:15" ht="14.25">
      <c r="B21" s="14" t="str">
        <f>+B16 &amp;" Import/Export"</f>
        <v>Node 2.01 Import/Export</v>
      </c>
      <c r="C21" s="13"/>
      <c r="D21" s="190">
        <f>VLOOKUP($B16,ImportExport!$B$6:$O$68,3,FALSE)</f>
        <v>0</v>
      </c>
      <c r="E21" s="190">
        <f>VLOOKUP($B16,ImportExport!$B$6:$O$68,4,FALSE)</f>
        <v>0</v>
      </c>
      <c r="F21" s="190">
        <f>VLOOKUP($B16,ImportExport!$B$6:$O$68,5,FALSE)</f>
        <v>0</v>
      </c>
      <c r="G21" s="190">
        <f>VLOOKUP($B16,ImportExport!$B$6:$O$68,6,FALSE)</f>
        <v>0</v>
      </c>
      <c r="H21" s="190">
        <f>VLOOKUP($B16,ImportExport!$B$6:$O$68,7,FALSE)</f>
        <v>0</v>
      </c>
      <c r="I21" s="190">
        <f>VLOOKUP($B16,ImportExport!$B$6:$O$68,8,FALSE)</f>
        <v>12</v>
      </c>
      <c r="J21" s="190">
        <f>VLOOKUP($B16,ImportExport!$B$6:$O$68,9,FALSE)</f>
        <v>12</v>
      </c>
      <c r="K21" s="190">
        <f>VLOOKUP($B16,ImportExport!$B$6:$O$68,10,FALSE)</f>
        <v>12</v>
      </c>
      <c r="L21" s="190">
        <f>VLOOKUP($B16,ImportExport!$B$6:$O$68,11,FALSE)</f>
        <v>12</v>
      </c>
      <c r="M21" s="190">
        <f>VLOOKUP($B16,ImportExport!$B$6:$O$68,12,FALSE)</f>
        <v>0</v>
      </c>
      <c r="N21" s="190">
        <f>VLOOKUP($B16,ImportExport!$B$6:$O$68,13,FALSE)</f>
        <v>0</v>
      </c>
      <c r="O21" s="197">
        <f>VLOOKUP($B16,ImportExport!$B$6:$O$68,14,FALSE)</f>
        <v>0</v>
      </c>
    </row>
    <row r="22" spans="1:15" ht="15.75" thickBot="1">
      <c r="B22" s="18" t="str">
        <f>"Total "&amp; (B16)&amp;" Inflow"</f>
        <v>Total Node 2.01 Inflow</v>
      </c>
      <c r="C22" s="17"/>
      <c r="D22" s="25">
        <f>SUM(D18:D21)</f>
        <v>180.74770661157024</v>
      </c>
      <c r="E22" s="25">
        <f t="shared" ref="E22:O22" si="4">SUM(E18:E21)</f>
        <v>188.46940082644628</v>
      </c>
      <c r="F22" s="25">
        <f t="shared" si="4"/>
        <v>886.07324380165301</v>
      </c>
      <c r="G22" s="25">
        <f t="shared" si="4"/>
        <v>1143.808367768595</v>
      </c>
      <c r="H22" s="25">
        <f t="shared" si="4"/>
        <v>1487.0920454545453</v>
      </c>
      <c r="I22" s="25">
        <f t="shared" si="4"/>
        <v>651.0879132231405</v>
      </c>
      <c r="J22" s="25">
        <f t="shared" si="4"/>
        <v>174.32173553719008</v>
      </c>
      <c r="K22" s="25">
        <f t="shared" si="4"/>
        <v>72.872789256198359</v>
      </c>
      <c r="L22" s="25">
        <f t="shared" si="4"/>
        <v>61.380061983471073</v>
      </c>
      <c r="M22" s="25">
        <f t="shared" si="4"/>
        <v>135.11683884297523</v>
      </c>
      <c r="N22" s="25">
        <f t="shared" si="4"/>
        <v>195.62840909090909</v>
      </c>
      <c r="O22" s="26">
        <f t="shared" si="4"/>
        <v>178.57035123966944</v>
      </c>
    </row>
    <row r="23" spans="1:15" ht="15">
      <c r="B23" s="19" t="s">
        <v>17</v>
      </c>
      <c r="C23" s="20"/>
      <c r="D23" s="282" t="str">
        <f>IF(((VLOOKUP($B16,'Diversion Data'!$B$3:$O$227,3,FALSE))-D25)&gt;0,"Short","")</f>
        <v/>
      </c>
      <c r="E23" s="282" t="str">
        <f>IF(((VLOOKUP($B16,'Diversion Data'!$B$3:$O$227,4,FALSE))-E25)&gt;0,"Short","")</f>
        <v/>
      </c>
      <c r="F23" s="282" t="str">
        <f>IF(((VLOOKUP($B16,'Diversion Data'!$B$3:$O$227,5,FALSE))-F25)&gt;0,"Short","")</f>
        <v/>
      </c>
      <c r="G23" s="282" t="str">
        <f>IF(((VLOOKUP($B16,'Diversion Data'!$B$3:$O$227,6,FALSE))-G25)&gt;0,"Short","")</f>
        <v/>
      </c>
      <c r="H23" s="282" t="str">
        <f>IF(((VLOOKUP($B16,'Diversion Data'!$B$3:$O$227,7,FALSE))-H25)&gt;0,"Short","")</f>
        <v/>
      </c>
      <c r="I23" s="282" t="str">
        <f>IF(((VLOOKUP($B16,'Diversion Data'!$B$3:$O$227,8,FALSE))-I25)&gt;0,"Short","")</f>
        <v/>
      </c>
      <c r="J23" s="282" t="str">
        <f>IF(((VLOOKUP($B16,'Diversion Data'!$B$3:$O$227,9,FALSE))-J25)&gt;0,"Short","")</f>
        <v/>
      </c>
      <c r="K23" s="282" t="str">
        <f>IF(((VLOOKUP($B16,'Diversion Data'!$B$3:$O$227,10,FALSE))-K25)&gt;0,"Short","")</f>
        <v/>
      </c>
      <c r="L23" s="282" t="str">
        <f>IF(((VLOOKUP($B16,'Diversion Data'!$B$3:$O$227,11,FALSE))-L25)&gt;0,"Short","")</f>
        <v/>
      </c>
      <c r="M23" s="282" t="str">
        <f>IF(((VLOOKUP($B16,'Diversion Data'!$B$3:$O$227,12,FALSE))-M25)&gt;0,"Short","")</f>
        <v/>
      </c>
      <c r="N23" s="282" t="str">
        <f>IF(((VLOOKUP($B16,'Diversion Data'!$B$3:$O$227,13,FALSE))-N25)&gt;0,"Short","")</f>
        <v/>
      </c>
      <c r="O23" s="283" t="str">
        <f>IF(((VLOOKUP($B16,'Diversion Data'!$B$3:$O$227,14,FALSE))-O25)&gt;0,"Short","")</f>
        <v/>
      </c>
    </row>
    <row r="24" spans="1:15" ht="14.25">
      <c r="B24" s="14" t="s">
        <v>81</v>
      </c>
      <c r="C24" s="13" t="s">
        <v>181</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8">
        <f>VLOOKUP($B24,GainLoss!$B$19:$O$27,14,FALSE)</f>
        <v>0</v>
      </c>
    </row>
    <row r="25" spans="1:15" ht="14.25">
      <c r="B25" s="14" t="str">
        <f>+B16 &amp;" Diversions"</f>
        <v>Node 2.01 Diversions</v>
      </c>
      <c r="C25" s="13"/>
      <c r="D25" s="54">
        <f>MIN(VLOOKUP($B16,'Diversion Data'!$B$3:$O$227,3,FALSE),(D22-D24))</f>
        <v>0</v>
      </c>
      <c r="E25" s="54">
        <f>MIN(VLOOKUP($B16,'Diversion Data'!$B$3:$O$227,4,FALSE),(E22-E24))</f>
        <v>0</v>
      </c>
      <c r="F25" s="54">
        <f>MIN(VLOOKUP($B16,'Diversion Data'!$B$3:$O$227,5,FALSE),(F22-F24))</f>
        <v>0</v>
      </c>
      <c r="G25" s="54">
        <f>MIN(VLOOKUP($B16,'Diversion Data'!$B$3:$O$227,6,FALSE),(G22-G24))</f>
        <v>0</v>
      </c>
      <c r="H25" s="54">
        <f>MIN(VLOOKUP($B16,'Diversion Data'!$B$3:$O$227,7,FALSE),(H22-H24))</f>
        <v>0</v>
      </c>
      <c r="I25" s="54">
        <f>MIN(VLOOKUP($B16,'Diversion Data'!$B$3:$O$227,8,FALSE),(I22-I24))</f>
        <v>0</v>
      </c>
      <c r="J25" s="54">
        <f>MIN(VLOOKUP($B16,'Diversion Data'!$B$3:$O$227,9,FALSE),(J22-J24))</f>
        <v>0</v>
      </c>
      <c r="K25" s="54">
        <f>MIN(VLOOKUP($B16,'Diversion Data'!$B$3:$O$227,10,FALSE),(K22-K24))</f>
        <v>0</v>
      </c>
      <c r="L25" s="54">
        <f>MIN(VLOOKUP($B16,'Diversion Data'!$B$3:$O$227,11,FALSE),(L22-L24))</f>
        <v>0</v>
      </c>
      <c r="M25" s="54">
        <f>MIN(VLOOKUP($B16,'Diversion Data'!$B$3:$O$227,12,FALSE),(M22-M24))</f>
        <v>0</v>
      </c>
      <c r="N25" s="54">
        <f>MIN(VLOOKUP($B16,'Diversion Data'!$B$3:$O$227,13,FALSE),(N22-N24))</f>
        <v>0</v>
      </c>
      <c r="O25" s="110">
        <f>MIN(VLOOKUP($B16,'Diversion Data'!$B$3:$O$227,14,FALSE),(O22-O24))</f>
        <v>0</v>
      </c>
    </row>
    <row r="26" spans="1:15" ht="15.75" thickBot="1">
      <c r="B26" s="24" t="str">
        <f>"Total " &amp; (B16) &amp;" Outflow"</f>
        <v>Total Node 2.01 Outflow</v>
      </c>
      <c r="C26" s="23"/>
      <c r="D26" s="27">
        <f t="shared" ref="D26:O26" si="5">SUM(D24:D25)</f>
        <v>0</v>
      </c>
      <c r="E26" s="27">
        <f t="shared" si="5"/>
        <v>0</v>
      </c>
      <c r="F26" s="27">
        <f t="shared" si="5"/>
        <v>0</v>
      </c>
      <c r="G26" s="27">
        <f t="shared" si="5"/>
        <v>0</v>
      </c>
      <c r="H26" s="27">
        <f t="shared" si="5"/>
        <v>0</v>
      </c>
      <c r="I26" s="27">
        <f t="shared" si="5"/>
        <v>0</v>
      </c>
      <c r="J26" s="27">
        <f t="shared" si="5"/>
        <v>0</v>
      </c>
      <c r="K26" s="27">
        <f t="shared" si="5"/>
        <v>0</v>
      </c>
      <c r="L26" s="27">
        <f t="shared" si="5"/>
        <v>0</v>
      </c>
      <c r="M26" s="27">
        <f t="shared" si="5"/>
        <v>0</v>
      </c>
      <c r="N26" s="27">
        <f t="shared" si="5"/>
        <v>0</v>
      </c>
      <c r="O26" s="28">
        <f t="shared" si="5"/>
        <v>0</v>
      </c>
    </row>
    <row r="27" spans="1:15" ht="15.75" thickBot="1">
      <c r="B27" s="24" t="str">
        <f>(B16)&amp;" NET Flow (In - Out)"</f>
        <v>Node 2.01 NET Flow (In - Out)</v>
      </c>
      <c r="C27" s="23"/>
      <c r="D27" s="193">
        <f t="shared" ref="D27:O27" si="6">MAX(D22-D26,0)</f>
        <v>180.74770661157024</v>
      </c>
      <c r="E27" s="193">
        <f t="shared" si="6"/>
        <v>188.46940082644628</v>
      </c>
      <c r="F27" s="193">
        <f t="shared" si="6"/>
        <v>886.07324380165301</v>
      </c>
      <c r="G27" s="193">
        <f t="shared" si="6"/>
        <v>1143.808367768595</v>
      </c>
      <c r="H27" s="193">
        <f t="shared" si="6"/>
        <v>1487.0920454545453</v>
      </c>
      <c r="I27" s="193">
        <f t="shared" si="6"/>
        <v>651.0879132231405</v>
      </c>
      <c r="J27" s="193">
        <f t="shared" si="6"/>
        <v>174.32173553719008</v>
      </c>
      <c r="K27" s="193">
        <f t="shared" si="6"/>
        <v>72.872789256198359</v>
      </c>
      <c r="L27" s="193">
        <f t="shared" si="6"/>
        <v>61.380061983471073</v>
      </c>
      <c r="M27" s="193">
        <f t="shared" si="6"/>
        <v>135.11683884297523</v>
      </c>
      <c r="N27" s="193">
        <f t="shared" si="6"/>
        <v>195.62840909090909</v>
      </c>
      <c r="O27" s="200">
        <f t="shared" si="6"/>
        <v>178.57035123966944</v>
      </c>
    </row>
    <row r="28" spans="1:15" ht="15">
      <c r="B28" s="108"/>
      <c r="C28" s="109"/>
      <c r="D28" s="6"/>
      <c r="E28" s="6"/>
      <c r="F28" s="6"/>
      <c r="G28" s="6"/>
      <c r="H28" s="7"/>
      <c r="I28" s="7"/>
      <c r="J28" s="7"/>
      <c r="K28" s="7"/>
      <c r="L28" s="7"/>
      <c r="M28" s="7"/>
      <c r="N28" s="7"/>
      <c r="O28" s="7"/>
    </row>
    <row r="29" spans="1:15" ht="21" thickBot="1">
      <c r="A29" s="8"/>
      <c r="B29" s="108" t="s">
        <v>161</v>
      </c>
      <c r="C29" s="109" t="str">
        <f>VLOOKUP(B29,NodeList!$D$4:$E$121,2,FALSE)</f>
        <v>Sulphur Creek Reservoir</v>
      </c>
      <c r="D29" s="6"/>
      <c r="E29" s="191" t="s">
        <v>185</v>
      </c>
      <c r="F29" s="6"/>
      <c r="G29" s="6"/>
      <c r="H29" s="7"/>
      <c r="I29" s="7"/>
      <c r="J29" s="7"/>
      <c r="K29" s="7"/>
      <c r="L29" s="7"/>
      <c r="M29" s="7"/>
      <c r="N29" s="7"/>
      <c r="O29" s="7"/>
    </row>
    <row r="30" spans="1:15" ht="15">
      <c r="A30" s="13"/>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1:15" ht="14.25">
      <c r="A31" s="13"/>
      <c r="B31" s="14" t="str">
        <f>+B29 &amp;" Node Inflow"</f>
        <v>Node 2.02 Node Inflow</v>
      </c>
      <c r="C31" s="13"/>
      <c r="D31" s="139">
        <f t="shared" ref="D31:O31" si="7">+D27</f>
        <v>180.74770661157024</v>
      </c>
      <c r="E31" s="139">
        <f t="shared" si="7"/>
        <v>188.46940082644628</v>
      </c>
      <c r="F31" s="139">
        <f t="shared" si="7"/>
        <v>886.07324380165301</v>
      </c>
      <c r="G31" s="139">
        <f t="shared" si="7"/>
        <v>1143.808367768595</v>
      </c>
      <c r="H31" s="139">
        <f t="shared" si="7"/>
        <v>1487.0920454545453</v>
      </c>
      <c r="I31" s="139">
        <f t="shared" si="7"/>
        <v>651.0879132231405</v>
      </c>
      <c r="J31" s="139">
        <f t="shared" si="7"/>
        <v>174.32173553719008</v>
      </c>
      <c r="K31" s="139">
        <f t="shared" si="7"/>
        <v>72.872789256198359</v>
      </c>
      <c r="L31" s="139">
        <f t="shared" si="7"/>
        <v>61.380061983471073</v>
      </c>
      <c r="M31" s="139">
        <f t="shared" si="7"/>
        <v>135.11683884297523</v>
      </c>
      <c r="N31" s="139">
        <f t="shared" si="7"/>
        <v>195.62840909090909</v>
      </c>
      <c r="O31" s="201">
        <f t="shared" si="7"/>
        <v>178.57035123966944</v>
      </c>
    </row>
    <row r="32" spans="1:15" ht="14.25">
      <c r="A32" s="13"/>
      <c r="B32" s="14" t="str">
        <f>+B29 &amp;" Irrigation Returns"</f>
        <v>Node 2.02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892.94336844099416</v>
      </c>
      <c r="I32" s="54">
        <f>VLOOKUP(($B29),'Irrigation Returns'!$B$644:$P$930,9,FALSE)</f>
        <v>1905.7849604552562</v>
      </c>
      <c r="J32" s="54">
        <f>VLOOKUP(($B29),'Irrigation Returns'!$B$644:$P$930,10,FALSE)</f>
        <v>1687.9087733801703</v>
      </c>
      <c r="K32" s="54">
        <f>VLOOKUP(($B29),'Irrigation Returns'!$B$644:$P$930,11,FALSE)</f>
        <v>1147.136366785131</v>
      </c>
      <c r="L32" s="54">
        <f>VLOOKUP(($B29),'Irrigation Returns'!$B$644:$P$930,12,FALSE)</f>
        <v>752.77179942835937</v>
      </c>
      <c r="M32" s="54">
        <f>VLOOKUP(($B29),'Irrigation Returns'!$B$644:$P$930,13,FALSE)</f>
        <v>274.25148572029138</v>
      </c>
      <c r="N32" s="54">
        <f>VLOOKUP(($B29),'Irrigation Returns'!$B$644:$P$930,14,FALSE)</f>
        <v>85.41797942174091</v>
      </c>
      <c r="O32" s="110">
        <f>VLOOKUP(($B29),'Irrigation Returns'!$B$644:$P$930,15,FALSE)</f>
        <v>32.202766566326162</v>
      </c>
    </row>
    <row r="33" spans="1:15" ht="14.25">
      <c r="A33" s="13"/>
      <c r="B33" s="14" t="s">
        <v>328</v>
      </c>
      <c r="C33" s="13" t="s">
        <v>82</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1:15" ht="15">
      <c r="A34" s="17"/>
      <c r="B34" s="14" t="str">
        <f>+B29 &amp;" Import/Export"</f>
        <v>Node 2.02 Import/Export</v>
      </c>
      <c r="C34" s="13"/>
      <c r="D34" s="190">
        <f>VLOOKUP($B29,ImportExport!$B$6:$O$68,3,FALSE)</f>
        <v>0</v>
      </c>
      <c r="E34" s="190">
        <f>VLOOKUP($B29,ImportExport!$B$6:$O$68,4,FALSE)</f>
        <v>0</v>
      </c>
      <c r="F34" s="190">
        <f>VLOOKUP($B29,ImportExport!$B$6:$O$68,5,FALSE)</f>
        <v>0</v>
      </c>
      <c r="G34" s="190">
        <f>VLOOKUP($B29,ImportExport!$B$6:$O$68,6,FALSE)</f>
        <v>0</v>
      </c>
      <c r="H34" s="190">
        <f>VLOOKUP($B29,ImportExport!$B$6:$O$68,7,FALSE)</f>
        <v>0</v>
      </c>
      <c r="I34" s="190">
        <f>VLOOKUP($B29,ImportExport!$B$6:$O$68,8,FALSE)</f>
        <v>0</v>
      </c>
      <c r="J34" s="190">
        <f>VLOOKUP($B29,ImportExport!$B$6:$O$68,9,FALSE)</f>
        <v>0</v>
      </c>
      <c r="K34" s="190">
        <f>VLOOKUP($B29,ImportExport!$B$6:$O$68,10,FALSE)</f>
        <v>0</v>
      </c>
      <c r="L34" s="190">
        <f>VLOOKUP($B29,ImportExport!$B$6:$O$68,11,FALSE)</f>
        <v>0</v>
      </c>
      <c r="M34" s="190">
        <f>VLOOKUP($B29,ImportExport!$B$6:$O$68,12,FALSE)</f>
        <v>0</v>
      </c>
      <c r="N34" s="190">
        <f>VLOOKUP($B29,ImportExport!$B$6:$O$68,13,FALSE)</f>
        <v>0</v>
      </c>
      <c r="O34" s="197">
        <f>VLOOKUP($B29,ImportExport!$B$6:$O$68,14,FALSE)</f>
        <v>0</v>
      </c>
    </row>
    <row r="35" spans="1:15" ht="15.75" thickBot="1">
      <c r="A35" s="17"/>
      <c r="B35" s="18" t="str">
        <f>"Total "&amp; (B29)&amp;" Inflow"</f>
        <v>Total Node 2.02 Inflow</v>
      </c>
      <c r="C35" s="17"/>
      <c r="D35" s="25">
        <f t="shared" ref="D35:O35" si="8">SUM(D31:D34)</f>
        <v>180.74770661157024</v>
      </c>
      <c r="E35" s="25">
        <f t="shared" si="8"/>
        <v>188.46940082644628</v>
      </c>
      <c r="F35" s="25">
        <f t="shared" si="8"/>
        <v>886.07324380165301</v>
      </c>
      <c r="G35" s="25">
        <f t="shared" si="8"/>
        <v>1143.808367768595</v>
      </c>
      <c r="H35" s="25">
        <f t="shared" si="8"/>
        <v>2380.0354138955395</v>
      </c>
      <c r="I35" s="25">
        <f t="shared" si="8"/>
        <v>2556.8728736783969</v>
      </c>
      <c r="J35" s="25">
        <f t="shared" si="8"/>
        <v>1862.2305089173603</v>
      </c>
      <c r="K35" s="25">
        <f t="shared" si="8"/>
        <v>1220.0091560413293</v>
      </c>
      <c r="L35" s="25">
        <f t="shared" si="8"/>
        <v>814.1518614118304</v>
      </c>
      <c r="M35" s="25">
        <f t="shared" si="8"/>
        <v>409.36832456326658</v>
      </c>
      <c r="N35" s="25">
        <f t="shared" si="8"/>
        <v>281.04638851264997</v>
      </c>
      <c r="O35" s="26">
        <f t="shared" si="8"/>
        <v>210.77311780599558</v>
      </c>
    </row>
    <row r="36" spans="1:15" ht="15">
      <c r="A36"/>
      <c r="B36" s="19" t="s">
        <v>83</v>
      </c>
      <c r="C36" s="19"/>
      <c r="D36" s="21"/>
      <c r="E36" s="21"/>
      <c r="F36" s="21"/>
      <c r="G36" s="21"/>
      <c r="H36" s="21"/>
      <c r="I36" s="21"/>
      <c r="J36" s="21"/>
      <c r="K36" s="21"/>
      <c r="L36" s="21"/>
      <c r="M36" s="21"/>
      <c r="N36" s="21"/>
      <c r="O36" s="22"/>
    </row>
    <row r="37" spans="1:15" ht="14.25">
      <c r="A37"/>
      <c r="B37" s="14" t="str">
        <f>+B29 &amp;" Diversions"</f>
        <v>Node 2.02 Diversions</v>
      </c>
      <c r="C37" s="14"/>
      <c r="D37" s="54">
        <f>VLOOKUP($B29,'Diversion Data'!$B$3:$O$227,3,FALSE)</f>
        <v>0</v>
      </c>
      <c r="E37" s="54">
        <f>VLOOKUP($B29,'Diversion Data'!$B$3:$O$227,4,FALSE)</f>
        <v>0</v>
      </c>
      <c r="F37" s="54">
        <f>VLOOKUP($B29,'Diversion Data'!$B$3:$O$227,5,FALSE)</f>
        <v>0</v>
      </c>
      <c r="G37" s="54">
        <f>VLOOKUP($B29,'Diversion Data'!$B$3:$O$227,6,FALSE)</f>
        <v>0</v>
      </c>
      <c r="H37" s="54">
        <f>VLOOKUP($B29,'Diversion Data'!$B$3:$O$227,7,FALSE)</f>
        <v>0</v>
      </c>
      <c r="I37" s="54">
        <f>VLOOKUP($B29,'Diversion Data'!$B$3:$O$227,8,FALSE)</f>
        <v>0</v>
      </c>
      <c r="J37" s="54">
        <f>VLOOKUP($B29,'Diversion Data'!$B$3:$O$227,9,FALSE)</f>
        <v>0</v>
      </c>
      <c r="K37" s="54">
        <f>VLOOKUP($B29,'Diversion Data'!$B$3:$O$227,10,FALSE)</f>
        <v>0</v>
      </c>
      <c r="L37" s="54">
        <f>VLOOKUP($B29,'Diversion Data'!$B$3:$O$227,11,FALSE)</f>
        <v>0</v>
      </c>
      <c r="M37" s="54">
        <f>VLOOKUP($B29,'Diversion Data'!$B$3:$O$227,12,FALSE)</f>
        <v>0</v>
      </c>
      <c r="N37" s="54">
        <f>VLOOKUP($B29,'Diversion Data'!$B$3:$O$227,13,FALSE)</f>
        <v>0</v>
      </c>
      <c r="O37" s="110">
        <f>VLOOKUP($B29,'Diversion Data'!$B$3:$O$227,14,FALSE)</f>
        <v>0</v>
      </c>
    </row>
    <row r="38" spans="1:15" ht="14.25">
      <c r="A38"/>
      <c r="B38" s="14" t="str">
        <f>+B29 &amp;" Historic Target Release"</f>
        <v>Node 2.02 Historic Target Release</v>
      </c>
      <c r="C38" s="400"/>
      <c r="D38" s="398">
        <v>45.625</v>
      </c>
      <c r="E38" s="239">
        <v>20.375</v>
      </c>
      <c r="F38" s="239">
        <v>634.75</v>
      </c>
      <c r="G38" s="239">
        <v>1785.375</v>
      </c>
      <c r="H38" s="239">
        <v>2791.625</v>
      </c>
      <c r="I38" s="239">
        <v>1958.25</v>
      </c>
      <c r="J38" s="239">
        <v>1918.25</v>
      </c>
      <c r="K38" s="239">
        <v>1409.625</v>
      </c>
      <c r="L38" s="239">
        <v>1049.375</v>
      </c>
      <c r="M38" s="239">
        <v>191.04106886106808</v>
      </c>
      <c r="N38" s="239">
        <v>129.64490588506376</v>
      </c>
      <c r="O38" s="240">
        <v>150.5181632220125</v>
      </c>
    </row>
    <row r="39" spans="1:15" ht="14.25">
      <c r="A39"/>
      <c r="B39" s="14" t="str">
        <f>+B29 &amp;" Reservoir Evaporation"</f>
        <v>Node 2.02 Reservoir Evaporation</v>
      </c>
      <c r="C39" s="14"/>
      <c r="D39" s="54">
        <f>VLOOKUP($B29,Evaporation!$B$4:$O$5,3)</f>
        <v>-3.6478958333333331</v>
      </c>
      <c r="E39" s="54">
        <f>VLOOKUP($B29,Evaporation!$B$4:$O$5,4)</f>
        <v>-6.6896458333333308</v>
      </c>
      <c r="F39" s="54">
        <f>VLOOKUP($B29,Evaporation!$B$4:$O$5,5)</f>
        <v>0.47389583333334473</v>
      </c>
      <c r="G39" s="54">
        <f>VLOOKUP($B29,Evaporation!$B$4:$O$5,6)</f>
        <v>82.997895833333317</v>
      </c>
      <c r="H39" s="54">
        <f>VLOOKUP($B29,Evaporation!$B$4:$O$5,7)</f>
        <v>132.67981249999994</v>
      </c>
      <c r="I39" s="54">
        <f>VLOOKUP($B29,Evaporation!$B$4:$O$5,8)</f>
        <v>209.8697291666667</v>
      </c>
      <c r="J39" s="54">
        <f>VLOOKUP($B29,Evaporation!$B$4:$O$5,9)</f>
        <v>246.39277083333332</v>
      </c>
      <c r="K39" s="54">
        <f>VLOOKUP($B29,Evaporation!$B$4:$O$5,10)</f>
        <v>198.72766666666664</v>
      </c>
      <c r="L39" s="54">
        <f>VLOOKUP($B29,Evaporation!$B$4:$O$5,11)</f>
        <v>116.181625</v>
      </c>
      <c r="M39" s="54">
        <f>VLOOKUP($B29,Evaporation!$B$4:$O$5,12)</f>
        <v>43.389020833333348</v>
      </c>
      <c r="N39" s="54">
        <f>VLOOKUP($B29,Evaporation!$B$4:$O$5,13)</f>
        <v>-4.0997499999999993</v>
      </c>
      <c r="O39" s="110">
        <f>VLOOKUP($B29,Evaporation!$B$4:$O$5,14)</f>
        <v>-3.5707499999999985</v>
      </c>
    </row>
    <row r="40" spans="1:15" ht="15.75" thickBot="1">
      <c r="A40"/>
      <c r="B40" s="24" t="str">
        <f>"Reservoir " &amp; (B29) &amp;" Total Outflow"</f>
        <v>Reservoir Node 2.02 Total Outflow</v>
      </c>
      <c r="C40" s="113"/>
      <c r="D40" s="27">
        <f t="shared" ref="D40:O40" si="9">SUM(D37:D39)</f>
        <v>41.977104166666663</v>
      </c>
      <c r="E40" s="27">
        <f t="shared" si="9"/>
        <v>13.68535416666667</v>
      </c>
      <c r="F40" s="27">
        <f t="shared" si="9"/>
        <v>635.22389583333336</v>
      </c>
      <c r="G40" s="27">
        <f t="shared" si="9"/>
        <v>1868.3728958333334</v>
      </c>
      <c r="H40" s="27">
        <f t="shared" si="9"/>
        <v>2924.3048125</v>
      </c>
      <c r="I40" s="27">
        <f t="shared" si="9"/>
        <v>2168.1197291666667</v>
      </c>
      <c r="J40" s="27">
        <f t="shared" si="9"/>
        <v>2164.6427708333331</v>
      </c>
      <c r="K40" s="27">
        <f t="shared" si="9"/>
        <v>1608.3526666666667</v>
      </c>
      <c r="L40" s="27">
        <f t="shared" si="9"/>
        <v>1165.5566249999999</v>
      </c>
      <c r="M40" s="27">
        <f t="shared" si="9"/>
        <v>234.43008969440143</v>
      </c>
      <c r="N40" s="27">
        <f t="shared" si="9"/>
        <v>125.54515588506376</v>
      </c>
      <c r="O40" s="28">
        <f t="shared" si="9"/>
        <v>146.9474132220125</v>
      </c>
    </row>
    <row r="41" spans="1:15" ht="15">
      <c r="A41"/>
      <c r="B41" s="9" t="s">
        <v>84</v>
      </c>
      <c r="C41" s="125"/>
      <c r="D41" s="126"/>
      <c r="E41" s="127"/>
      <c r="F41" s="127"/>
      <c r="G41" s="127"/>
      <c r="H41" s="127"/>
      <c r="I41" s="127"/>
      <c r="J41" s="127"/>
      <c r="K41" s="127"/>
      <c r="L41" s="127"/>
      <c r="M41" s="127"/>
      <c r="N41" s="127"/>
      <c r="O41" s="128"/>
    </row>
    <row r="42" spans="1:15" ht="14.25">
      <c r="A42"/>
      <c r="B42" s="14"/>
      <c r="C42" s="114" t="s">
        <v>85</v>
      </c>
      <c r="D42" s="115">
        <f>+D35-D39-D47</f>
        <v>138.77060244490357</v>
      </c>
      <c r="E42" s="115">
        <f t="shared" ref="E42:O42" si="10">+E35-E39-E47</f>
        <v>174.78404665977962</v>
      </c>
      <c r="F42" s="115">
        <f t="shared" si="10"/>
        <v>250.84934796831965</v>
      </c>
      <c r="G42" s="115">
        <f t="shared" si="10"/>
        <v>-724.5645280647384</v>
      </c>
      <c r="H42" s="115">
        <f t="shared" si="10"/>
        <v>-544.26939860446055</v>
      </c>
      <c r="I42" s="115">
        <f t="shared" si="10"/>
        <v>388.75314451173017</v>
      </c>
      <c r="J42" s="115">
        <f t="shared" si="10"/>
        <v>-302.41226191597298</v>
      </c>
      <c r="K42" s="115">
        <f t="shared" si="10"/>
        <v>-388.34351062533733</v>
      </c>
      <c r="L42" s="115">
        <f t="shared" si="10"/>
        <v>-351.40476358816954</v>
      </c>
      <c r="M42" s="115">
        <f t="shared" si="10"/>
        <v>174.93823486886515</v>
      </c>
      <c r="N42" s="115">
        <f t="shared" si="10"/>
        <v>155.50123262758618</v>
      </c>
      <c r="O42" s="435">
        <f t="shared" si="10"/>
        <v>63.825704583983082</v>
      </c>
    </row>
    <row r="43" spans="1:15" ht="14.25">
      <c r="A43"/>
      <c r="B43" s="14"/>
      <c r="C43" s="114"/>
      <c r="D43" s="304"/>
      <c r="E43" s="304"/>
      <c r="F43" s="304"/>
      <c r="G43" s="304"/>
      <c r="H43" s="304"/>
      <c r="I43" s="304"/>
      <c r="J43" s="304"/>
      <c r="K43" s="135"/>
      <c r="L43" s="135"/>
      <c r="M43" s="304"/>
      <c r="N43" s="304"/>
      <c r="O43" s="305"/>
    </row>
    <row r="44" spans="1:15" ht="15">
      <c r="A44"/>
      <c r="B44" s="14"/>
      <c r="C44" s="117" t="s">
        <v>86</v>
      </c>
      <c r="D44" s="138">
        <v>15000</v>
      </c>
      <c r="E44" s="118"/>
      <c r="F44" s="8" t="s">
        <v>87</v>
      </c>
      <c r="G44" s="121"/>
      <c r="H44" s="119"/>
      <c r="I44" s="137">
        <v>19774</v>
      </c>
      <c r="J44" s="403"/>
      <c r="K44" s="403"/>
      <c r="L44" s="403" t="s">
        <v>530</v>
      </c>
      <c r="M44" s="137">
        <v>486</v>
      </c>
      <c r="N44" s="13"/>
      <c r="O44" s="116"/>
    </row>
    <row r="45" spans="1:15" ht="15">
      <c r="A45"/>
      <c r="B45" s="112"/>
      <c r="C45" s="135"/>
      <c r="D45" s="135"/>
      <c r="E45" s="135"/>
      <c r="F45" s="135"/>
      <c r="G45" s="135"/>
      <c r="H45" s="135"/>
      <c r="I45" s="135"/>
      <c r="J45" s="118"/>
      <c r="K45" s="120"/>
      <c r="L45" s="120"/>
      <c r="M45" s="13"/>
      <c r="N45" s="13"/>
      <c r="O45" s="116"/>
    </row>
    <row r="46" spans="1:15" ht="14.25">
      <c r="A46"/>
      <c r="B46" s="402" t="s">
        <v>529</v>
      </c>
      <c r="C46" s="135"/>
      <c r="D46" s="439">
        <f>IF(D44+D35-D40&lt;$M$44,$M$44,D44+D35-D40)</f>
        <v>15138.770602444903</v>
      </c>
      <c r="E46" s="439">
        <f>IF(D49+E35-E40&lt;$M$44,$M$44,D49+E35-E40)</f>
        <v>15313.554649104684</v>
      </c>
      <c r="F46" s="439">
        <f t="shared" ref="F46:O46" si="11">IF(E46+F35-F40&lt;$M$44,$M$44,E46+F35-F40-E48)</f>
        <v>15564.403997073005</v>
      </c>
      <c r="G46" s="439">
        <f t="shared" si="11"/>
        <v>14839.839469008264</v>
      </c>
      <c r="H46" s="439">
        <f t="shared" si="11"/>
        <v>14295.570070403804</v>
      </c>
      <c r="I46" s="439">
        <f t="shared" si="11"/>
        <v>14684.323214915536</v>
      </c>
      <c r="J46" s="439">
        <f t="shared" si="11"/>
        <v>14381.910952999562</v>
      </c>
      <c r="K46" s="439">
        <f t="shared" si="11"/>
        <v>13993.567442374224</v>
      </c>
      <c r="L46" s="439">
        <f t="shared" si="11"/>
        <v>13642.162678786055</v>
      </c>
      <c r="M46" s="439">
        <f t="shared" si="11"/>
        <v>13817.100913654922</v>
      </c>
      <c r="N46" s="439">
        <f t="shared" si="11"/>
        <v>13972.602146282508</v>
      </c>
      <c r="O46" s="440">
        <f t="shared" si="11"/>
        <v>14036.42785086649</v>
      </c>
    </row>
    <row r="47" spans="1:15" ht="15">
      <c r="A47"/>
      <c r="B47" s="133" t="str">
        <f>+B29&amp; " Actual Release"</f>
        <v>Node 2.02 Actual Release</v>
      </c>
      <c r="C47" s="401"/>
      <c r="D47" s="132">
        <f>IF(D44+D35-D39-$M$44&gt;D38,D38,D44+D35-D39-$M$44)</f>
        <v>45.625</v>
      </c>
      <c r="E47" s="132">
        <f t="shared" ref="E47:O47" si="12">IF(D49+E35-E39-$M$44&gt;E38,E38,D49+E35-E39-$M$44)</f>
        <v>20.375</v>
      </c>
      <c r="F47" s="132">
        <f t="shared" si="12"/>
        <v>634.75</v>
      </c>
      <c r="G47" s="132">
        <f t="shared" si="12"/>
        <v>1785.375</v>
      </c>
      <c r="H47" s="132">
        <f t="shared" si="12"/>
        <v>2791.625</v>
      </c>
      <c r="I47" s="132">
        <f t="shared" si="12"/>
        <v>1958.25</v>
      </c>
      <c r="J47" s="132">
        <f t="shared" si="12"/>
        <v>1918.25</v>
      </c>
      <c r="K47" s="132">
        <f t="shared" si="12"/>
        <v>1409.625</v>
      </c>
      <c r="L47" s="132">
        <f t="shared" si="12"/>
        <v>1049.375</v>
      </c>
      <c r="M47" s="132">
        <f t="shared" si="12"/>
        <v>191.04106886106808</v>
      </c>
      <c r="N47" s="132">
        <f t="shared" si="12"/>
        <v>129.64490588506376</v>
      </c>
      <c r="O47" s="404">
        <f t="shared" si="12"/>
        <v>150.5181632220125</v>
      </c>
    </row>
    <row r="48" spans="1:15" ht="14.25">
      <c r="A48"/>
      <c r="B48" s="134" t="str">
        <f>+B29 &amp;" Spill"</f>
        <v>Node 2.02 Spill</v>
      </c>
      <c r="C48" s="136"/>
      <c r="D48" s="132">
        <f t="shared" ref="D48:O48" si="13">IF(D46&gt;$I$44,D46-$I$44,0)</f>
        <v>0</v>
      </c>
      <c r="E48" s="132">
        <f t="shared" si="13"/>
        <v>0</v>
      </c>
      <c r="F48" s="132">
        <f t="shared" si="13"/>
        <v>0</v>
      </c>
      <c r="G48" s="132">
        <f t="shared" si="13"/>
        <v>0</v>
      </c>
      <c r="H48" s="132">
        <f t="shared" si="13"/>
        <v>0</v>
      </c>
      <c r="I48" s="132">
        <f t="shared" si="13"/>
        <v>0</v>
      </c>
      <c r="J48" s="132">
        <f t="shared" si="13"/>
        <v>0</v>
      </c>
      <c r="K48" s="132">
        <f t="shared" si="13"/>
        <v>0</v>
      </c>
      <c r="L48" s="132">
        <f t="shared" si="13"/>
        <v>0</v>
      </c>
      <c r="M48" s="132">
        <f t="shared" si="13"/>
        <v>0</v>
      </c>
      <c r="N48" s="132">
        <f t="shared" si="13"/>
        <v>0</v>
      </c>
      <c r="O48" s="404">
        <f t="shared" si="13"/>
        <v>0</v>
      </c>
    </row>
    <row r="49" spans="1:15" ht="15.75" thickBot="1">
      <c r="A49"/>
      <c r="B49" s="130" t="str">
        <f>+B29&amp; " End-of-Month Contents "</f>
        <v xml:space="preserve">Node 2.02 End-of-Month Contents </v>
      </c>
      <c r="C49" s="131"/>
      <c r="D49" s="27">
        <f>IF(D44+D35-D47-D39&gt;$I$44,$I$44,D44+D35-D47-D39)</f>
        <v>15138.770602444903</v>
      </c>
      <c r="E49" s="27">
        <f t="shared" ref="E49:O49" si="14">IF(D49+E35-E47-E39&gt;$I$44,$I$44,D49+E35-E47-E39)</f>
        <v>15313.554649104684</v>
      </c>
      <c r="F49" s="27">
        <f t="shared" si="14"/>
        <v>15564.403997073005</v>
      </c>
      <c r="G49" s="27">
        <f t="shared" si="14"/>
        <v>14839.839469008264</v>
      </c>
      <c r="H49" s="27">
        <f t="shared" si="14"/>
        <v>14295.570070403804</v>
      </c>
      <c r="I49" s="27">
        <f t="shared" si="14"/>
        <v>14684.323214915536</v>
      </c>
      <c r="J49" s="27">
        <f t="shared" si="14"/>
        <v>14381.91095299956</v>
      </c>
      <c r="K49" s="27">
        <f t="shared" si="14"/>
        <v>13993.567442374224</v>
      </c>
      <c r="L49" s="27">
        <f t="shared" si="14"/>
        <v>13642.162678786055</v>
      </c>
      <c r="M49" s="27">
        <f t="shared" si="14"/>
        <v>13817.10091365492</v>
      </c>
      <c r="N49" s="27">
        <f t="shared" si="14"/>
        <v>13972.602146282507</v>
      </c>
      <c r="O49" s="28">
        <f t="shared" si="14"/>
        <v>14036.42785086649</v>
      </c>
    </row>
    <row r="50" spans="1:15" ht="15.75" thickBot="1">
      <c r="A50"/>
      <c r="B50" s="24" t="str">
        <f>(B29)&amp;" NET Flow (In - Out)"</f>
        <v>Node 2.02 NET Flow (In - Out)</v>
      </c>
      <c r="C50" s="131"/>
      <c r="D50" s="27">
        <f>+D47+D48</f>
        <v>45.625</v>
      </c>
      <c r="E50" s="27">
        <f t="shared" ref="E50:O50" si="15">+E47+E48</f>
        <v>20.375</v>
      </c>
      <c r="F50" s="27">
        <f t="shared" si="15"/>
        <v>634.75</v>
      </c>
      <c r="G50" s="27">
        <f t="shared" si="15"/>
        <v>1785.375</v>
      </c>
      <c r="H50" s="27">
        <f t="shared" si="15"/>
        <v>2791.625</v>
      </c>
      <c r="I50" s="27">
        <f t="shared" si="15"/>
        <v>1958.25</v>
      </c>
      <c r="J50" s="27">
        <f t="shared" si="15"/>
        <v>1918.25</v>
      </c>
      <c r="K50" s="27">
        <f t="shared" si="15"/>
        <v>1409.625</v>
      </c>
      <c r="L50" s="27">
        <f t="shared" si="15"/>
        <v>1049.375</v>
      </c>
      <c r="M50" s="27">
        <f t="shared" si="15"/>
        <v>191.04106886106808</v>
      </c>
      <c r="N50" s="27">
        <f t="shared" si="15"/>
        <v>129.64490588506376</v>
      </c>
      <c r="O50" s="28">
        <f t="shared" si="15"/>
        <v>150.5181632220125</v>
      </c>
    </row>
    <row r="51" spans="1:15" ht="14.25">
      <c r="A51"/>
      <c r="B51" s="129"/>
      <c r="C51" s="129"/>
      <c r="D51" s="291"/>
      <c r="E51" s="291"/>
      <c r="F51" s="291"/>
      <c r="G51" s="291"/>
      <c r="H51" s="291"/>
      <c r="I51" s="291"/>
      <c r="J51" s="291"/>
      <c r="K51" s="291"/>
      <c r="L51" s="291"/>
      <c r="M51" s="291"/>
      <c r="N51" s="291"/>
      <c r="O51" s="291"/>
    </row>
    <row r="52" spans="1:15" customFormat="1" ht="15.75" thickBot="1">
      <c r="B52" s="108" t="s">
        <v>189</v>
      </c>
      <c r="C52" s="109" t="str">
        <f>VLOOKUP(B52,NodeList!$D$4:$E$121,2,FALSE)</f>
        <v>AggDiv SC-2</v>
      </c>
      <c r="D52" s="6"/>
      <c r="E52" s="6"/>
      <c r="F52" s="6"/>
      <c r="G52" s="6"/>
      <c r="H52" s="7"/>
      <c r="I52" s="7"/>
      <c r="J52" s="7"/>
      <c r="K52" s="7"/>
      <c r="L52" s="7"/>
      <c r="M52" s="7"/>
      <c r="N52" s="7"/>
      <c r="O52" s="7"/>
    </row>
    <row r="53" spans="1:15" customFormat="1" ht="15">
      <c r="B53" s="9" t="s">
        <v>16</v>
      </c>
      <c r="C53" s="10"/>
      <c r="D53" s="11" t="s">
        <v>0</v>
      </c>
      <c r="E53" s="11" t="s">
        <v>1</v>
      </c>
      <c r="F53" s="11" t="s">
        <v>2</v>
      </c>
      <c r="G53" s="11" t="s">
        <v>3</v>
      </c>
      <c r="H53" s="11" t="s">
        <v>4</v>
      </c>
      <c r="I53" s="11" t="s">
        <v>5</v>
      </c>
      <c r="J53" s="11" t="s">
        <v>6</v>
      </c>
      <c r="K53" s="11" t="s">
        <v>7</v>
      </c>
      <c r="L53" s="11" t="s">
        <v>8</v>
      </c>
      <c r="M53" s="11" t="s">
        <v>9</v>
      </c>
      <c r="N53" s="11" t="s">
        <v>10</v>
      </c>
      <c r="O53" s="12" t="s">
        <v>11</v>
      </c>
    </row>
    <row r="54" spans="1:15" customFormat="1" ht="14.25">
      <c r="B54" s="14" t="str">
        <f>+B52 &amp;" Node Inflow"</f>
        <v>Node 2.03 Node Inflow</v>
      </c>
      <c r="C54" s="13"/>
      <c r="D54" s="15">
        <f>+D50</f>
        <v>45.625</v>
      </c>
      <c r="E54" s="15">
        <f t="shared" ref="E54:O54" si="16">+E50</f>
        <v>20.375</v>
      </c>
      <c r="F54" s="15">
        <f t="shared" si="16"/>
        <v>634.75</v>
      </c>
      <c r="G54" s="15">
        <f t="shared" si="16"/>
        <v>1785.375</v>
      </c>
      <c r="H54" s="15">
        <f t="shared" si="16"/>
        <v>2791.625</v>
      </c>
      <c r="I54" s="15">
        <f t="shared" si="16"/>
        <v>1958.25</v>
      </c>
      <c r="J54" s="15">
        <f t="shared" si="16"/>
        <v>1918.25</v>
      </c>
      <c r="K54" s="15">
        <f t="shared" si="16"/>
        <v>1409.625</v>
      </c>
      <c r="L54" s="15">
        <f t="shared" si="16"/>
        <v>1049.375</v>
      </c>
      <c r="M54" s="15">
        <f t="shared" si="16"/>
        <v>191.04106886106808</v>
      </c>
      <c r="N54" s="15">
        <f t="shared" si="16"/>
        <v>129.64490588506376</v>
      </c>
      <c r="O54" s="16">
        <f t="shared" si="16"/>
        <v>150.5181632220125</v>
      </c>
    </row>
    <row r="55" spans="1:15" customFormat="1" ht="14.25">
      <c r="B55" s="14" t="str">
        <f>+B52 &amp;" Irrigation Returns"</f>
        <v>Node 2.03 Irrigation Returns</v>
      </c>
      <c r="C55" s="13"/>
      <c r="D55" s="54">
        <f>VLOOKUP(($B52),'Irrigation Returns'!$B$644:$P$930,4,FALSE)</f>
        <v>0</v>
      </c>
      <c r="E55" s="54">
        <f>VLOOKUP(($B52),'Irrigation Returns'!$B$644:$P$930,5,FALSE)</f>
        <v>0</v>
      </c>
      <c r="F55" s="54">
        <f>VLOOKUP(($B52),'Irrigation Returns'!$B$644:$P$930,6,FALSE)</f>
        <v>0</v>
      </c>
      <c r="G55" s="54">
        <f>VLOOKUP(($B52),'Irrigation Returns'!$B$644:$P$930,7,FALSE)</f>
        <v>0</v>
      </c>
      <c r="H55" s="54">
        <f>VLOOKUP(($B52),'Irrigation Returns'!$B$644:$P$930,8,FALSE)</f>
        <v>342.92648540912057</v>
      </c>
      <c r="I55" s="54">
        <f>VLOOKUP(($B52),'Irrigation Returns'!$B$644:$P$930,9,FALSE)</f>
        <v>739.23409368890088</v>
      </c>
      <c r="J55" s="54">
        <f>VLOOKUP(($B52),'Irrigation Returns'!$B$644:$P$930,10,FALSE)</f>
        <v>704.52471378684606</v>
      </c>
      <c r="K55" s="54">
        <f>VLOOKUP(($B52),'Irrigation Returns'!$B$644:$P$930,11,FALSE)</f>
        <v>504.809989783324</v>
      </c>
      <c r="L55" s="54">
        <f>VLOOKUP(($B52),'Irrigation Returns'!$B$644:$P$930,12,FALSE)</f>
        <v>323.7076172910314</v>
      </c>
      <c r="M55" s="54">
        <f>VLOOKUP(($B52),'Irrigation Returns'!$B$644:$P$930,13,FALSE)</f>
        <v>119.8006162119844</v>
      </c>
      <c r="N55" s="54">
        <f>VLOOKUP(($B52),'Irrigation Returns'!$B$644:$P$930,14,FALSE)</f>
        <v>37.6832505220992</v>
      </c>
      <c r="O55" s="110">
        <f>VLOOKUP(($B52),'Irrigation Returns'!$B$644:$P$930,15,FALSE)</f>
        <v>12.761603831849261</v>
      </c>
    </row>
    <row r="56" spans="1:15" customFormat="1" ht="14.25">
      <c r="B56" s="14" t="s">
        <v>338</v>
      </c>
      <c r="C56" s="13" t="s">
        <v>180</v>
      </c>
      <c r="D56" s="54">
        <f>VLOOKUP($B56,GainLoss!$B$5:$O$14,3,FALSE)*0.03</f>
        <v>1.5960609945556681</v>
      </c>
      <c r="E56" s="54">
        <f>VLOOKUP($B56,GainLoss!$B$5:$O$14,4,FALSE)*0.03</f>
        <v>23.77700092494775</v>
      </c>
      <c r="F56" s="54">
        <f>VLOOKUP($B56,GainLoss!$B$5:$O$14,5,FALSE)*0.03</f>
        <v>159.52676484899936</v>
      </c>
      <c r="G56" s="54">
        <f>VLOOKUP($B56,GainLoss!$B$5:$O$14,6,FALSE)*0.03</f>
        <v>102.96299827552761</v>
      </c>
      <c r="H56" s="54">
        <f>VLOOKUP($B56,GainLoss!$B$5:$O$14,7,FALSE)*0.03</f>
        <v>88.097770529754982</v>
      </c>
      <c r="I56" s="54">
        <f>VLOOKUP($B56,GainLoss!$B$5:$O$14,8,FALSE)*0.03</f>
        <v>72.501064781150916</v>
      </c>
      <c r="J56" s="54">
        <f>VLOOKUP($B56,GainLoss!$B$5:$O$14,9,FALSE)*0.03</f>
        <v>0</v>
      </c>
      <c r="K56" s="54">
        <f>VLOOKUP($B56,GainLoss!$B$5:$O$14,10,FALSE)*0.03</f>
        <v>0</v>
      </c>
      <c r="L56" s="54">
        <f>VLOOKUP($B56,GainLoss!$B$5:$O$14,11,FALSE)*0.03</f>
        <v>0</v>
      </c>
      <c r="M56" s="54">
        <f>VLOOKUP($B56,GainLoss!$B$5:$O$14,12,FALSE)*0.03</f>
        <v>0</v>
      </c>
      <c r="N56" s="54">
        <f>VLOOKUP($B56,GainLoss!$B$5:$O$14,13,FALSE)*0.03</f>
        <v>0</v>
      </c>
      <c r="O56" s="110">
        <f>VLOOKUP($B56,GainLoss!$B$5:$O$14,14,FALSE)*0.03</f>
        <v>0</v>
      </c>
    </row>
    <row r="57" spans="1:15" customFormat="1" ht="14.25">
      <c r="B57" s="14" t="str">
        <f>+B52 &amp;" Import/Export"</f>
        <v>Node 2.03 Import/Export</v>
      </c>
      <c r="C57" s="13"/>
      <c r="D57" s="190">
        <f>VLOOKUP($B52,ImportExport!$B$6:$O$68,3,FALSE)</f>
        <v>0</v>
      </c>
      <c r="E57" s="190">
        <f>VLOOKUP($B52,ImportExport!$B$6:$O$68,4,FALSE)</f>
        <v>0</v>
      </c>
      <c r="F57" s="190">
        <f>VLOOKUP($B52,ImportExport!$B$6:$O$68,5,FALSE)</f>
        <v>0</v>
      </c>
      <c r="G57" s="190">
        <f>VLOOKUP($B52,ImportExport!$B$6:$O$68,6,FALSE)</f>
        <v>0</v>
      </c>
      <c r="H57" s="190">
        <f>VLOOKUP($B52,ImportExport!$B$6:$O$68,7,FALSE)</f>
        <v>0</v>
      </c>
      <c r="I57" s="190">
        <f>VLOOKUP($B52,ImportExport!$B$6:$O$68,8,FALSE)</f>
        <v>0</v>
      </c>
      <c r="J57" s="190">
        <f>VLOOKUP($B52,ImportExport!$B$6:$O$68,9,FALSE)</f>
        <v>0</v>
      </c>
      <c r="K57" s="190">
        <f>VLOOKUP($B52,ImportExport!$B$6:$O$68,10,FALSE)</f>
        <v>0</v>
      </c>
      <c r="L57" s="190">
        <f>VLOOKUP($B52,ImportExport!$B$6:$O$68,11,FALSE)</f>
        <v>0</v>
      </c>
      <c r="M57" s="190">
        <f>VLOOKUP($B52,ImportExport!$B$6:$O$68,12,FALSE)</f>
        <v>0</v>
      </c>
      <c r="N57" s="190">
        <f>VLOOKUP($B52,ImportExport!$B$6:$O$68,13,FALSE)</f>
        <v>0</v>
      </c>
      <c r="O57" s="197">
        <f>VLOOKUP($B52,ImportExport!$B$6:$O$68,14,FALSE)</f>
        <v>0</v>
      </c>
    </row>
    <row r="58" spans="1:15" customFormat="1" ht="15.75" thickBot="1">
      <c r="B58" s="18" t="str">
        <f>"Total "&amp; (B52)&amp;" Inflow"</f>
        <v>Total Node 2.03 Inflow</v>
      </c>
      <c r="C58" s="17"/>
      <c r="D58" s="25">
        <f>SUM(D54:D57)</f>
        <v>47.221060994555671</v>
      </c>
      <c r="E58" s="25">
        <f t="shared" ref="E58:O58" si="17">SUM(E54:E57)</f>
        <v>44.15200092494775</v>
      </c>
      <c r="F58" s="25">
        <f t="shared" si="17"/>
        <v>794.27676484899939</v>
      </c>
      <c r="G58" s="25">
        <f t="shared" si="17"/>
        <v>1888.3379982755275</v>
      </c>
      <c r="H58" s="25">
        <f t="shared" si="17"/>
        <v>3222.6492559388757</v>
      </c>
      <c r="I58" s="25">
        <f t="shared" si="17"/>
        <v>2769.9851584700518</v>
      </c>
      <c r="J58" s="25">
        <f t="shared" si="17"/>
        <v>2622.774713786846</v>
      </c>
      <c r="K58" s="25">
        <f t="shared" si="17"/>
        <v>1914.434989783324</v>
      </c>
      <c r="L58" s="25">
        <f t="shared" si="17"/>
        <v>1373.0826172910315</v>
      </c>
      <c r="M58" s="25">
        <f t="shared" si="17"/>
        <v>310.84168507305247</v>
      </c>
      <c r="N58" s="25">
        <f t="shared" si="17"/>
        <v>167.32815640716296</v>
      </c>
      <c r="O58" s="26">
        <f t="shared" si="17"/>
        <v>163.27976705386178</v>
      </c>
    </row>
    <row r="59" spans="1:15" customFormat="1" ht="15">
      <c r="B59" s="19" t="s">
        <v>17</v>
      </c>
      <c r="C59" s="20"/>
      <c r="D59" s="282" t="str">
        <f>IF(((VLOOKUP($B52,'Diversion Data'!$B$3:$O$227,3,FALSE))-D61)&gt;0,"Short","")</f>
        <v/>
      </c>
      <c r="E59" s="282" t="str">
        <f>IF(((VLOOKUP($B52,'Diversion Data'!$B$3:$O$227,4,FALSE))-E61)&gt;0,"Short","")</f>
        <v/>
      </c>
      <c r="F59" s="282" t="str">
        <f>IF(((VLOOKUP($B52,'Diversion Data'!$B$3:$O$227,5,FALSE))-F61)&gt;0,"Short","")</f>
        <v/>
      </c>
      <c r="G59" s="282" t="str">
        <f>IF(((VLOOKUP($B52,'Diversion Data'!$B$3:$O$227,6,FALSE))-G61)&gt;0,"Short","")</f>
        <v/>
      </c>
      <c r="H59" s="282" t="str">
        <f>IF(((VLOOKUP($B52,'Diversion Data'!$B$3:$O$227,7,FALSE))-H61)&gt;0,"Short","")</f>
        <v/>
      </c>
      <c r="I59" s="282" t="str">
        <f>IF(((VLOOKUP($B52,'Diversion Data'!$B$3:$O$227,8,FALSE))-I61)&gt;0,"Short","")</f>
        <v/>
      </c>
      <c r="J59" s="282" t="str">
        <f>IF(((VLOOKUP($B52,'Diversion Data'!$B$3:$O$227,9,FALSE))-J61)&gt;0,"Short","")</f>
        <v/>
      </c>
      <c r="K59" s="282" t="str">
        <f>IF(((VLOOKUP($B52,'Diversion Data'!$B$3:$O$227,10,FALSE))-K61)&gt;0,"Short","")</f>
        <v/>
      </c>
      <c r="L59" s="282" t="str">
        <f>IF(((VLOOKUP($B52,'Diversion Data'!$B$3:$O$227,11,FALSE))-L61)&gt;0,"Short","")</f>
        <v/>
      </c>
      <c r="M59" s="282" t="str">
        <f>IF(((VLOOKUP($B52,'Diversion Data'!$B$3:$O$227,12,FALSE))-M61)&gt;0,"Short","")</f>
        <v/>
      </c>
      <c r="N59" s="282" t="str">
        <f>IF(((VLOOKUP($B52,'Diversion Data'!$B$3:$O$227,13,FALSE))-N61)&gt;0,"Short","")</f>
        <v/>
      </c>
      <c r="O59" s="283" t="str">
        <f>IF(((VLOOKUP($B52,'Diversion Data'!$B$3:$O$227,14,FALSE))-O61)&gt;0,"Short","")</f>
        <v/>
      </c>
    </row>
    <row r="60" spans="1:15" customFormat="1" ht="14.25">
      <c r="B60" s="14" t="s">
        <v>81</v>
      </c>
      <c r="C60" s="13" t="s">
        <v>181</v>
      </c>
      <c r="D60" s="171">
        <f>VLOOKUP($B60,GainLoss!$B$19:$O$27,3,FALSE)</f>
        <v>0</v>
      </c>
      <c r="E60" s="171">
        <f>VLOOKUP($B60,GainLoss!$B$19:$O$27,4,FALSE)</f>
        <v>0</v>
      </c>
      <c r="F60" s="171">
        <f>VLOOKUP($B60,GainLoss!$B$19:$O$27,5,FALSE)</f>
        <v>0</v>
      </c>
      <c r="G60" s="171">
        <f>VLOOKUP($B60,GainLoss!$B$19:$O$27,6,FALSE)</f>
        <v>0</v>
      </c>
      <c r="H60" s="171">
        <f>VLOOKUP($B60,GainLoss!$B$19:$O$27,7,FALSE)</f>
        <v>0</v>
      </c>
      <c r="I60" s="171">
        <f>VLOOKUP($B60,GainLoss!$B$19:$O$27,8,FALSE)</f>
        <v>0</v>
      </c>
      <c r="J60" s="171">
        <f>VLOOKUP($B60,GainLoss!$B$19:$O$27,9,FALSE)</f>
        <v>0</v>
      </c>
      <c r="K60" s="171">
        <f>VLOOKUP($B60,GainLoss!$B$19:$O$27,10,FALSE)</f>
        <v>0</v>
      </c>
      <c r="L60" s="171">
        <f>VLOOKUP($B60,GainLoss!$B$19:$O$27,11,FALSE)</f>
        <v>0</v>
      </c>
      <c r="M60" s="171">
        <f>VLOOKUP($B60,GainLoss!$B$19:$O$27,12,FALSE)</f>
        <v>0</v>
      </c>
      <c r="N60" s="171">
        <f>VLOOKUP($B60,GainLoss!$B$19:$O$27,13,FALSE)</f>
        <v>0</v>
      </c>
      <c r="O60" s="198">
        <f>VLOOKUP($B60,GainLoss!$B$19:$O$27,14,FALSE)</f>
        <v>0</v>
      </c>
    </row>
    <row r="61" spans="1:15" customFormat="1" ht="14.25">
      <c r="B61" s="14" t="str">
        <f>+B52 &amp;" Diversions"</f>
        <v>Node 2.03 Diversions</v>
      </c>
      <c r="C61" s="13"/>
      <c r="D61" s="54">
        <f>MIN(VLOOKUP($B52,'Diversion Data'!$B$3:$O$227,3,FALSE),(D58-D60))</f>
        <v>0</v>
      </c>
      <c r="E61" s="54">
        <f>MIN(VLOOKUP($B52,'Diversion Data'!$B$3:$O$227,4,FALSE),(E58-E60))</f>
        <v>0</v>
      </c>
      <c r="F61" s="54">
        <f>MIN(VLOOKUP($B52,'Diversion Data'!$B$3:$O$227,5,FALSE),(F58-F60))</f>
        <v>0</v>
      </c>
      <c r="G61" s="54">
        <f>MIN(VLOOKUP($B52,'Diversion Data'!$B$3:$O$227,6,FALSE),(G58-G60))</f>
        <v>0</v>
      </c>
      <c r="H61" s="54">
        <f>MIN(VLOOKUP($B52,'Diversion Data'!$B$3:$O$227,7,FALSE),(H58-H60))</f>
        <v>40.125</v>
      </c>
      <c r="I61" s="54">
        <f>MIN(VLOOKUP($B52,'Diversion Data'!$B$3:$O$227,8,FALSE),(I58-I60))</f>
        <v>154.125</v>
      </c>
      <c r="J61" s="54">
        <f>MIN(VLOOKUP($B52,'Diversion Data'!$B$3:$O$227,9,FALSE),(J58-J60))</f>
        <v>269.375</v>
      </c>
      <c r="K61" s="54">
        <f>MIN(VLOOKUP($B52,'Diversion Data'!$B$3:$O$227,10,FALSE),(K58-K60))</f>
        <v>125.875</v>
      </c>
      <c r="L61" s="54">
        <f>MIN(VLOOKUP($B52,'Diversion Data'!$B$3:$O$227,11,FALSE),(L58-L60))</f>
        <v>34.125</v>
      </c>
      <c r="M61" s="54">
        <f>MIN(VLOOKUP($B52,'Diversion Data'!$B$3:$O$227,12,FALSE),(M58-M60))</f>
        <v>0</v>
      </c>
      <c r="N61" s="54">
        <f>MIN(VLOOKUP($B52,'Diversion Data'!$B$3:$O$227,13,FALSE),(N58-N60))</f>
        <v>0</v>
      </c>
      <c r="O61" s="110">
        <f>MIN(VLOOKUP($B52,'Diversion Data'!$B$3:$O$227,14,FALSE),(O58-O60))</f>
        <v>0</v>
      </c>
    </row>
    <row r="62" spans="1:15" customFormat="1" ht="15.75" thickBot="1">
      <c r="B62" s="24" t="str">
        <f>"Total " &amp; (B52) &amp;" Outflow"</f>
        <v>Total Node 2.03 Outflow</v>
      </c>
      <c r="C62" s="23"/>
      <c r="D62" s="27">
        <f>SUM(D60:D61)</f>
        <v>0</v>
      </c>
      <c r="E62" s="27">
        <f t="shared" ref="E62:O62" si="18">SUM(E60:E61)</f>
        <v>0</v>
      </c>
      <c r="F62" s="27">
        <f t="shared" si="18"/>
        <v>0</v>
      </c>
      <c r="G62" s="27">
        <f t="shared" si="18"/>
        <v>0</v>
      </c>
      <c r="H62" s="27">
        <f t="shared" si="18"/>
        <v>40.125</v>
      </c>
      <c r="I62" s="27">
        <f t="shared" si="18"/>
        <v>154.125</v>
      </c>
      <c r="J62" s="27">
        <f t="shared" si="18"/>
        <v>269.375</v>
      </c>
      <c r="K62" s="27">
        <f t="shared" si="18"/>
        <v>125.875</v>
      </c>
      <c r="L62" s="27">
        <f t="shared" si="18"/>
        <v>34.125</v>
      </c>
      <c r="M62" s="27">
        <f t="shared" si="18"/>
        <v>0</v>
      </c>
      <c r="N62" s="27">
        <f t="shared" si="18"/>
        <v>0</v>
      </c>
      <c r="O62" s="28">
        <f t="shared" si="18"/>
        <v>0</v>
      </c>
    </row>
    <row r="63" spans="1:15" ht="15.75" thickBot="1">
      <c r="B63" s="24" t="str">
        <f>(B52)&amp;" NET Flow (In - Out)"</f>
        <v>Node 2.03 NET Flow (In - Out)</v>
      </c>
      <c r="C63" s="23"/>
      <c r="D63" s="193">
        <f t="shared" ref="D63:O63" si="19">MAX(D58-D62,0)</f>
        <v>47.221060994555671</v>
      </c>
      <c r="E63" s="193">
        <f t="shared" si="19"/>
        <v>44.15200092494775</v>
      </c>
      <c r="F63" s="193">
        <f t="shared" si="19"/>
        <v>794.27676484899939</v>
      </c>
      <c r="G63" s="193">
        <f t="shared" si="19"/>
        <v>1888.3379982755275</v>
      </c>
      <c r="H63" s="193">
        <f t="shared" si="19"/>
        <v>3182.5242559388757</v>
      </c>
      <c r="I63" s="193">
        <f t="shared" si="19"/>
        <v>2615.8601584700518</v>
      </c>
      <c r="J63" s="193">
        <f t="shared" si="19"/>
        <v>2353.399713786846</v>
      </c>
      <c r="K63" s="193">
        <f t="shared" si="19"/>
        <v>1788.559989783324</v>
      </c>
      <c r="L63" s="193">
        <f t="shared" si="19"/>
        <v>1338.9576172910315</v>
      </c>
      <c r="M63" s="193">
        <f t="shared" si="19"/>
        <v>310.84168507305247</v>
      </c>
      <c r="N63" s="193">
        <f t="shared" si="19"/>
        <v>167.32815640716296</v>
      </c>
      <c r="O63" s="200">
        <f t="shared" si="19"/>
        <v>163.27976705386178</v>
      </c>
    </row>
    <row r="65" spans="2:15" ht="20.25">
      <c r="B65" s="285" t="s">
        <v>317</v>
      </c>
      <c r="C65" s="286"/>
      <c r="D65" s="286"/>
      <c r="E65" s="286"/>
      <c r="F65" s="286"/>
      <c r="G65" s="286"/>
      <c r="H65" s="286"/>
      <c r="I65" s="286"/>
      <c r="J65" s="286"/>
      <c r="K65" s="286"/>
      <c r="L65" s="286"/>
      <c r="M65" s="286"/>
      <c r="N65" s="286"/>
      <c r="O65" s="286"/>
    </row>
  </sheetData>
  <sheetProtection objects="1" scenarios="1"/>
  <mergeCells count="3">
    <mergeCell ref="A3:A14"/>
    <mergeCell ref="E2:M2"/>
    <mergeCell ref="E1:M1"/>
  </mergeCells>
  <phoneticPr fontId="0" type="noConversion"/>
  <conditionalFormatting sqref="D27:O27 D14:O14 D63:O63">
    <cfRule type="cellIs" dxfId="13" priority="1" stopIfTrue="1" operator="lessThanOrEqual">
      <formula>0</formula>
    </cfRule>
  </conditionalFormatting>
  <conditionalFormatting sqref="D44">
    <cfRule type="cellIs" dxfId="12" priority="2" stopIfTrue="1" operator="lessThan">
      <formula>486</formula>
    </cfRule>
  </conditionalFormatting>
  <pageMargins left="0.75" right="0.75" top="1" bottom="1" header="0.5" footer="0.5"/>
  <pageSetup scale="65" fitToHeight="4" orientation="landscape" horizontalDpi="4294967292" verticalDpi="0" r:id="rId1"/>
  <headerFooter alignWithMargins="0">
    <oddHeader>&amp;C&amp;"Arial,Bold"&amp;12Bear River Spreadsheet Model
Dry Year Conditions</oddHeader>
    <oddFooter>&amp;L&amp;F &amp;A&amp;RAPPENDIX A (Page &amp;P of &amp;N)</oddFooter>
  </headerFooter>
  <rowBreaks count="1" manualBreakCount="1">
    <brk id="28" max="15" man="1"/>
  </rowBreaks>
  <legacyDrawing r:id="rId2"/>
</worksheet>
</file>

<file path=xl/worksheets/sheet6.xml><?xml version="1.0" encoding="utf-8"?>
<worksheet xmlns="http://schemas.openxmlformats.org/spreadsheetml/2006/main" xmlns:r="http://schemas.openxmlformats.org/officeDocument/2006/relationships">
  <sheetPr codeName="Sheet11">
    <pageSetUpPr autoPageBreaks="0"/>
  </sheetPr>
  <dimension ref="A1:S47"/>
  <sheetViews>
    <sheetView showGridLines="0" zoomScale="75" zoomScaleNormal="75" workbookViewId="0">
      <pane ySplit="1" topLeftCell="A2" activePane="bottomLeft" state="frozen"/>
      <selection activeCell="B26" sqref="B26"/>
      <selection pane="bottomLeft" activeCell="O17" sqref="A17:O45"/>
    </sheetView>
  </sheetViews>
  <sheetFormatPr defaultRowHeight="12.75"/>
  <cols>
    <col min="1" max="1" width="2.28515625" customWidth="1"/>
    <col min="2" max="2" width="10.85546875" customWidth="1"/>
    <col min="3" max="3" width="25.28515625" customWidth="1"/>
    <col min="4" max="4" width="10.5703125" customWidth="1"/>
    <col min="5" max="5" width="8.28515625" customWidth="1"/>
    <col min="6" max="6" width="8.5703125" customWidth="1"/>
    <col min="7" max="7" width="9.42578125" customWidth="1"/>
    <col min="8" max="8" width="8.28515625" customWidth="1"/>
    <col min="9" max="15" width="9.42578125" customWidth="1"/>
  </cols>
  <sheetData>
    <row r="1" spans="1:19" ht="43.5" customHeight="1">
      <c r="B1" s="3"/>
      <c r="C1" s="3"/>
      <c r="E1" s="661" t="s">
        <v>521</v>
      </c>
      <c r="F1" s="661"/>
      <c r="G1" s="661"/>
      <c r="H1" s="661"/>
      <c r="I1" s="661"/>
      <c r="J1" s="661"/>
      <c r="K1" s="661"/>
      <c r="L1" s="661"/>
      <c r="M1" s="661"/>
      <c r="N1" s="4"/>
    </row>
    <row r="2" spans="1:19">
      <c r="A2" s="663"/>
    </row>
    <row r="3" spans="1:19" ht="16.5" thickBot="1">
      <c r="A3" s="663"/>
      <c r="B3" s="330" t="s">
        <v>79</v>
      </c>
      <c r="C3" s="329" t="str">
        <f>VLOOKUP(B3,NodeList!$D$4:$E$121,2,FALSE)</f>
        <v>Confluence Sulphur Creek / Bear River</v>
      </c>
      <c r="D3" s="331"/>
      <c r="E3" s="331"/>
      <c r="F3" s="331"/>
      <c r="G3" s="331"/>
      <c r="H3" s="427"/>
      <c r="I3" s="427"/>
      <c r="J3" s="427"/>
      <c r="K3" s="427"/>
      <c r="L3" s="427"/>
      <c r="M3" s="427"/>
      <c r="N3" s="427"/>
      <c r="O3" s="434" t="s">
        <v>540</v>
      </c>
      <c r="P3" s="420"/>
      <c r="Q3" s="420"/>
      <c r="R3" s="420"/>
      <c r="S3" s="420"/>
    </row>
    <row r="4" spans="1:19" ht="15">
      <c r="A4" s="663"/>
      <c r="B4" s="9" t="s">
        <v>16</v>
      </c>
      <c r="C4" s="10"/>
      <c r="D4" s="11" t="s">
        <v>0</v>
      </c>
      <c r="E4" s="11" t="s">
        <v>1</v>
      </c>
      <c r="F4" s="11" t="s">
        <v>2</v>
      </c>
      <c r="G4" s="11" t="s">
        <v>3</v>
      </c>
      <c r="H4" s="11" t="s">
        <v>4</v>
      </c>
      <c r="I4" s="11" t="s">
        <v>5</v>
      </c>
      <c r="J4" s="11" t="s">
        <v>6</v>
      </c>
      <c r="K4" s="11" t="s">
        <v>7</v>
      </c>
      <c r="L4" s="11" t="s">
        <v>8</v>
      </c>
      <c r="M4" s="11" t="s">
        <v>9</v>
      </c>
      <c r="N4" s="11" t="s">
        <v>10</v>
      </c>
      <c r="O4" s="12" t="s">
        <v>11</v>
      </c>
    </row>
    <row r="5" spans="1:19" ht="14.25">
      <c r="A5" s="663"/>
      <c r="B5" s="14" t="str">
        <f>+B3 &amp;" Node Inflow"</f>
        <v>Node 3.00 Node Inflow</v>
      </c>
      <c r="C5" s="13"/>
      <c r="D5" s="15">
        <f>+'Reach 1'!D210</f>
        <v>2385.0605176118456</v>
      </c>
      <c r="E5" s="15">
        <f>+'Reach 1'!E210</f>
        <v>2733.4425891352939</v>
      </c>
      <c r="F5" s="15">
        <f>+'Reach 1'!F210</f>
        <v>7596.7841295666813</v>
      </c>
      <c r="G5" s="15">
        <f>+'Reach 1'!G210</f>
        <v>10183.269175647018</v>
      </c>
      <c r="H5" s="15">
        <f>+'Reach 1'!H210</f>
        <v>26130.143073524658</v>
      </c>
      <c r="I5" s="15">
        <f>+'Reach 1'!I210</f>
        <v>13959.141005403633</v>
      </c>
      <c r="J5" s="15">
        <f>+'Reach 1'!J210</f>
        <v>2728.8671094750034</v>
      </c>
      <c r="K5" s="15">
        <f>+'Reach 1'!K210</f>
        <v>2049.7258394433975</v>
      </c>
      <c r="L5" s="15">
        <f>+'Reach 1'!L210</f>
        <v>1638.4464163925873</v>
      </c>
      <c r="M5" s="15">
        <f>+'Reach 1'!M210</f>
        <v>3347.6714793966953</v>
      </c>
      <c r="N5" s="15">
        <f>+'Reach 1'!N210</f>
        <v>2880.2506053301295</v>
      </c>
      <c r="O5" s="16">
        <f>+'Reach 1'!O210</f>
        <v>2515.2434878980216</v>
      </c>
    </row>
    <row r="6" spans="1:19" ht="14.25">
      <c r="A6" s="663"/>
      <c r="B6" s="14" t="str">
        <f>+B3 &amp;" Inflow from Sulphur Creek"</f>
        <v>Node 3.00 Inflow from Sulphur Creek</v>
      </c>
      <c r="C6" s="13"/>
      <c r="D6" s="15">
        <f>+'Reach 2'!D63</f>
        <v>47.221060994555671</v>
      </c>
      <c r="E6" s="15">
        <f>+'Reach 2'!E63</f>
        <v>44.15200092494775</v>
      </c>
      <c r="F6" s="15">
        <f>+'Reach 2'!F63</f>
        <v>794.27676484899939</v>
      </c>
      <c r="G6" s="15">
        <f>+'Reach 2'!G63</f>
        <v>1888.3379982755275</v>
      </c>
      <c r="H6" s="15">
        <f>+'Reach 2'!H63</f>
        <v>3182.5242559388757</v>
      </c>
      <c r="I6" s="15">
        <f>+'Reach 2'!I63</f>
        <v>2615.8601584700518</v>
      </c>
      <c r="J6" s="15">
        <f>+'Reach 2'!J63</f>
        <v>2353.399713786846</v>
      </c>
      <c r="K6" s="15">
        <f>+'Reach 2'!K63</f>
        <v>1788.559989783324</v>
      </c>
      <c r="L6" s="15">
        <f>+'Reach 2'!L63</f>
        <v>1338.9576172910315</v>
      </c>
      <c r="M6" s="15">
        <f>+'Reach 2'!M63</f>
        <v>310.84168507305247</v>
      </c>
      <c r="N6" s="15">
        <f>+'Reach 2'!N63</f>
        <v>167.32815640716296</v>
      </c>
      <c r="O6" s="16">
        <f>+'Reach 2'!O63</f>
        <v>163.27976705386178</v>
      </c>
    </row>
    <row r="7" spans="1:19" ht="14.25">
      <c r="A7" s="663"/>
      <c r="B7" s="14" t="str">
        <f>+B3 &amp;" Irrigation Returns"</f>
        <v>Node 3.00 Irrigation Returns</v>
      </c>
      <c r="C7" s="13"/>
      <c r="D7" s="54">
        <f>VLOOKUP(($B3),'Irrigation Returns'!$B$644:$P$930,4,FALSE)</f>
        <v>0</v>
      </c>
      <c r="E7" s="54">
        <f>VLOOKUP(($B3),'Irrigation Returns'!$B$644:$P$930,5,FALSE)</f>
        <v>0</v>
      </c>
      <c r="F7" s="54">
        <f>VLOOKUP(($B3),'Irrigation Returns'!$B$644:$P$930,6,FALSE)</f>
        <v>0</v>
      </c>
      <c r="G7" s="54">
        <f>VLOOKUP(($B3),'Irrigation Returns'!$B$644:$P$930,7,FALSE)</f>
        <v>0</v>
      </c>
      <c r="H7" s="54">
        <f>VLOOKUP(($B3),'Irrigation Returns'!$B$644:$P$930,8,FALSE)</f>
        <v>103.19636249999999</v>
      </c>
      <c r="I7" s="54">
        <f>VLOOKUP(($B3),'Irrigation Returns'!$B$644:$P$930,9,FALSE)</f>
        <v>293.82721500000002</v>
      </c>
      <c r="J7" s="54">
        <f>VLOOKUP(($B3),'Irrigation Returns'!$B$644:$P$930,10,FALSE)</f>
        <v>370.48275000000001</v>
      </c>
      <c r="K7" s="54">
        <f>VLOOKUP(($B3),'Irrigation Returns'!$B$644:$P$930,11,FALSE)</f>
        <v>229.89862499999998</v>
      </c>
      <c r="L7" s="54">
        <f>VLOOKUP(($B3),'Irrigation Returns'!$B$644:$P$930,12,FALSE)</f>
        <v>111.27212249999999</v>
      </c>
      <c r="M7" s="54">
        <f>VLOOKUP(($B3),'Irrigation Returns'!$B$644:$P$930,13,FALSE)</f>
        <v>27.216419999999999</v>
      </c>
      <c r="N7" s="54">
        <f>VLOOKUP(($B3),'Irrigation Returns'!$B$644:$P$930,14,FALSE)</f>
        <v>5.6029049999999998</v>
      </c>
      <c r="O7" s="110">
        <f>VLOOKUP(($B3),'Irrigation Returns'!$B$644:$P$930,15,FALSE)</f>
        <v>0</v>
      </c>
    </row>
    <row r="8" spans="1:19" ht="14.25">
      <c r="A8" s="663"/>
      <c r="B8" s="14" t="s">
        <v>328</v>
      </c>
      <c r="C8" s="13" t="s">
        <v>180</v>
      </c>
      <c r="D8" s="54">
        <f>VLOOKUP($B8,GainLoss!$B$5:$O$14,3,FALSE)</f>
        <v>0</v>
      </c>
      <c r="E8" s="54">
        <f>VLOOKUP($B8,GainLoss!$B$5:$O$14,4,FALSE)</f>
        <v>0</v>
      </c>
      <c r="F8" s="54">
        <f>VLOOKUP($B8,GainLoss!$B$5:$O$14,5,FALSE)</f>
        <v>0</v>
      </c>
      <c r="G8" s="54">
        <f>VLOOKUP($B8,GainLoss!$B$5:$O$14,6,FALSE)</f>
        <v>0</v>
      </c>
      <c r="H8" s="54">
        <f>VLOOKUP($B8,GainLoss!$B$5:$O$14,7,FALSE)</f>
        <v>0</v>
      </c>
      <c r="I8" s="54">
        <f>VLOOKUP($B8,GainLoss!$B$5:$O$14,8,FALSE)</f>
        <v>0</v>
      </c>
      <c r="J8" s="54">
        <f>VLOOKUP($B8,GainLoss!$B$5:$O$14,9,FALSE)</f>
        <v>0</v>
      </c>
      <c r="K8" s="54">
        <f>VLOOKUP($B8,GainLoss!$B$5:$O$14,10,FALSE)</f>
        <v>0</v>
      </c>
      <c r="L8" s="54">
        <f>VLOOKUP($B8,GainLoss!$B$5:$O$14,11,FALSE)</f>
        <v>0</v>
      </c>
      <c r="M8" s="54">
        <f>VLOOKUP($B8,GainLoss!$B$5:$O$14,12,FALSE)</f>
        <v>0</v>
      </c>
      <c r="N8" s="54">
        <f>VLOOKUP($B8,GainLoss!$B$5:$O$14,13,FALSE)</f>
        <v>0</v>
      </c>
      <c r="O8" s="110">
        <f>VLOOKUP($B8,GainLoss!$B$5:$O$14,14,FALSE)</f>
        <v>0</v>
      </c>
    </row>
    <row r="9" spans="1:19" ht="14.25">
      <c r="A9" s="663"/>
      <c r="B9" s="14" t="str">
        <f>+B3 &amp;" Import/Export"</f>
        <v>Node 3.00 Import/Export</v>
      </c>
      <c r="C9" s="13"/>
      <c r="D9" s="190">
        <f>VLOOKUP($B3,ImportExport!$B$6:$O$68,3,FALSE)</f>
        <v>0</v>
      </c>
      <c r="E9" s="190">
        <f>VLOOKUP($B3,ImportExport!$B$6:$O$68,4,FALSE)</f>
        <v>0</v>
      </c>
      <c r="F9" s="190">
        <f>VLOOKUP($B3,ImportExport!$B$6:$O$68,5,FALSE)</f>
        <v>0</v>
      </c>
      <c r="G9" s="190">
        <f>VLOOKUP($B3,ImportExport!$B$6:$O$68,6,FALSE)</f>
        <v>0</v>
      </c>
      <c r="H9" s="190">
        <f>VLOOKUP($B3,ImportExport!$B$6:$O$68,7,FALSE)</f>
        <v>0</v>
      </c>
      <c r="I9" s="190">
        <f>VLOOKUP($B3,ImportExport!$B$6:$O$68,8,FALSE)</f>
        <v>0</v>
      </c>
      <c r="J9" s="190">
        <f>VLOOKUP($B3,ImportExport!$B$6:$O$68,9,FALSE)</f>
        <v>0</v>
      </c>
      <c r="K9" s="190">
        <f>VLOOKUP($B3,ImportExport!$B$6:$O$68,10,FALSE)</f>
        <v>0</v>
      </c>
      <c r="L9" s="190">
        <f>VLOOKUP($B3,ImportExport!$B$6:$O$68,11,FALSE)</f>
        <v>0</v>
      </c>
      <c r="M9" s="190">
        <f>VLOOKUP($B3,ImportExport!$B$6:$O$68,12,FALSE)</f>
        <v>0</v>
      </c>
      <c r="N9" s="190">
        <f>VLOOKUP($B3,ImportExport!$B$6:$O$68,13,FALSE)</f>
        <v>0</v>
      </c>
      <c r="O9" s="197">
        <f>VLOOKUP($B3,ImportExport!$B$6:$O$68,14,FALSE)</f>
        <v>0</v>
      </c>
    </row>
    <row r="10" spans="1:19" ht="15.75" thickBot="1">
      <c r="A10" s="663"/>
      <c r="B10" s="18" t="str">
        <f>"Total "&amp; (B3)&amp;" Inflow"</f>
        <v>Total Node 3.00 Inflow</v>
      </c>
      <c r="C10" s="17"/>
      <c r="D10" s="25">
        <f>SUM(D5:D9)</f>
        <v>2432.2815786064011</v>
      </c>
      <c r="E10" s="25">
        <f t="shared" ref="E10:O10" si="0">SUM(E5:E9)</f>
        <v>2777.5945900602419</v>
      </c>
      <c r="F10" s="25">
        <f t="shared" si="0"/>
        <v>8391.0608944156811</v>
      </c>
      <c r="G10" s="25">
        <f t="shared" si="0"/>
        <v>12071.607173922544</v>
      </c>
      <c r="H10" s="25">
        <f t="shared" si="0"/>
        <v>29415.863691963532</v>
      </c>
      <c r="I10" s="25">
        <f t="shared" si="0"/>
        <v>16868.828378873684</v>
      </c>
      <c r="J10" s="25">
        <f t="shared" si="0"/>
        <v>5452.749573261849</v>
      </c>
      <c r="K10" s="25">
        <f t="shared" si="0"/>
        <v>4068.1844542267213</v>
      </c>
      <c r="L10" s="25">
        <f t="shared" si="0"/>
        <v>3088.6761561836188</v>
      </c>
      <c r="M10" s="25">
        <f t="shared" si="0"/>
        <v>3685.7295844697478</v>
      </c>
      <c r="N10" s="25">
        <f t="shared" si="0"/>
        <v>3053.1816667372927</v>
      </c>
      <c r="O10" s="26">
        <f t="shared" si="0"/>
        <v>2678.5232549518832</v>
      </c>
    </row>
    <row r="11" spans="1:19" ht="15">
      <c r="A11" s="663"/>
      <c r="B11" s="19" t="s">
        <v>17</v>
      </c>
      <c r="C11" s="20"/>
      <c r="D11" s="282" t="str">
        <f>IF(((VLOOKUP($B3,'Diversion Data'!$B$3:$O$227,3,FALSE))-D13)&gt;0,"Short","")</f>
        <v/>
      </c>
      <c r="E11" s="282" t="str">
        <f>IF(((VLOOKUP($B3,'Diversion Data'!$B$3:$O$227,4,FALSE))-E13)&gt;0,"Short","")</f>
        <v/>
      </c>
      <c r="F11" s="282" t="str">
        <f>IF(((VLOOKUP($B3,'Diversion Data'!$B$3:$O$227,5,FALSE))-F13)&gt;0,"Short","")</f>
        <v/>
      </c>
      <c r="G11" s="282" t="str">
        <f>IF(((VLOOKUP($B3,'Diversion Data'!$B$3:$O$227,6,FALSE))-G13)&gt;0,"Short","")</f>
        <v/>
      </c>
      <c r="H11" s="282" t="str">
        <f>IF(((VLOOKUP($B3,'Diversion Data'!$B$3:$O$227,7,FALSE))-H13)&gt;0,"Short","")</f>
        <v/>
      </c>
      <c r="I11" s="282" t="str">
        <f>IF(((VLOOKUP($B3,'Diversion Data'!$B$3:$O$227,8,FALSE))-I13)&gt;0,"Short","")</f>
        <v/>
      </c>
      <c r="J11" s="282" t="str">
        <f>IF(((VLOOKUP($B3,'Diversion Data'!$B$3:$O$227,9,FALSE))-J13)&gt;0,"Short","")</f>
        <v/>
      </c>
      <c r="K11" s="282" t="str">
        <f>IF(((VLOOKUP($B3,'Diversion Data'!$B$3:$O$227,10,FALSE))-K13)&gt;0,"Short","")</f>
        <v/>
      </c>
      <c r="L11" s="282" t="str">
        <f>IF(((VLOOKUP($B3,'Diversion Data'!$B$3:$O$227,11,FALSE))-L13)&gt;0,"Short","")</f>
        <v/>
      </c>
      <c r="M11" s="282" t="str">
        <f>IF(((VLOOKUP($B3,'Diversion Data'!$B$3:$O$227,12,FALSE))-M13)&gt;0,"Short","")</f>
        <v/>
      </c>
      <c r="N11" s="282" t="str">
        <f>IF(((VLOOKUP($B3,'Diversion Data'!$B$3:$O$227,13,FALSE))-N13)&gt;0,"Short","")</f>
        <v/>
      </c>
      <c r="O11" s="283" t="str">
        <f>IF(((VLOOKUP($B3,'Diversion Data'!$B$3:$O$227,14,FALSE))-O13)&gt;0,"Short","")</f>
        <v/>
      </c>
    </row>
    <row r="12" spans="1:19" ht="14.25">
      <c r="A12" s="663"/>
      <c r="B12" s="14" t="s">
        <v>81</v>
      </c>
      <c r="C12" s="13" t="s">
        <v>181</v>
      </c>
      <c r="D12" s="171">
        <f>VLOOKUP($B12,GainLoss!$B$19:$O$27,3,FALSE)</f>
        <v>0</v>
      </c>
      <c r="E12" s="171">
        <f>VLOOKUP($B12,GainLoss!$B$19:$O$27,4,FALSE)</f>
        <v>0</v>
      </c>
      <c r="F12" s="171">
        <f>VLOOKUP($B12,GainLoss!$B$19:$O$27,5,FALSE)</f>
        <v>0</v>
      </c>
      <c r="G12" s="171">
        <f>VLOOKUP($B12,GainLoss!$B$19:$O$27,6,FALSE)</f>
        <v>0</v>
      </c>
      <c r="H12" s="171">
        <f>VLOOKUP($B12,GainLoss!$B$19:$O$27,7,FALSE)</f>
        <v>0</v>
      </c>
      <c r="I12" s="171">
        <f>VLOOKUP($B12,GainLoss!$B$19:$O$27,8,FALSE)</f>
        <v>0</v>
      </c>
      <c r="J12" s="171">
        <f>VLOOKUP($B12,GainLoss!$B$19:$O$27,9,FALSE)</f>
        <v>0</v>
      </c>
      <c r="K12" s="171">
        <f>VLOOKUP($B12,GainLoss!$B$19:$O$27,10,FALSE)</f>
        <v>0</v>
      </c>
      <c r="L12" s="171">
        <f>VLOOKUP($B12,GainLoss!$B$19:$O$27,11,FALSE)</f>
        <v>0</v>
      </c>
      <c r="M12" s="171">
        <f>VLOOKUP($B12,GainLoss!$B$19:$O$27,12,FALSE)</f>
        <v>0</v>
      </c>
      <c r="N12" s="171">
        <f>VLOOKUP($B12,GainLoss!$B$19:$O$27,13,FALSE)</f>
        <v>0</v>
      </c>
      <c r="O12" s="198">
        <f>VLOOKUP($B12,GainLoss!$B$19:$O$27,14,FALSE)</f>
        <v>0</v>
      </c>
    </row>
    <row r="13" spans="1:19" ht="14.25">
      <c r="A13" s="663"/>
      <c r="B13" s="14" t="str">
        <f>+B3 &amp;" Diversions"</f>
        <v>Node 3.00 Diversions</v>
      </c>
      <c r="C13" s="13"/>
      <c r="D13" s="54">
        <f>MIN(VLOOKUP($B3,'Diversion Data'!$B$3:$O$227,3,FALSE),(D10-D12))</f>
        <v>0</v>
      </c>
      <c r="E13" s="54">
        <f>MIN(VLOOKUP($B3,'Diversion Data'!$B$3:$O$227,4,FALSE),(E10-E12))</f>
        <v>1</v>
      </c>
      <c r="F13" s="54">
        <f>MIN(VLOOKUP($B3,'Diversion Data'!$B$3:$O$227,5,FALSE),(F10-F12))</f>
        <v>2</v>
      </c>
      <c r="G13" s="54">
        <f>MIN(VLOOKUP($B3,'Diversion Data'!$B$3:$O$227,6,FALSE),(G10-G12))</f>
        <v>3</v>
      </c>
      <c r="H13" s="54">
        <f>MIN(VLOOKUP($B3,'Diversion Data'!$B$3:$O$227,7,FALSE),(H10-H12))</f>
        <v>4</v>
      </c>
      <c r="I13" s="54">
        <f>MIN(VLOOKUP($B3,'Diversion Data'!$B$3:$O$227,8,FALSE),(I10-I12))</f>
        <v>5</v>
      </c>
      <c r="J13" s="54">
        <f>MIN(VLOOKUP($B3,'Diversion Data'!$B$3:$O$227,9,FALSE),(J10-J12))</f>
        <v>6</v>
      </c>
      <c r="K13" s="54">
        <f>MIN(VLOOKUP($B3,'Diversion Data'!$B$3:$O$227,10,FALSE),(K10-K12))</f>
        <v>7</v>
      </c>
      <c r="L13" s="54">
        <f>MIN(VLOOKUP($B3,'Diversion Data'!$B$3:$O$227,11,FALSE),(L10-L12))</f>
        <v>8</v>
      </c>
      <c r="M13" s="54">
        <f>MIN(VLOOKUP($B3,'Diversion Data'!$B$3:$O$227,12,FALSE),(M10-M12))</f>
        <v>9</v>
      </c>
      <c r="N13" s="54">
        <f>MIN(VLOOKUP($B3,'Diversion Data'!$B$3:$O$227,13,FALSE),(N10-N12))</f>
        <v>10</v>
      </c>
      <c r="O13" s="110">
        <f>MIN(VLOOKUP($B3,'Diversion Data'!$B$3:$O$227,14,FALSE),(O10-O12))</f>
        <v>11</v>
      </c>
    </row>
    <row r="14" spans="1:19" ht="15.75" thickBot="1">
      <c r="A14" s="663"/>
      <c r="B14" s="24" t="str">
        <f>"Total " &amp; (B3) &amp;" Outflow"</f>
        <v>Total Node 3.00 Outflow</v>
      </c>
      <c r="C14" s="23"/>
      <c r="D14" s="27">
        <f>SUM(D12:D13)</f>
        <v>0</v>
      </c>
      <c r="E14" s="27">
        <f t="shared" ref="E14:O14" si="1">SUM(E12:E13)</f>
        <v>1</v>
      </c>
      <c r="F14" s="27">
        <f t="shared" si="1"/>
        <v>2</v>
      </c>
      <c r="G14" s="27">
        <f t="shared" si="1"/>
        <v>3</v>
      </c>
      <c r="H14" s="27">
        <f t="shared" si="1"/>
        <v>4</v>
      </c>
      <c r="I14" s="27">
        <f t="shared" si="1"/>
        <v>5</v>
      </c>
      <c r="J14" s="27">
        <f t="shared" si="1"/>
        <v>6</v>
      </c>
      <c r="K14" s="27">
        <f t="shared" si="1"/>
        <v>7</v>
      </c>
      <c r="L14" s="27">
        <f t="shared" si="1"/>
        <v>8</v>
      </c>
      <c r="M14" s="27">
        <f t="shared" si="1"/>
        <v>9</v>
      </c>
      <c r="N14" s="27">
        <f t="shared" si="1"/>
        <v>10</v>
      </c>
      <c r="O14" s="28">
        <f t="shared" si="1"/>
        <v>11</v>
      </c>
    </row>
    <row r="15" spans="1:19" ht="15.75" thickBot="1">
      <c r="A15" s="663"/>
      <c r="B15" s="24" t="str">
        <f>(B3)&amp;" NET Flow (In - Out)"</f>
        <v>Node 3.00 NET Flow (In - Out)</v>
      </c>
      <c r="C15" s="23"/>
      <c r="D15" s="193">
        <f t="shared" ref="D15:O15" si="2">MAX(D10-D14,0)</f>
        <v>2432.2815786064011</v>
      </c>
      <c r="E15" s="193">
        <f t="shared" si="2"/>
        <v>2776.5945900602419</v>
      </c>
      <c r="F15" s="193">
        <f t="shared" si="2"/>
        <v>8389.0608944156811</v>
      </c>
      <c r="G15" s="193">
        <f t="shared" si="2"/>
        <v>12068.607173922544</v>
      </c>
      <c r="H15" s="193">
        <f t="shared" si="2"/>
        <v>29411.863691963532</v>
      </c>
      <c r="I15" s="193">
        <f t="shared" si="2"/>
        <v>16863.828378873684</v>
      </c>
      <c r="J15" s="193">
        <f t="shared" si="2"/>
        <v>5446.749573261849</v>
      </c>
      <c r="K15" s="193">
        <f t="shared" si="2"/>
        <v>4061.1844542267213</v>
      </c>
      <c r="L15" s="193">
        <f t="shared" si="2"/>
        <v>3080.6761561836188</v>
      </c>
      <c r="M15" s="193">
        <f t="shared" si="2"/>
        <v>3676.7295844697478</v>
      </c>
      <c r="N15" s="193">
        <f t="shared" si="2"/>
        <v>3043.1816667372927</v>
      </c>
      <c r="O15" s="200">
        <f t="shared" si="2"/>
        <v>2667.5232549518832</v>
      </c>
    </row>
    <row r="17" spans="2:15" ht="15.75" thickBot="1">
      <c r="B17" s="108" t="s">
        <v>71</v>
      </c>
      <c r="C17" s="109" t="str">
        <f>VLOOKUP(B17,NodeList!$D$4:$E$121,2,FALSE)</f>
        <v>Evanston Water Ditch</v>
      </c>
      <c r="D17" s="6"/>
      <c r="E17" s="6"/>
      <c r="F17" s="6"/>
      <c r="G17" s="6"/>
      <c r="H17" s="7"/>
      <c r="I17" s="7"/>
      <c r="J17" s="7"/>
      <c r="K17" s="7"/>
      <c r="L17" s="7"/>
      <c r="M17" s="7"/>
      <c r="N17" s="7"/>
      <c r="O17" s="7"/>
    </row>
    <row r="18" spans="2:15" ht="15">
      <c r="B18" s="9" t="s">
        <v>16</v>
      </c>
      <c r="C18" s="10"/>
      <c r="D18" s="11" t="s">
        <v>0</v>
      </c>
      <c r="E18" s="11" t="s">
        <v>1</v>
      </c>
      <c r="F18" s="11" t="s">
        <v>2</v>
      </c>
      <c r="G18" s="11" t="s">
        <v>3</v>
      </c>
      <c r="H18" s="11" t="s">
        <v>4</v>
      </c>
      <c r="I18" s="11" t="s">
        <v>5</v>
      </c>
      <c r="J18" s="11" t="s">
        <v>6</v>
      </c>
      <c r="K18" s="11" t="s">
        <v>7</v>
      </c>
      <c r="L18" s="11" t="s">
        <v>8</v>
      </c>
      <c r="M18" s="11" t="s">
        <v>9</v>
      </c>
      <c r="N18" s="11" t="s">
        <v>10</v>
      </c>
      <c r="O18" s="12" t="s">
        <v>11</v>
      </c>
    </row>
    <row r="19" spans="2:15" ht="14.25">
      <c r="B19" s="14" t="str">
        <f>+B17 &amp;" Node Inflow"</f>
        <v>Node 3.01 Node Inflow</v>
      </c>
      <c r="C19" s="13"/>
      <c r="D19" s="15">
        <f>+D15</f>
        <v>2432.2815786064011</v>
      </c>
      <c r="E19" s="15">
        <f t="shared" ref="E19:O19" si="3">+E15</f>
        <v>2776.5945900602419</v>
      </c>
      <c r="F19" s="15">
        <f t="shared" si="3"/>
        <v>8389.0608944156811</v>
      </c>
      <c r="G19" s="15">
        <f t="shared" si="3"/>
        <v>12068.607173922544</v>
      </c>
      <c r="H19" s="15">
        <f t="shared" si="3"/>
        <v>29411.863691963532</v>
      </c>
      <c r="I19" s="15">
        <f t="shared" si="3"/>
        <v>16863.828378873684</v>
      </c>
      <c r="J19" s="15">
        <f t="shared" si="3"/>
        <v>5446.749573261849</v>
      </c>
      <c r="K19" s="15">
        <f t="shared" si="3"/>
        <v>4061.1844542267213</v>
      </c>
      <c r="L19" s="15">
        <f t="shared" si="3"/>
        <v>3080.6761561836188</v>
      </c>
      <c r="M19" s="15">
        <f t="shared" si="3"/>
        <v>3676.7295844697478</v>
      </c>
      <c r="N19" s="15">
        <f t="shared" si="3"/>
        <v>3043.1816667372927</v>
      </c>
      <c r="O19" s="16">
        <f t="shared" si="3"/>
        <v>2667.5232549518832</v>
      </c>
    </row>
    <row r="20" spans="2:15" ht="14.25">
      <c r="B20" s="14" t="str">
        <f>+B17 &amp;" Irrigation Returns"</f>
        <v>Node 3.01 Irrigation Returns</v>
      </c>
      <c r="C20" s="13"/>
      <c r="D20" s="54">
        <f>VLOOKUP(($B17),'Irrigation Returns'!$B$644:$P$930,4,FALSE)</f>
        <v>0</v>
      </c>
      <c r="E20" s="54">
        <f>VLOOKUP(($B17),'Irrigation Returns'!$B$644:$P$930,5,FALSE)</f>
        <v>0</v>
      </c>
      <c r="F20" s="54">
        <f>VLOOKUP(($B17),'Irrigation Returns'!$B$644:$P$930,6,FALSE)</f>
        <v>0</v>
      </c>
      <c r="G20" s="54">
        <f>VLOOKUP(($B17),'Irrigation Returns'!$B$644:$P$930,7,FALSE)</f>
        <v>0</v>
      </c>
      <c r="H20" s="54">
        <f>VLOOKUP(($B17),'Irrigation Returns'!$B$644:$P$930,8,FALSE)</f>
        <v>206.70522551670925</v>
      </c>
      <c r="I20" s="54">
        <f>VLOOKUP(($B17),'Irrigation Returns'!$B$644:$P$930,9,FALSE)</f>
        <v>406.26239980166145</v>
      </c>
      <c r="J20" s="54">
        <f>VLOOKUP(($B17),'Irrigation Returns'!$B$644:$P$930,10,FALSE)</f>
        <v>362.57841019080416</v>
      </c>
      <c r="K20" s="54">
        <f>VLOOKUP(($B17),'Irrigation Returns'!$B$644:$P$930,11,FALSE)</f>
        <v>244.58772852501644</v>
      </c>
      <c r="L20" s="54">
        <f>VLOOKUP(($B17),'Irrigation Returns'!$B$644:$P$930,12,FALSE)</f>
        <v>173.37368356113637</v>
      </c>
      <c r="M20" s="54">
        <f>VLOOKUP(($B17),'Irrigation Returns'!$B$644:$P$930,13,FALSE)</f>
        <v>47.837876557515088</v>
      </c>
      <c r="N20" s="54">
        <f>VLOOKUP(($B17),'Irrigation Returns'!$B$644:$P$930,14,FALSE)</f>
        <v>14.76369029877397</v>
      </c>
      <c r="O20" s="110">
        <f>VLOOKUP(($B17),'Irrigation Returns'!$B$644:$P$930,15,FALSE)</f>
        <v>0</v>
      </c>
    </row>
    <row r="21" spans="2:15" ht="14.25">
      <c r="B21" s="14" t="s">
        <v>328</v>
      </c>
      <c r="C21" s="13" t="s">
        <v>180</v>
      </c>
      <c r="D21" s="54">
        <f>VLOOKUP($B21,GainLoss!$B$5:$O$14,3,FALSE)</f>
        <v>0</v>
      </c>
      <c r="E21" s="54">
        <f>VLOOKUP($B21,GainLoss!$B$5:$O$14,4,FALSE)</f>
        <v>0</v>
      </c>
      <c r="F21" s="54">
        <f>VLOOKUP($B21,GainLoss!$B$5:$O$14,5,FALSE)</f>
        <v>0</v>
      </c>
      <c r="G21" s="54">
        <f>VLOOKUP($B21,GainLoss!$B$5:$O$14,6,FALSE)</f>
        <v>0</v>
      </c>
      <c r="H21" s="54">
        <f>VLOOKUP($B21,GainLoss!$B$5:$O$14,7,FALSE)</f>
        <v>0</v>
      </c>
      <c r="I21" s="54">
        <f>VLOOKUP($B21,GainLoss!$B$5:$O$14,8,FALSE)</f>
        <v>0</v>
      </c>
      <c r="J21" s="54">
        <f>VLOOKUP($B21,GainLoss!$B$5:$O$14,9,FALSE)</f>
        <v>0</v>
      </c>
      <c r="K21" s="54">
        <f>VLOOKUP($B21,GainLoss!$B$5:$O$14,10,FALSE)</f>
        <v>0</v>
      </c>
      <c r="L21" s="54">
        <f>VLOOKUP($B21,GainLoss!$B$5:$O$14,11,FALSE)</f>
        <v>0</v>
      </c>
      <c r="M21" s="54">
        <f>VLOOKUP($B21,GainLoss!$B$5:$O$14,12,FALSE)</f>
        <v>0</v>
      </c>
      <c r="N21" s="54">
        <f>VLOOKUP($B21,GainLoss!$B$5:$O$14,13,FALSE)</f>
        <v>0</v>
      </c>
      <c r="O21" s="110">
        <f>VLOOKUP($B21,GainLoss!$B$5:$O$14,14,FALSE)</f>
        <v>0</v>
      </c>
    </row>
    <row r="22" spans="2:15" ht="14.25">
      <c r="B22" s="14" t="str">
        <f>+B17 &amp;" Import/Export"</f>
        <v>Node 3.01 Import/Export</v>
      </c>
      <c r="C22" s="13"/>
      <c r="D22" s="190">
        <f>VLOOKUP($B17,ImportExport!$B$6:$O$68,3,FALSE)</f>
        <v>0</v>
      </c>
      <c r="E22" s="190">
        <f>VLOOKUP($B17,ImportExport!$B$6:$O$68,4,FALSE)</f>
        <v>0</v>
      </c>
      <c r="F22" s="190">
        <f>VLOOKUP($B17,ImportExport!$B$6:$O$68,5,FALSE)</f>
        <v>0</v>
      </c>
      <c r="G22" s="190">
        <f>VLOOKUP($B17,ImportExport!$B$6:$O$68,6,FALSE)</f>
        <v>0</v>
      </c>
      <c r="H22" s="190">
        <f>VLOOKUP($B17,ImportExport!$B$6:$O$68,7,FALSE)</f>
        <v>0</v>
      </c>
      <c r="I22" s="190">
        <f>VLOOKUP($B17,ImportExport!$B$6:$O$68,8,FALSE)</f>
        <v>0</v>
      </c>
      <c r="J22" s="190">
        <f>VLOOKUP($B17,ImportExport!$B$6:$O$68,9,FALSE)</f>
        <v>0</v>
      </c>
      <c r="K22" s="190">
        <f>VLOOKUP($B17,ImportExport!$B$6:$O$68,10,FALSE)</f>
        <v>0</v>
      </c>
      <c r="L22" s="190">
        <f>VLOOKUP($B17,ImportExport!$B$6:$O$68,11,FALSE)</f>
        <v>0</v>
      </c>
      <c r="M22" s="190">
        <f>VLOOKUP($B17,ImportExport!$B$6:$O$68,12,FALSE)</f>
        <v>0</v>
      </c>
      <c r="N22" s="190">
        <f>VLOOKUP($B17,ImportExport!$B$6:$O$68,13,FALSE)</f>
        <v>0</v>
      </c>
      <c r="O22" s="197">
        <f>VLOOKUP($B17,ImportExport!$B$6:$O$68,14,FALSE)</f>
        <v>0</v>
      </c>
    </row>
    <row r="23" spans="2:15" ht="15.75" thickBot="1">
      <c r="B23" s="18" t="str">
        <f>"Total "&amp; (B17)&amp;" Inflow"</f>
        <v>Total Node 3.01 Inflow</v>
      </c>
      <c r="C23" s="17"/>
      <c r="D23" s="25">
        <f>SUM(D19:D22)</f>
        <v>2432.2815786064011</v>
      </c>
      <c r="E23" s="25">
        <f t="shared" ref="E23:O23" si="4">SUM(E19:E22)</f>
        <v>2776.5945900602419</v>
      </c>
      <c r="F23" s="25">
        <f t="shared" si="4"/>
        <v>8389.0608944156811</v>
      </c>
      <c r="G23" s="25">
        <f t="shared" si="4"/>
        <v>12068.607173922544</v>
      </c>
      <c r="H23" s="25">
        <f t="shared" si="4"/>
        <v>29618.568917480243</v>
      </c>
      <c r="I23" s="25">
        <f t="shared" si="4"/>
        <v>17270.090778675345</v>
      </c>
      <c r="J23" s="25">
        <f t="shared" si="4"/>
        <v>5809.3279834526529</v>
      </c>
      <c r="K23" s="25">
        <f t="shared" si="4"/>
        <v>4305.772182751738</v>
      </c>
      <c r="L23" s="25">
        <f t="shared" si="4"/>
        <v>3254.049839744755</v>
      </c>
      <c r="M23" s="25">
        <f t="shared" si="4"/>
        <v>3724.5674610272631</v>
      </c>
      <c r="N23" s="25">
        <f t="shared" si="4"/>
        <v>3057.9453570360665</v>
      </c>
      <c r="O23" s="26">
        <f t="shared" si="4"/>
        <v>2667.5232549518832</v>
      </c>
    </row>
    <row r="24" spans="2:15" ht="15">
      <c r="B24" s="19" t="s">
        <v>17</v>
      </c>
      <c r="C24" s="20"/>
      <c r="D24" s="282" t="str">
        <f>IF(((VLOOKUP($B17,'Diversion Data'!$B$3:$O$227,3,FALSE))-D26)&gt;0,"Short","")</f>
        <v/>
      </c>
      <c r="E24" s="282" t="str">
        <f>IF(((VLOOKUP($B17,'Diversion Data'!$B$3:$O$227,4,FALSE))-E26)&gt;0,"Short","")</f>
        <v/>
      </c>
      <c r="F24" s="282" t="str">
        <f>IF(((VLOOKUP($B17,'Diversion Data'!$B$3:$O$227,5,FALSE))-F26)&gt;0,"Short","")</f>
        <v/>
      </c>
      <c r="G24" s="282" t="str">
        <f>IF(((VLOOKUP($B17,'Diversion Data'!$B$3:$O$227,6,FALSE))-G26)&gt;0,"Short","")</f>
        <v/>
      </c>
      <c r="H24" s="282" t="str">
        <f>IF(((VLOOKUP($B17,'Diversion Data'!$B$3:$O$227,7,FALSE))-H26)&gt;0,"Short","")</f>
        <v/>
      </c>
      <c r="I24" s="282" t="str">
        <f>IF(((VLOOKUP($B17,'Diversion Data'!$B$3:$O$227,8,FALSE))-I26)&gt;0,"Short","")</f>
        <v/>
      </c>
      <c r="J24" s="282" t="str">
        <f>IF(((VLOOKUP($B17,'Diversion Data'!$B$3:$O$227,9,FALSE))-J26)&gt;0,"Short","")</f>
        <v/>
      </c>
      <c r="K24" s="282" t="str">
        <f>IF(((VLOOKUP($B17,'Diversion Data'!$B$3:$O$227,10,FALSE))-K26)&gt;0,"Short","")</f>
        <v/>
      </c>
      <c r="L24" s="282" t="str">
        <f>IF(((VLOOKUP($B17,'Diversion Data'!$B$3:$O$227,11,FALSE))-L26)&gt;0,"Short","")</f>
        <v/>
      </c>
      <c r="M24" s="282" t="str">
        <f>IF(((VLOOKUP($B17,'Diversion Data'!$B$3:$O$227,12,FALSE))-M26)&gt;0,"Short","")</f>
        <v/>
      </c>
      <c r="N24" s="282" t="str">
        <f>IF(((VLOOKUP($B17,'Diversion Data'!$B$3:$O$227,13,FALSE))-N26)&gt;0,"Short","")</f>
        <v/>
      </c>
      <c r="O24" s="283" t="str">
        <f>IF(((VLOOKUP($B17,'Diversion Data'!$B$3:$O$227,14,FALSE))-O26)&gt;0,"Short","")</f>
        <v/>
      </c>
    </row>
    <row r="25" spans="2:15" ht="14.25">
      <c r="B25" s="14" t="s">
        <v>81</v>
      </c>
      <c r="C25" s="13" t="s">
        <v>181</v>
      </c>
      <c r="D25" s="171">
        <f>VLOOKUP($B25,GainLoss!$B$19:$O$27,3,FALSE)</f>
        <v>0</v>
      </c>
      <c r="E25" s="171">
        <f>VLOOKUP($B25,GainLoss!$B$19:$O$27,4,FALSE)</f>
        <v>0</v>
      </c>
      <c r="F25" s="171">
        <f>VLOOKUP($B25,GainLoss!$B$19:$O$27,5,FALSE)</f>
        <v>0</v>
      </c>
      <c r="G25" s="171">
        <f>VLOOKUP($B25,GainLoss!$B$19:$O$27,6,FALSE)</f>
        <v>0</v>
      </c>
      <c r="H25" s="171">
        <f>VLOOKUP($B25,GainLoss!$B$19:$O$27,7,FALSE)</f>
        <v>0</v>
      </c>
      <c r="I25" s="171">
        <f>VLOOKUP($B25,GainLoss!$B$19:$O$27,8,FALSE)</f>
        <v>0</v>
      </c>
      <c r="J25" s="171">
        <f>VLOOKUP($B25,GainLoss!$B$19:$O$27,9,FALSE)</f>
        <v>0</v>
      </c>
      <c r="K25" s="171">
        <f>VLOOKUP($B25,GainLoss!$B$19:$O$27,10,FALSE)</f>
        <v>0</v>
      </c>
      <c r="L25" s="171">
        <f>VLOOKUP($B25,GainLoss!$B$19:$O$27,11,FALSE)</f>
        <v>0</v>
      </c>
      <c r="M25" s="171">
        <f>VLOOKUP($B25,GainLoss!$B$19:$O$27,12,FALSE)</f>
        <v>0</v>
      </c>
      <c r="N25" s="171">
        <f>VLOOKUP($B25,GainLoss!$B$19:$O$27,13,FALSE)</f>
        <v>0</v>
      </c>
      <c r="O25" s="198">
        <f>VLOOKUP($B25,GainLoss!$B$19:$O$27,14,FALSE)</f>
        <v>0</v>
      </c>
    </row>
    <row r="26" spans="2:15" ht="14.25">
      <c r="B26" s="14" t="str">
        <f>+B17 &amp;" Diversions"</f>
        <v>Node 3.01 Diversions</v>
      </c>
      <c r="C26" s="13"/>
      <c r="D26" s="54">
        <f>MIN(VLOOKUP($B17,'Diversion Data'!$B$3:$O$227,3,FALSE),(D23-D25))</f>
        <v>0</v>
      </c>
      <c r="E26" s="54">
        <f>MIN(VLOOKUP($B17,'Diversion Data'!$B$3:$O$227,4,FALSE),(E23-E25))</f>
        <v>0</v>
      </c>
      <c r="F26" s="54">
        <f>MIN(VLOOKUP($B17,'Diversion Data'!$B$3:$O$227,5,FALSE),(F23-F25))</f>
        <v>0</v>
      </c>
      <c r="G26" s="54">
        <f>MIN(VLOOKUP($B17,'Diversion Data'!$B$3:$O$227,6,FALSE),(G23-G25))</f>
        <v>0</v>
      </c>
      <c r="H26" s="54">
        <f>MIN(VLOOKUP($B17,'Diversion Data'!$B$3:$O$227,7,FALSE),(H23-H25))</f>
        <v>526.24882231404956</v>
      </c>
      <c r="I26" s="54">
        <f>MIN(VLOOKUP($B17,'Diversion Data'!$B$3:$O$227,8,FALSE),(I23-I25))</f>
        <v>1046.7743595041325</v>
      </c>
      <c r="J26" s="54">
        <f>MIN(VLOOKUP($B17,'Diversion Data'!$B$3:$O$227,9,FALSE),(J23-J25))</f>
        <v>821.79398760330571</v>
      </c>
      <c r="K26" s="54">
        <f>MIN(VLOOKUP($B17,'Diversion Data'!$B$3:$O$227,10,FALSE),(K23-K25))</f>
        <v>549.62001033057845</v>
      </c>
      <c r="L26" s="54">
        <f>MIN(VLOOKUP($B17,'Diversion Data'!$B$3:$O$227,11,FALSE),(L23-L25))</f>
        <v>239.99172520661156</v>
      </c>
      <c r="M26" s="54">
        <f>MIN(VLOOKUP($B17,'Diversion Data'!$B$3:$O$227,12,FALSE),(M23-M25))</f>
        <v>0</v>
      </c>
      <c r="N26" s="54">
        <f>MIN(VLOOKUP($B17,'Diversion Data'!$B$3:$O$227,13,FALSE),(N23-N25))</f>
        <v>0</v>
      </c>
      <c r="O26" s="110">
        <f>MIN(VLOOKUP($B17,'Diversion Data'!$B$3:$O$227,14,FALSE),(O23-O25))</f>
        <v>0</v>
      </c>
    </row>
    <row r="27" spans="2:15" ht="15.75" thickBot="1">
      <c r="B27" s="24" t="str">
        <f>"Total " &amp; (B17) &amp;" Outflow"</f>
        <v>Total Node 3.01 Outflow</v>
      </c>
      <c r="C27" s="23"/>
      <c r="D27" s="27">
        <f>SUM(D25:D26)</f>
        <v>0</v>
      </c>
      <c r="E27" s="27">
        <f t="shared" ref="E27:O27" si="5">SUM(E25:E26)</f>
        <v>0</v>
      </c>
      <c r="F27" s="27">
        <f t="shared" si="5"/>
        <v>0</v>
      </c>
      <c r="G27" s="27">
        <f t="shared" si="5"/>
        <v>0</v>
      </c>
      <c r="H27" s="27">
        <f t="shared" si="5"/>
        <v>526.24882231404956</v>
      </c>
      <c r="I27" s="27">
        <f t="shared" si="5"/>
        <v>1046.7743595041325</v>
      </c>
      <c r="J27" s="27">
        <f t="shared" si="5"/>
        <v>821.79398760330571</v>
      </c>
      <c r="K27" s="27">
        <f t="shared" si="5"/>
        <v>549.62001033057845</v>
      </c>
      <c r="L27" s="27">
        <f t="shared" si="5"/>
        <v>239.99172520661156</v>
      </c>
      <c r="M27" s="27">
        <f t="shared" si="5"/>
        <v>0</v>
      </c>
      <c r="N27" s="27">
        <f t="shared" si="5"/>
        <v>0</v>
      </c>
      <c r="O27" s="28">
        <f t="shared" si="5"/>
        <v>0</v>
      </c>
    </row>
    <row r="28" spans="2:15" ht="15.75" thickBot="1">
      <c r="B28" s="24" t="str">
        <f>(B17)&amp;" NET Flow (In - Out)"</f>
        <v>Node 3.01 NET Flow (In - Out)</v>
      </c>
      <c r="C28" s="23"/>
      <c r="D28" s="193">
        <f t="shared" ref="D28:O28" si="6">MAX(D23-D27,0)</f>
        <v>2432.2815786064011</v>
      </c>
      <c r="E28" s="193">
        <f t="shared" si="6"/>
        <v>2776.5945900602419</v>
      </c>
      <c r="F28" s="193">
        <f t="shared" si="6"/>
        <v>8389.0608944156811</v>
      </c>
      <c r="G28" s="193">
        <f t="shared" si="6"/>
        <v>12068.607173922544</v>
      </c>
      <c r="H28" s="193">
        <f t="shared" si="6"/>
        <v>29092.320095166193</v>
      </c>
      <c r="I28" s="193">
        <f t="shared" si="6"/>
        <v>16223.316419171213</v>
      </c>
      <c r="J28" s="193">
        <f t="shared" si="6"/>
        <v>4987.5339958493469</v>
      </c>
      <c r="K28" s="193">
        <f t="shared" si="6"/>
        <v>3756.1521724211598</v>
      </c>
      <c r="L28" s="193">
        <f t="shared" si="6"/>
        <v>3014.0581145381434</v>
      </c>
      <c r="M28" s="193">
        <f t="shared" si="6"/>
        <v>3724.5674610272631</v>
      </c>
      <c r="N28" s="193">
        <f t="shared" si="6"/>
        <v>3057.9453570360665</v>
      </c>
      <c r="O28" s="200">
        <f t="shared" si="6"/>
        <v>2667.5232549518832</v>
      </c>
    </row>
    <row r="30" spans="2:15" ht="15.75" thickBot="1">
      <c r="B30" s="108" t="s">
        <v>149</v>
      </c>
      <c r="C30" s="109" t="str">
        <f>VLOOKUP(B30,NodeList!$D$4:$E$121,2,FALSE)</f>
        <v>Rocky Mtn &amp; Blyth</v>
      </c>
      <c r="D30" s="6"/>
      <c r="E30" s="6"/>
      <c r="F30" s="6"/>
      <c r="G30" s="6"/>
      <c r="H30" s="7"/>
      <c r="I30" s="7"/>
      <c r="J30" s="7"/>
      <c r="K30" s="7"/>
      <c r="L30" s="7"/>
      <c r="M30" s="7"/>
      <c r="N30" s="7"/>
      <c r="O30" s="7"/>
    </row>
    <row r="31" spans="2:15" ht="15">
      <c r="B31" s="9" t="s">
        <v>16</v>
      </c>
      <c r="C31" s="10"/>
      <c r="D31" s="11" t="s">
        <v>0</v>
      </c>
      <c r="E31" s="11" t="s">
        <v>1</v>
      </c>
      <c r="F31" s="11" t="s">
        <v>2</v>
      </c>
      <c r="G31" s="11" t="s">
        <v>3</v>
      </c>
      <c r="H31" s="11" t="s">
        <v>4</v>
      </c>
      <c r="I31" s="11" t="s">
        <v>5</v>
      </c>
      <c r="J31" s="11" t="s">
        <v>6</v>
      </c>
      <c r="K31" s="11" t="s">
        <v>7</v>
      </c>
      <c r="L31" s="11" t="s">
        <v>8</v>
      </c>
      <c r="M31" s="11" t="s">
        <v>9</v>
      </c>
      <c r="N31" s="11" t="s">
        <v>10</v>
      </c>
      <c r="O31" s="12" t="s">
        <v>11</v>
      </c>
    </row>
    <row r="32" spans="2:15" ht="14.25">
      <c r="B32" s="14" t="str">
        <f>+B30 &amp;" Node Inflow"</f>
        <v>Node 3.02 Node Inflow</v>
      </c>
      <c r="C32" s="13"/>
      <c r="D32" s="15">
        <f>+D28</f>
        <v>2432.2815786064011</v>
      </c>
      <c r="E32" s="15">
        <f t="shared" ref="E32:O32" si="7">+E28</f>
        <v>2776.5945900602419</v>
      </c>
      <c r="F32" s="15">
        <f t="shared" si="7"/>
        <v>8389.0608944156811</v>
      </c>
      <c r="G32" s="15">
        <f t="shared" si="7"/>
        <v>12068.607173922544</v>
      </c>
      <c r="H32" s="15">
        <f t="shared" si="7"/>
        <v>29092.320095166193</v>
      </c>
      <c r="I32" s="15">
        <f t="shared" si="7"/>
        <v>16223.316419171213</v>
      </c>
      <c r="J32" s="15">
        <f t="shared" si="7"/>
        <v>4987.5339958493469</v>
      </c>
      <c r="K32" s="15">
        <f t="shared" si="7"/>
        <v>3756.1521724211598</v>
      </c>
      <c r="L32" s="15">
        <f t="shared" si="7"/>
        <v>3014.0581145381434</v>
      </c>
      <c r="M32" s="15">
        <f t="shared" si="7"/>
        <v>3724.5674610272631</v>
      </c>
      <c r="N32" s="15">
        <f t="shared" si="7"/>
        <v>3057.9453570360665</v>
      </c>
      <c r="O32" s="16">
        <f t="shared" si="7"/>
        <v>2667.5232549518832</v>
      </c>
    </row>
    <row r="33" spans="2:16" ht="14.25">
      <c r="B33" s="14" t="str">
        <f>+B30 &amp;" Irrigation Returns"</f>
        <v>Node 3.02 Irrigation Returns</v>
      </c>
      <c r="C33" s="13"/>
      <c r="D33" s="54">
        <f>VLOOKUP(($B30),'Irrigation Returns'!$B$644:$P$930,4,FALSE)</f>
        <v>0</v>
      </c>
      <c r="E33" s="54">
        <f>VLOOKUP(($B30),'Irrigation Returns'!$B$644:$P$930,5,FALSE)</f>
        <v>0</v>
      </c>
      <c r="F33" s="54">
        <f>VLOOKUP(($B30),'Irrigation Returns'!$B$644:$P$930,6,FALSE)</f>
        <v>0</v>
      </c>
      <c r="G33" s="54">
        <f>VLOOKUP(($B30),'Irrigation Returns'!$B$644:$P$930,7,FALSE)</f>
        <v>0</v>
      </c>
      <c r="H33" s="54">
        <f>VLOOKUP(($B30),'Irrigation Returns'!$B$644:$P$930,8,FALSE)</f>
        <v>265.84403486384866</v>
      </c>
      <c r="I33" s="54">
        <f>VLOOKUP(($B30),'Irrigation Returns'!$B$644:$P$930,9,FALSE)</f>
        <v>610.07888972137812</v>
      </c>
      <c r="J33" s="54">
        <f>VLOOKUP(($B30),'Irrigation Returns'!$B$644:$P$930,10,FALSE)</f>
        <v>613.21529392087814</v>
      </c>
      <c r="K33" s="54">
        <f>VLOOKUP(($B30),'Irrigation Returns'!$B$644:$P$930,11,FALSE)</f>
        <v>478.22711258594086</v>
      </c>
      <c r="L33" s="54">
        <f>VLOOKUP(($B30),'Irrigation Returns'!$B$644:$P$930,12,FALSE)</f>
        <v>259.18606282158987</v>
      </c>
      <c r="M33" s="54">
        <f>VLOOKUP(($B30),'Irrigation Returns'!$B$644:$P$930,13,FALSE)</f>
        <v>74.017538428440702</v>
      </c>
      <c r="N33" s="54">
        <f>VLOOKUP(($B30),'Irrigation Returns'!$B$644:$P$930,14,FALSE)</f>
        <v>16.925048925619837</v>
      </c>
      <c r="O33" s="110">
        <f>VLOOKUP(($B30),'Irrigation Returns'!$B$644:$P$930,15,FALSE)</f>
        <v>0</v>
      </c>
    </row>
    <row r="34" spans="2:16" ht="14.25">
      <c r="B34" s="14" t="s">
        <v>328</v>
      </c>
      <c r="C34" s="13" t="s">
        <v>180</v>
      </c>
      <c r="D34" s="54">
        <f>VLOOKUP($B34,GainLoss!$B$5:$O$14,3,FALSE)</f>
        <v>0</v>
      </c>
      <c r="E34" s="54">
        <f>VLOOKUP($B34,GainLoss!$B$5:$O$14,4,FALSE)</f>
        <v>0</v>
      </c>
      <c r="F34" s="54">
        <f>VLOOKUP($B34,GainLoss!$B$5:$O$14,5,FALSE)</f>
        <v>0</v>
      </c>
      <c r="G34" s="54">
        <f>VLOOKUP($B34,GainLoss!$B$5:$O$14,6,FALSE)</f>
        <v>0</v>
      </c>
      <c r="H34" s="54">
        <f>VLOOKUP($B34,GainLoss!$B$5:$O$14,7,FALSE)</f>
        <v>0</v>
      </c>
      <c r="I34" s="54">
        <f>VLOOKUP($B34,GainLoss!$B$5:$O$14,8,FALSE)</f>
        <v>0</v>
      </c>
      <c r="J34" s="54">
        <f>VLOOKUP($B34,GainLoss!$B$5:$O$14,9,FALSE)</f>
        <v>0</v>
      </c>
      <c r="K34" s="54">
        <f>VLOOKUP($B34,GainLoss!$B$5:$O$14,10,FALSE)</f>
        <v>0</v>
      </c>
      <c r="L34" s="54">
        <f>VLOOKUP($B34,GainLoss!$B$5:$O$14,11,FALSE)</f>
        <v>0</v>
      </c>
      <c r="M34" s="54">
        <f>VLOOKUP($B34,GainLoss!$B$5:$O$14,12,FALSE)</f>
        <v>0</v>
      </c>
      <c r="N34" s="54">
        <f>VLOOKUP($B34,GainLoss!$B$5:$O$14,13,FALSE)</f>
        <v>0</v>
      </c>
      <c r="O34" s="110">
        <f>VLOOKUP($B34,GainLoss!$B$5:$O$14,14,FALSE)</f>
        <v>0</v>
      </c>
    </row>
    <row r="35" spans="2:16" ht="14.25">
      <c r="B35" s="14" t="str">
        <f>+B30 &amp;" Import/Export"</f>
        <v>Node 3.02 Import/Export</v>
      </c>
      <c r="C35" s="13"/>
      <c r="D35" s="190">
        <f>VLOOKUP($B30,ImportExport!$B$6:$O$68,3,FALSE)</f>
        <v>0</v>
      </c>
      <c r="E35" s="190">
        <f>VLOOKUP($B30,ImportExport!$B$6:$O$68,4,FALSE)</f>
        <v>0</v>
      </c>
      <c r="F35" s="190">
        <f>VLOOKUP($B30,ImportExport!$B$6:$O$68,5,FALSE)</f>
        <v>0</v>
      </c>
      <c r="G35" s="190">
        <f>VLOOKUP($B30,ImportExport!$B$6:$O$68,6,FALSE)</f>
        <v>0</v>
      </c>
      <c r="H35" s="190">
        <f>VLOOKUP($B30,ImportExport!$B$6:$O$68,7,FALSE)</f>
        <v>0</v>
      </c>
      <c r="I35" s="190">
        <f>VLOOKUP($B30,ImportExport!$B$6:$O$68,8,FALSE)</f>
        <v>0</v>
      </c>
      <c r="J35" s="190">
        <f>VLOOKUP($B30,ImportExport!$B$6:$O$68,9,FALSE)</f>
        <v>0</v>
      </c>
      <c r="K35" s="190">
        <f>VLOOKUP($B30,ImportExport!$B$6:$O$68,10,FALSE)</f>
        <v>0</v>
      </c>
      <c r="L35" s="190">
        <f>VLOOKUP($B30,ImportExport!$B$6:$O$68,11,FALSE)</f>
        <v>0</v>
      </c>
      <c r="M35" s="190">
        <f>VLOOKUP($B30,ImportExport!$B$6:$O$68,12,FALSE)</f>
        <v>0</v>
      </c>
      <c r="N35" s="190">
        <f>VLOOKUP($B30,ImportExport!$B$6:$O$68,13,FALSE)</f>
        <v>0</v>
      </c>
      <c r="O35" s="197">
        <f>VLOOKUP($B30,ImportExport!$B$6:$O$68,14,FALSE)</f>
        <v>0</v>
      </c>
    </row>
    <row r="36" spans="2:16" ht="15.75" thickBot="1">
      <c r="B36" s="18" t="str">
        <f>"Total "&amp; (B30)&amp;" Inflow"</f>
        <v>Total Node 3.02 Inflow</v>
      </c>
      <c r="C36" s="17"/>
      <c r="D36" s="25">
        <f>SUM(D32:D35)</f>
        <v>2432.2815786064011</v>
      </c>
      <c r="E36" s="25">
        <f t="shared" ref="E36:O36" si="8">SUM(E32:E35)</f>
        <v>2776.5945900602419</v>
      </c>
      <c r="F36" s="25">
        <f t="shared" si="8"/>
        <v>8389.0608944156811</v>
      </c>
      <c r="G36" s="25">
        <f t="shared" si="8"/>
        <v>12068.607173922544</v>
      </c>
      <c r="H36" s="25">
        <f t="shared" si="8"/>
        <v>29358.16413003004</v>
      </c>
      <c r="I36" s="25">
        <f t="shared" si="8"/>
        <v>16833.395308892592</v>
      </c>
      <c r="J36" s="25">
        <f t="shared" si="8"/>
        <v>5600.749289770225</v>
      </c>
      <c r="K36" s="25">
        <f t="shared" si="8"/>
        <v>4234.3792850071004</v>
      </c>
      <c r="L36" s="25">
        <f t="shared" si="8"/>
        <v>3273.2441773597334</v>
      </c>
      <c r="M36" s="25">
        <f t="shared" si="8"/>
        <v>3798.5849994557038</v>
      </c>
      <c r="N36" s="25">
        <f t="shared" si="8"/>
        <v>3074.8704059616862</v>
      </c>
      <c r="O36" s="26">
        <f t="shared" si="8"/>
        <v>2667.5232549518832</v>
      </c>
    </row>
    <row r="37" spans="2:16" ht="15">
      <c r="B37" s="19" t="s">
        <v>17</v>
      </c>
      <c r="C37" s="20"/>
      <c r="D37" s="282" t="str">
        <f>IF(((VLOOKUP($B30,'Diversion Data'!$B$3:$O$227,3,FALSE))-D39)&gt;0,"Short","")</f>
        <v/>
      </c>
      <c r="E37" s="282" t="str">
        <f>IF(((VLOOKUP($B30,'Diversion Data'!$B$3:$O$227,4,FALSE))-E39)&gt;0,"Short","")</f>
        <v/>
      </c>
      <c r="F37" s="282" t="str">
        <f>IF(((VLOOKUP($B30,'Diversion Data'!$B$3:$O$227,5,FALSE))-F39)&gt;0,"Short","")</f>
        <v/>
      </c>
      <c r="G37" s="282" t="str">
        <f>IF(((VLOOKUP($B30,'Diversion Data'!$B$3:$O$227,6,FALSE))-G39)&gt;0,"Short","")</f>
        <v/>
      </c>
      <c r="H37" s="282" t="str">
        <f>IF(((VLOOKUP($B30,'Diversion Data'!$B$3:$O$227,7,FALSE))-H39)&gt;0,"Short","")</f>
        <v/>
      </c>
      <c r="I37" s="282" t="str">
        <f>IF(((VLOOKUP($B30,'Diversion Data'!$B$3:$O$227,8,FALSE))-I39)&gt;0,"Short","")</f>
        <v/>
      </c>
      <c r="J37" s="282" t="str">
        <f>IF(((VLOOKUP($B30,'Diversion Data'!$B$3:$O$227,9,FALSE))-J39)&gt;0,"Short","")</f>
        <v/>
      </c>
      <c r="K37" s="282" t="str">
        <f>IF(((VLOOKUP($B30,'Diversion Data'!$B$3:$O$227,10,FALSE))-K39)&gt;0,"Short","")</f>
        <v/>
      </c>
      <c r="L37" s="282" t="str">
        <f>IF(((VLOOKUP($B30,'Diversion Data'!$B$3:$O$227,11,FALSE))-L39)&gt;0,"Short","")</f>
        <v/>
      </c>
      <c r="M37" s="282" t="str">
        <f>IF(((VLOOKUP($B30,'Diversion Data'!$B$3:$O$227,12,FALSE))-M39)&gt;0,"Short","")</f>
        <v/>
      </c>
      <c r="N37" s="282" t="str">
        <f>IF(((VLOOKUP($B30,'Diversion Data'!$B$3:$O$227,13,FALSE))-N39)&gt;0,"Short","")</f>
        <v/>
      </c>
      <c r="O37" s="283" t="str">
        <f>IF(((VLOOKUP($B30,'Diversion Data'!$B$3:$O$227,14,FALSE))-O39)&gt;0,"Short","")</f>
        <v/>
      </c>
    </row>
    <row r="38" spans="2:16" ht="14.25">
      <c r="B38" s="14" t="s">
        <v>338</v>
      </c>
      <c r="C38" s="13" t="s">
        <v>181</v>
      </c>
      <c r="D38" s="171">
        <f>VLOOKUP($B38,GainLoss!$B$19:$O$27,3,FALSE)</f>
        <v>0</v>
      </c>
      <c r="E38" s="171">
        <f>VLOOKUP($B38,GainLoss!$B$19:$O$27,4,FALSE)</f>
        <v>0</v>
      </c>
      <c r="F38" s="171">
        <f>VLOOKUP($B38,GainLoss!$B$19:$O$27,5,FALSE)</f>
        <v>0</v>
      </c>
      <c r="G38" s="171">
        <f>VLOOKUP($B38,GainLoss!$B$19:$O$27,6,FALSE)</f>
        <v>0</v>
      </c>
      <c r="H38" s="171">
        <f>VLOOKUP($B38,GainLoss!$B$19:$O$27,7,FALSE)</f>
        <v>0</v>
      </c>
      <c r="I38" s="171">
        <f>VLOOKUP($B38,GainLoss!$B$19:$O$27,8,FALSE)</f>
        <v>0</v>
      </c>
      <c r="J38" s="171">
        <f>VLOOKUP($B38,GainLoss!$B$19:$O$27,9,FALSE)</f>
        <v>1022.5222370651918</v>
      </c>
      <c r="K38" s="171">
        <f>VLOOKUP($B38,GainLoss!$B$19:$O$27,10,FALSE)</f>
        <v>2017.8958925150434</v>
      </c>
      <c r="L38" s="171">
        <f>VLOOKUP($B38,GainLoss!$B$19:$O$27,11,FALSE)</f>
        <v>1716.1169548256282</v>
      </c>
      <c r="M38" s="171">
        <f>VLOOKUP($B38,GainLoss!$B$19:$O$27,12,FALSE)</f>
        <v>1956.0529453627539</v>
      </c>
      <c r="N38" s="171">
        <f>VLOOKUP($B38,GainLoss!$B$19:$O$27,13,FALSE)</f>
        <v>429.26471107827706</v>
      </c>
      <c r="O38" s="198">
        <f>VLOOKUP($B38,GainLoss!$B$19:$O$27,14,FALSE)</f>
        <v>283.65694219352577</v>
      </c>
    </row>
    <row r="39" spans="2:16" ht="14.25">
      <c r="B39" s="14" t="str">
        <f>+B30 &amp;" Diversions"</f>
        <v>Node 3.02 Diversions</v>
      </c>
      <c r="C39" s="13"/>
      <c r="D39" s="54">
        <f>MIN(VLOOKUP($B30,'Diversion Data'!$B$3:$O$227,3,FALSE),(D36-D38))</f>
        <v>0</v>
      </c>
      <c r="E39" s="54">
        <f>MIN(VLOOKUP($B30,'Diversion Data'!$B$3:$O$227,4,FALSE),(E36-E38))</f>
        <v>0</v>
      </c>
      <c r="F39" s="54">
        <f>MIN(VLOOKUP($B30,'Diversion Data'!$B$3:$O$227,5,FALSE),(F36-F38))</f>
        <v>0</v>
      </c>
      <c r="G39" s="54">
        <f>MIN(VLOOKUP($B30,'Diversion Data'!$B$3:$O$227,6,FALSE),(G36-G38))</f>
        <v>0</v>
      </c>
      <c r="H39" s="54">
        <f>MIN(VLOOKUP($B30,'Diversion Data'!$B$3:$O$227,7,FALSE),(H36-H38))</f>
        <v>536.83008847004135</v>
      </c>
      <c r="I39" s="54">
        <f>MIN(VLOOKUP($B30,'Diversion Data'!$B$3:$O$227,8,FALSE),(I36-I38))</f>
        <v>529.25750102427685</v>
      </c>
      <c r="J39" s="54">
        <f>MIN(VLOOKUP($B30,'Diversion Data'!$B$3:$O$227,9,FALSE),(J36-J38))</f>
        <v>346.37503986683879</v>
      </c>
      <c r="K39" s="54">
        <f>MIN(VLOOKUP($B30,'Diversion Data'!$B$3:$O$227,10,FALSE),(K36-K38))</f>
        <v>185.31715975371901</v>
      </c>
      <c r="L39" s="54">
        <f>MIN(VLOOKUP($B30,'Diversion Data'!$B$3:$O$227,11,FALSE),(L36-L38))</f>
        <v>147.87729126301653</v>
      </c>
      <c r="M39" s="54">
        <f>MIN(VLOOKUP($B30,'Diversion Data'!$B$3:$O$227,12,FALSE),(M36-M38))</f>
        <v>0</v>
      </c>
      <c r="N39" s="54">
        <f>MIN(VLOOKUP($B30,'Diversion Data'!$B$3:$O$227,13,FALSE),(N36-N38))</f>
        <v>0</v>
      </c>
      <c r="O39" s="110">
        <f>MIN(VLOOKUP($B30,'Diversion Data'!$B$3:$O$227,14,FALSE),(O36-O38))</f>
        <v>0</v>
      </c>
    </row>
    <row r="40" spans="2:16" ht="15.75" thickBot="1">
      <c r="B40" s="24" t="str">
        <f>"Total " &amp; (B30) &amp;" Outflow"</f>
        <v>Total Node 3.02 Outflow</v>
      </c>
      <c r="C40" s="23"/>
      <c r="D40" s="27">
        <f>SUM(D38:D39)</f>
        <v>0</v>
      </c>
      <c r="E40" s="27">
        <f t="shared" ref="E40:O40" si="9">SUM(E38:E39)</f>
        <v>0</v>
      </c>
      <c r="F40" s="27">
        <f t="shared" si="9"/>
        <v>0</v>
      </c>
      <c r="G40" s="27">
        <f t="shared" si="9"/>
        <v>0</v>
      </c>
      <c r="H40" s="27">
        <f t="shared" si="9"/>
        <v>536.83008847004135</v>
      </c>
      <c r="I40" s="27">
        <f t="shared" si="9"/>
        <v>529.25750102427685</v>
      </c>
      <c r="J40" s="27">
        <f t="shared" si="9"/>
        <v>1368.8972769320305</v>
      </c>
      <c r="K40" s="27">
        <f t="shared" si="9"/>
        <v>2203.2130522687626</v>
      </c>
      <c r="L40" s="27">
        <f t="shared" si="9"/>
        <v>1863.9942460886448</v>
      </c>
      <c r="M40" s="27">
        <f t="shared" si="9"/>
        <v>1956.0529453627539</v>
      </c>
      <c r="N40" s="27">
        <f t="shared" si="9"/>
        <v>429.26471107827706</v>
      </c>
      <c r="O40" s="28">
        <f t="shared" si="9"/>
        <v>283.65694219352577</v>
      </c>
    </row>
    <row r="41" spans="2:16" ht="15.75" thickBot="1">
      <c r="B41" s="24" t="str">
        <f>(B30)&amp;" NET Flow (In - Out)"</f>
        <v>Node 3.02 NET Flow (In - Out)</v>
      </c>
      <c r="C41" s="23"/>
      <c r="D41" s="193">
        <f t="shared" ref="D41:O41" si="10">MAX(D36-D40,0)</f>
        <v>2432.2815786064011</v>
      </c>
      <c r="E41" s="193">
        <f t="shared" si="10"/>
        <v>2776.5945900602419</v>
      </c>
      <c r="F41" s="193">
        <f t="shared" si="10"/>
        <v>8389.0608944156811</v>
      </c>
      <c r="G41" s="193">
        <f t="shared" si="10"/>
        <v>12068.607173922544</v>
      </c>
      <c r="H41" s="193">
        <f t="shared" si="10"/>
        <v>28821.33404156</v>
      </c>
      <c r="I41" s="193">
        <f t="shared" si="10"/>
        <v>16304.137807868316</v>
      </c>
      <c r="J41" s="193">
        <f t="shared" si="10"/>
        <v>4231.8520128381942</v>
      </c>
      <c r="K41" s="193">
        <f t="shared" si="10"/>
        <v>2031.1662327383378</v>
      </c>
      <c r="L41" s="193">
        <f t="shared" si="10"/>
        <v>1409.2499312710886</v>
      </c>
      <c r="M41" s="193">
        <f t="shared" si="10"/>
        <v>1842.5320540929499</v>
      </c>
      <c r="N41" s="193">
        <f t="shared" si="10"/>
        <v>2645.6056948834093</v>
      </c>
      <c r="O41" s="200">
        <f t="shared" si="10"/>
        <v>2383.8663127583577</v>
      </c>
      <c r="P41" s="146"/>
    </row>
    <row r="42" spans="2:16">
      <c r="D42" s="292"/>
      <c r="E42" s="292"/>
      <c r="F42" s="292"/>
      <c r="G42" s="292"/>
      <c r="H42" s="292"/>
      <c r="I42" s="292"/>
      <c r="J42" s="292"/>
      <c r="K42" s="292"/>
      <c r="L42" s="292"/>
      <c r="M42" s="292"/>
      <c r="N42" s="292"/>
      <c r="O42" s="436"/>
      <c r="P42" s="241"/>
    </row>
    <row r="43" spans="2:16">
      <c r="D43" s="177"/>
      <c r="E43" s="177"/>
      <c r="F43" s="177"/>
      <c r="G43" s="177"/>
      <c r="H43" s="177"/>
      <c r="I43" s="177"/>
      <c r="J43" s="177"/>
      <c r="K43" s="177"/>
      <c r="L43" s="177"/>
      <c r="M43" s="177"/>
      <c r="N43" s="177"/>
      <c r="O43" s="177"/>
      <c r="P43" s="146"/>
    </row>
    <row r="44" spans="2:16" ht="15" customHeight="1">
      <c r="D44" s="52"/>
      <c r="E44" s="52"/>
      <c r="F44" s="52"/>
      <c r="G44" s="52"/>
      <c r="H44" s="52"/>
      <c r="I44" s="52"/>
      <c r="J44" s="52"/>
      <c r="K44" s="52"/>
      <c r="L44" s="52"/>
      <c r="M44" s="52"/>
      <c r="N44" s="52"/>
      <c r="O44" s="52"/>
      <c r="P44" s="146"/>
    </row>
    <row r="45" spans="2:16" ht="20.25">
      <c r="B45" s="285" t="s">
        <v>318</v>
      </c>
      <c r="C45" s="286"/>
    </row>
    <row r="46" spans="2:16">
      <c r="D46" s="290"/>
    </row>
    <row r="47" spans="2:16">
      <c r="D47" s="146"/>
      <c r="E47" s="146"/>
      <c r="F47" s="146"/>
      <c r="G47" s="146"/>
      <c r="H47" s="146"/>
      <c r="I47" s="146"/>
      <c r="J47" s="146"/>
      <c r="K47" s="146"/>
      <c r="L47" s="146"/>
      <c r="M47" s="146"/>
      <c r="N47" s="146"/>
      <c r="O47" s="146"/>
    </row>
  </sheetData>
  <sheetProtection objects="1" scenarios="1"/>
  <mergeCells count="2">
    <mergeCell ref="E1:M1"/>
    <mergeCell ref="A2:A15"/>
  </mergeCells>
  <phoneticPr fontId="0" type="noConversion"/>
  <conditionalFormatting sqref="D15:O15 D28:O28 D41:O41">
    <cfRule type="cellIs" dxfId="11" priority="1" stopIfTrue="1" operator="lessThanOrEqual">
      <formula>0</formula>
    </cfRule>
  </conditionalFormatting>
  <pageMargins left="0.75" right="0.75" top="1" bottom="1" header="0.5" footer="0.5"/>
  <pageSetup scale="65" fitToHeight="3" orientation="landscape" horizontalDpi="4294967292" verticalDpi="0" r:id="rId1"/>
  <headerFooter alignWithMargins="0">
    <oddHeader>&amp;C&amp;"Arial,Bold"&amp;12Bear River Spreadsheet Model
Dry Year Conditions</oddHeader>
    <oddFooter>&amp;L&amp;F &amp;A&amp;RAPPENDIX A (Page &amp;P of &amp;N)</oddFooter>
  </headerFooter>
  <legacyDrawing r:id="rId2"/>
</worksheet>
</file>

<file path=xl/worksheets/sheet7.xml><?xml version="1.0" encoding="utf-8"?>
<worksheet xmlns="http://schemas.openxmlformats.org/spreadsheetml/2006/main" xmlns:r="http://schemas.openxmlformats.org/officeDocument/2006/relationships">
  <sheetPr codeName="Sheet12">
    <pageSetUpPr autoPageBreaks="0"/>
  </sheetPr>
  <dimension ref="A1:S56"/>
  <sheetViews>
    <sheetView showGridLines="0" zoomScale="75" zoomScaleNormal="75" workbookViewId="0">
      <pane ySplit="1" topLeftCell="A14" activePane="bottomLeft" state="frozen"/>
      <selection activeCell="B26" sqref="B26"/>
      <selection pane="bottomLeft" activeCell="O29" sqref="A29:O56"/>
    </sheetView>
  </sheetViews>
  <sheetFormatPr defaultRowHeight="12.75"/>
  <cols>
    <col min="1" max="1" width="2.28515625" customWidth="1"/>
    <col min="2" max="2" width="10.85546875" customWidth="1"/>
    <col min="3" max="3" width="25.28515625" customWidth="1"/>
    <col min="4" max="4" width="7.140625" customWidth="1"/>
    <col min="5" max="5" width="8.28515625" customWidth="1"/>
    <col min="6" max="6" width="8.5703125" customWidth="1"/>
    <col min="7" max="8" width="8.28515625" customWidth="1"/>
    <col min="9" max="15" width="9.42578125" customWidth="1"/>
  </cols>
  <sheetData>
    <row r="1" spans="1:19" ht="50.25" customHeight="1">
      <c r="A1" s="2"/>
      <c r="B1" s="3"/>
      <c r="C1" s="3"/>
      <c r="E1" s="661" t="s">
        <v>522</v>
      </c>
      <c r="F1" s="661"/>
      <c r="G1" s="661"/>
      <c r="H1" s="661"/>
      <c r="I1" s="661"/>
      <c r="J1" s="661"/>
      <c r="K1" s="661"/>
      <c r="L1" s="661"/>
      <c r="M1" s="661"/>
    </row>
    <row r="2" spans="1:19" ht="15.75" customHeight="1">
      <c r="A2" s="663"/>
      <c r="B2" s="3"/>
      <c r="C2" s="3"/>
      <c r="E2" s="164"/>
      <c r="F2" s="164"/>
      <c r="G2" s="164"/>
      <c r="H2" s="164"/>
      <c r="I2" s="164"/>
      <c r="J2" s="164"/>
      <c r="K2" s="164"/>
      <c r="L2" s="4"/>
      <c r="M2" s="4"/>
    </row>
    <row r="3" spans="1:19" ht="16.5" thickBot="1">
      <c r="A3" s="663"/>
      <c r="B3" s="108" t="s">
        <v>119</v>
      </c>
      <c r="C3" s="109" t="str">
        <f>VLOOKUP(B3,NodeList!$D$4:$E$121,2,FALSE)</f>
        <v>USGS 10016900: Bear R. at Evanston, WY</v>
      </c>
      <c r="D3" s="6"/>
      <c r="E3" s="6"/>
      <c r="F3" s="6"/>
      <c r="G3" s="6"/>
      <c r="H3" s="426"/>
      <c r="I3" s="426"/>
      <c r="J3" s="426"/>
      <c r="K3" s="426"/>
      <c r="L3" s="426"/>
      <c r="M3" s="426"/>
      <c r="N3" s="426"/>
      <c r="O3" s="434" t="s">
        <v>540</v>
      </c>
      <c r="P3" s="420"/>
      <c r="Q3" s="420"/>
      <c r="R3" s="420"/>
      <c r="S3" s="420"/>
    </row>
    <row r="4" spans="1:19" ht="15">
      <c r="A4" s="663"/>
      <c r="B4" s="9" t="s">
        <v>16</v>
      </c>
      <c r="C4" s="10"/>
      <c r="D4" s="11" t="s">
        <v>0</v>
      </c>
      <c r="E4" s="11" t="s">
        <v>1</v>
      </c>
      <c r="F4" s="11" t="s">
        <v>2</v>
      </c>
      <c r="G4" s="11" t="s">
        <v>3</v>
      </c>
      <c r="H4" s="11" t="s">
        <v>4</v>
      </c>
      <c r="I4" s="11" t="s">
        <v>5</v>
      </c>
      <c r="J4" s="11" t="s">
        <v>6</v>
      </c>
      <c r="K4" s="11" t="s">
        <v>7</v>
      </c>
      <c r="L4" s="11" t="s">
        <v>8</v>
      </c>
      <c r="M4" s="11" t="s">
        <v>9</v>
      </c>
      <c r="N4" s="11" t="s">
        <v>10</v>
      </c>
      <c r="O4" s="12" t="s">
        <v>11</v>
      </c>
    </row>
    <row r="5" spans="1:19" ht="14.25">
      <c r="A5" s="663"/>
      <c r="B5" s="14" t="str">
        <f>+B3 &amp;" Node Inflow"</f>
        <v>Node 4.00 Node Inflow</v>
      </c>
      <c r="C5" s="13"/>
      <c r="D5" s="15">
        <f>+'Reach 3'!D41</f>
        <v>2432.2815786064011</v>
      </c>
      <c r="E5" s="15">
        <f>+'Reach 3'!E41</f>
        <v>2776.5945900602419</v>
      </c>
      <c r="F5" s="15">
        <f>+'Reach 3'!F41</f>
        <v>8389.0608944156811</v>
      </c>
      <c r="G5" s="15">
        <f>+'Reach 3'!G41</f>
        <v>12068.607173922544</v>
      </c>
      <c r="H5" s="15">
        <f>+'Reach 3'!H41</f>
        <v>28821.33404156</v>
      </c>
      <c r="I5" s="15">
        <f>+'Reach 3'!I41</f>
        <v>16304.137807868316</v>
      </c>
      <c r="J5" s="15">
        <f>+'Reach 3'!J41</f>
        <v>4231.8520128381942</v>
      </c>
      <c r="K5" s="15">
        <f>+'Reach 3'!K41</f>
        <v>2031.1662327383378</v>
      </c>
      <c r="L5" s="15">
        <f>+'Reach 3'!L41</f>
        <v>1409.2499312710886</v>
      </c>
      <c r="M5" s="15">
        <f>+'Reach 3'!M41</f>
        <v>1842.5320540929499</v>
      </c>
      <c r="N5" s="15">
        <f>+'Reach 3'!N41</f>
        <v>2645.6056948834093</v>
      </c>
      <c r="O5" s="16">
        <f>+'Reach 3'!O41</f>
        <v>2383.8663127583577</v>
      </c>
    </row>
    <row r="6" spans="1:19" ht="14.25">
      <c r="A6" s="663"/>
      <c r="B6" s="14" t="str">
        <f>+B3 &amp;" Irrigation Returns"</f>
        <v>Node 4.00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row>
    <row r="7" spans="1:19" ht="14.25">
      <c r="A7" s="663"/>
      <c r="B7" s="14" t="s">
        <v>337</v>
      </c>
      <c r="C7" s="13" t="s">
        <v>180</v>
      </c>
      <c r="D7" s="54">
        <f>VLOOKUP($B7,GainLoss!$B$5:$O$14,3,FALSE)</f>
        <v>0</v>
      </c>
      <c r="E7" s="54">
        <f>VLOOKUP($B7,GainLoss!$B$5:$O$14,4,FALSE)</f>
        <v>0</v>
      </c>
      <c r="F7" s="54">
        <f>VLOOKUP($B7,GainLoss!$B$5:$O$14,5,FALSE)</f>
        <v>0</v>
      </c>
      <c r="G7" s="54">
        <f>VLOOKUP($B7,GainLoss!$B$5:$O$14,6,FALSE)</f>
        <v>0</v>
      </c>
      <c r="H7" s="54">
        <f>VLOOKUP($B7,GainLoss!$B$5:$O$14,7,FALSE)</f>
        <v>0</v>
      </c>
      <c r="I7" s="54">
        <f>VLOOKUP($B7,GainLoss!$B$5:$O$14,8,FALSE)</f>
        <v>0</v>
      </c>
      <c r="J7" s="54">
        <f>VLOOKUP($B7,GainLoss!$B$5:$O$14,9,FALSE)</f>
        <v>0</v>
      </c>
      <c r="K7" s="54">
        <f>VLOOKUP($B7,GainLoss!$B$5:$O$14,10,FALSE)</f>
        <v>0</v>
      </c>
      <c r="L7" s="54">
        <f>VLOOKUP($B7,GainLoss!$B$5:$O$14,11,FALSE)</f>
        <v>0</v>
      </c>
      <c r="M7" s="54">
        <f>VLOOKUP($B7,GainLoss!$B$5:$O$14,12,FALSE)</f>
        <v>0</v>
      </c>
      <c r="N7" s="54">
        <f>VLOOKUP($B7,GainLoss!$B$5:$O$14,13,FALSE)</f>
        <v>0</v>
      </c>
      <c r="O7" s="110">
        <f>VLOOKUP($B7,GainLoss!$B$5:$O$14,14,FALSE)</f>
        <v>0</v>
      </c>
    </row>
    <row r="8" spans="1:19" ht="14.25">
      <c r="A8" s="663"/>
      <c r="B8" s="14" t="str">
        <f>+B3 &amp;" Import/Export"</f>
        <v>Node 4.00 Import/Export</v>
      </c>
      <c r="C8" s="13"/>
      <c r="D8" s="190">
        <f>VLOOKUP($B3,ImportExport!$B$6:$O$68,3,FALSE)</f>
        <v>0</v>
      </c>
      <c r="E8" s="190">
        <f>VLOOKUP($B3,ImportExport!$B$6:$O$68,4,FALSE)</f>
        <v>0</v>
      </c>
      <c r="F8" s="190">
        <f>VLOOKUP($B3,ImportExport!$B$6:$O$68,5,FALSE)</f>
        <v>0</v>
      </c>
      <c r="G8" s="190">
        <f>VLOOKUP($B3,ImportExport!$B$6:$O$68,6,FALSE)</f>
        <v>0</v>
      </c>
      <c r="H8" s="190">
        <f>VLOOKUP($B3,ImportExport!$B$6:$O$68,7,FALSE)</f>
        <v>0</v>
      </c>
      <c r="I8" s="190">
        <f>VLOOKUP($B3,ImportExport!$B$6:$O$68,8,FALSE)</f>
        <v>0</v>
      </c>
      <c r="J8" s="190">
        <f>VLOOKUP($B3,ImportExport!$B$6:$O$68,9,FALSE)</f>
        <v>0</v>
      </c>
      <c r="K8" s="190">
        <f>VLOOKUP($B3,ImportExport!$B$6:$O$68,10,FALSE)</f>
        <v>0</v>
      </c>
      <c r="L8" s="190">
        <f>VLOOKUP($B3,ImportExport!$B$6:$O$68,11,FALSE)</f>
        <v>0</v>
      </c>
      <c r="M8" s="190">
        <f>VLOOKUP($B3,ImportExport!$B$6:$O$68,12,FALSE)</f>
        <v>0</v>
      </c>
      <c r="N8" s="190">
        <f>VLOOKUP($B3,ImportExport!$B$6:$O$68,13,FALSE)</f>
        <v>0</v>
      </c>
      <c r="O8" s="197">
        <f>VLOOKUP($B3,ImportExport!$B$6:$O$68,14,FALSE)</f>
        <v>0</v>
      </c>
    </row>
    <row r="9" spans="1:19" ht="15.75" thickBot="1">
      <c r="A9" s="663"/>
      <c r="B9" s="18" t="str">
        <f>"Total "&amp; (B3)&amp;" Inflow"</f>
        <v>Total Node 4.00 Inflow</v>
      </c>
      <c r="C9" s="17"/>
      <c r="D9" s="25">
        <f>SUM(D5:D8)</f>
        <v>2432.2815786064011</v>
      </c>
      <c r="E9" s="25">
        <f t="shared" ref="E9:O9" si="0">SUM(E5:E8)</f>
        <v>2776.5945900602419</v>
      </c>
      <c r="F9" s="25">
        <f t="shared" si="0"/>
        <v>8389.0608944156811</v>
      </c>
      <c r="G9" s="25">
        <f t="shared" si="0"/>
        <v>12068.607173922544</v>
      </c>
      <c r="H9" s="25">
        <f t="shared" si="0"/>
        <v>28821.33404156</v>
      </c>
      <c r="I9" s="25">
        <f t="shared" si="0"/>
        <v>16304.137807868316</v>
      </c>
      <c r="J9" s="25">
        <f t="shared" si="0"/>
        <v>4231.8520128381942</v>
      </c>
      <c r="K9" s="25">
        <f t="shared" si="0"/>
        <v>2031.1662327383378</v>
      </c>
      <c r="L9" s="25">
        <f t="shared" si="0"/>
        <v>1409.2499312710886</v>
      </c>
      <c r="M9" s="25">
        <f t="shared" si="0"/>
        <v>1842.5320540929499</v>
      </c>
      <c r="N9" s="25">
        <f t="shared" si="0"/>
        <v>2645.6056948834093</v>
      </c>
      <c r="O9" s="26">
        <f t="shared" si="0"/>
        <v>2383.8663127583577</v>
      </c>
    </row>
    <row r="10" spans="1:19" ht="15">
      <c r="A10" s="663"/>
      <c r="B10" s="19" t="s">
        <v>17</v>
      </c>
      <c r="C10" s="20"/>
      <c r="D10" s="282" t="str">
        <f>IF(((VLOOKUP($B3,'Diversion Data'!$B$3:$O$227,3,FALSE))-D12)&gt;0,"Short","")</f>
        <v/>
      </c>
      <c r="E10" s="282" t="str">
        <f>IF(((VLOOKUP($B3,'Diversion Data'!$B$3:$O$227,4,FALSE))-E12)&gt;0,"Short","")</f>
        <v/>
      </c>
      <c r="F10" s="282" t="str">
        <f>IF(((VLOOKUP($B3,'Diversion Data'!$B$3:$O$227,5,FALSE))-F12)&gt;0,"Short","")</f>
        <v/>
      </c>
      <c r="G10" s="282" t="str">
        <f>IF(((VLOOKUP($B3,'Diversion Data'!$B$3:$O$227,6,FALSE))-G12)&gt;0,"Short","")</f>
        <v/>
      </c>
      <c r="H10" s="282" t="str">
        <f>IF(((VLOOKUP($B3,'Diversion Data'!$B$3:$O$227,7,FALSE))-H12)&gt;0,"Short","")</f>
        <v/>
      </c>
      <c r="I10" s="282" t="str">
        <f>IF(((VLOOKUP($B3,'Diversion Data'!$B$3:$O$227,8,FALSE))-I12)&gt;0,"Short","")</f>
        <v/>
      </c>
      <c r="J10" s="282" t="str">
        <f>IF(((VLOOKUP($B3,'Diversion Data'!$B$3:$O$227,9,FALSE))-J12)&gt;0,"Short","")</f>
        <v/>
      </c>
      <c r="K10" s="282" t="str">
        <f>IF(((VLOOKUP($B3,'Diversion Data'!$B$3:$O$227,10,FALSE))-K12)&gt;0,"Short","")</f>
        <v/>
      </c>
      <c r="L10" s="282" t="str">
        <f>IF(((VLOOKUP($B3,'Diversion Data'!$B$3:$O$227,11,FALSE))-L12)&gt;0,"Short","")</f>
        <v/>
      </c>
      <c r="M10" s="282" t="str">
        <f>IF(((VLOOKUP($B3,'Diversion Data'!$B$3:$O$227,12,FALSE))-M12)&gt;0,"Short","")</f>
        <v/>
      </c>
      <c r="N10" s="282" t="str">
        <f>IF(((VLOOKUP($B3,'Diversion Data'!$B$3:$O$227,13,FALSE))-N12)&gt;0,"Short","")</f>
        <v/>
      </c>
      <c r="O10" s="283" t="str">
        <f>IF(((VLOOKUP($B3,'Diversion Data'!$B$3:$O$227,14,FALSE))-O12)&gt;0,"Short","")</f>
        <v/>
      </c>
    </row>
    <row r="11" spans="1:19" ht="14.25">
      <c r="A11" s="663"/>
      <c r="B11" s="14" t="s">
        <v>81</v>
      </c>
      <c r="C11" s="13" t="s">
        <v>181</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8">
        <f>VLOOKUP($B11,GainLoss!$B$19:$O$27,14,FALSE)</f>
        <v>0</v>
      </c>
    </row>
    <row r="12" spans="1:19" ht="14.25">
      <c r="A12" s="663"/>
      <c r="B12" s="14" t="str">
        <f>+B3 &amp;" Diversions"</f>
        <v>Node 4.00 Diversions</v>
      </c>
      <c r="C12" s="13"/>
      <c r="D12" s="54">
        <f>MIN(VLOOKUP($B3,'Diversion Data'!$B$3:$O$227,3,FALSE),(D9-D11))</f>
        <v>0</v>
      </c>
      <c r="E12" s="54">
        <f>MIN(VLOOKUP($B3,'Diversion Data'!$B$3:$O$227,4,FALSE),(E9-E11))</f>
        <v>0</v>
      </c>
      <c r="F12" s="54">
        <f>MIN(VLOOKUP($B3,'Diversion Data'!$B$3:$O$227,5,FALSE),(F9-F11))</f>
        <v>0</v>
      </c>
      <c r="G12" s="54">
        <f>MIN(VLOOKUP($B3,'Diversion Data'!$B$3:$O$227,6,FALSE),(G9-G11))</f>
        <v>0</v>
      </c>
      <c r="H12" s="54">
        <f>MIN(VLOOKUP($B3,'Diversion Data'!$B$3:$O$227,7,FALSE),(H9-H11))</f>
        <v>0</v>
      </c>
      <c r="I12" s="54">
        <f>MIN(VLOOKUP($B3,'Diversion Data'!$B$3:$O$227,8,FALSE),(I9-I11))</f>
        <v>0</v>
      </c>
      <c r="J12" s="54">
        <f>MIN(VLOOKUP($B3,'Diversion Data'!$B$3:$O$227,9,FALSE),(J9-J11))</f>
        <v>0</v>
      </c>
      <c r="K12" s="54">
        <f>MIN(VLOOKUP($B3,'Diversion Data'!$B$3:$O$227,10,FALSE),(K9-K11))</f>
        <v>0</v>
      </c>
      <c r="L12" s="54">
        <f>MIN(VLOOKUP($B3,'Diversion Data'!$B$3:$O$227,11,FALSE),(L9-L11))</f>
        <v>0</v>
      </c>
      <c r="M12" s="54">
        <f>MIN(VLOOKUP($B3,'Diversion Data'!$B$3:$O$227,12,FALSE),(M9-M11))</f>
        <v>0</v>
      </c>
      <c r="N12" s="54">
        <f>MIN(VLOOKUP($B3,'Diversion Data'!$B$3:$O$227,13,FALSE),(N9-N11))</f>
        <v>0</v>
      </c>
      <c r="O12" s="110">
        <f>MIN(VLOOKUP($B3,'Diversion Data'!$B$3:$O$227,14,FALSE),(O9-O11))</f>
        <v>0</v>
      </c>
    </row>
    <row r="13" spans="1:19" ht="15.75" thickBot="1">
      <c r="A13" s="663"/>
      <c r="B13" s="24" t="str">
        <f>"Total " &amp; (B3) &amp;" Outflow"</f>
        <v>Total Node 4.00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19" ht="15.75" thickBot="1">
      <c r="A14" s="663"/>
      <c r="B14" s="24" t="str">
        <f>(B3)&amp;" NET Flow (In - Out)"</f>
        <v>Node 4.00 NET Flow (In - Out)</v>
      </c>
      <c r="C14" s="23"/>
      <c r="D14" s="193">
        <f t="shared" ref="D14:O14" si="2">MAX(D9-D13,0)</f>
        <v>2432.2815786064011</v>
      </c>
      <c r="E14" s="193">
        <f t="shared" si="2"/>
        <v>2776.5945900602419</v>
      </c>
      <c r="F14" s="193">
        <f t="shared" si="2"/>
        <v>8389.0608944156811</v>
      </c>
      <c r="G14" s="193">
        <f t="shared" si="2"/>
        <v>12068.607173922544</v>
      </c>
      <c r="H14" s="193">
        <f t="shared" si="2"/>
        <v>28821.33404156</v>
      </c>
      <c r="I14" s="193">
        <f t="shared" si="2"/>
        <v>16304.137807868316</v>
      </c>
      <c r="J14" s="193">
        <f t="shared" si="2"/>
        <v>4231.8520128381942</v>
      </c>
      <c r="K14" s="193">
        <f t="shared" si="2"/>
        <v>2031.1662327383378</v>
      </c>
      <c r="L14" s="193">
        <f t="shared" si="2"/>
        <v>1409.2499312710886</v>
      </c>
      <c r="M14" s="193">
        <f t="shared" si="2"/>
        <v>1842.5320540929499</v>
      </c>
      <c r="N14" s="193">
        <f t="shared" si="2"/>
        <v>2645.6056948834093</v>
      </c>
      <c r="O14" s="200">
        <f t="shared" si="2"/>
        <v>2383.8663127583577</v>
      </c>
    </row>
    <row r="15" spans="1:19">
      <c r="D15" s="177"/>
      <c r="E15" s="177"/>
      <c r="F15" s="177"/>
      <c r="G15" s="177"/>
      <c r="H15" s="177"/>
      <c r="I15" s="177"/>
      <c r="J15" s="177"/>
      <c r="K15" s="177"/>
      <c r="L15" s="177"/>
      <c r="M15" s="177"/>
      <c r="N15" s="177"/>
      <c r="O15" s="297"/>
    </row>
    <row r="16" spans="1:19" ht="15.75" thickBot="1">
      <c r="B16" s="108" t="s">
        <v>141</v>
      </c>
      <c r="C16" s="109" t="str">
        <f>VLOOKUP(B16,NodeList!$D$4:$E$121,2,FALSE)</f>
        <v>John Simms</v>
      </c>
      <c r="D16" s="6"/>
      <c r="E16" s="6"/>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4.01 Node Inflow</v>
      </c>
      <c r="C18" s="13"/>
      <c r="D18" s="15">
        <f>+D14</f>
        <v>2432.2815786064011</v>
      </c>
      <c r="E18" s="15">
        <f t="shared" ref="E18:O18" si="3">+E14</f>
        <v>2776.5945900602419</v>
      </c>
      <c r="F18" s="15">
        <f t="shared" si="3"/>
        <v>8389.0608944156811</v>
      </c>
      <c r="G18" s="15">
        <f t="shared" si="3"/>
        <v>12068.607173922544</v>
      </c>
      <c r="H18" s="15">
        <f t="shared" si="3"/>
        <v>28821.33404156</v>
      </c>
      <c r="I18" s="15">
        <f t="shared" si="3"/>
        <v>16304.137807868316</v>
      </c>
      <c r="J18" s="15">
        <f t="shared" si="3"/>
        <v>4231.8520128381942</v>
      </c>
      <c r="K18" s="15">
        <f t="shared" si="3"/>
        <v>2031.1662327383378</v>
      </c>
      <c r="L18" s="15">
        <f t="shared" si="3"/>
        <v>1409.2499312710886</v>
      </c>
      <c r="M18" s="15">
        <f t="shared" si="3"/>
        <v>1842.5320540929499</v>
      </c>
      <c r="N18" s="15">
        <f t="shared" si="3"/>
        <v>2645.6056948834093</v>
      </c>
      <c r="O18" s="16">
        <f t="shared" si="3"/>
        <v>2383.8663127583577</v>
      </c>
    </row>
    <row r="19" spans="2:15" ht="14.25">
      <c r="B19" s="14" t="str">
        <f>+B16 &amp;" Irrigation Returns"</f>
        <v>Node 4.01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198.43447821135945</v>
      </c>
      <c r="I19" s="54">
        <f>VLOOKUP(($B16),'Irrigation Returns'!$B$644:$P$930,9,FALSE)</f>
        <v>287.83925565545741</v>
      </c>
      <c r="J19" s="54">
        <f>VLOOKUP(($B16),'Irrigation Returns'!$B$644:$P$930,10,FALSE)</f>
        <v>257.47921738744287</v>
      </c>
      <c r="K19" s="54">
        <f>VLOOKUP(($B16),'Irrigation Returns'!$B$644:$P$930,11,FALSE)</f>
        <v>172.67555945307672</v>
      </c>
      <c r="L19" s="54">
        <f>VLOOKUP(($B16),'Irrigation Returns'!$B$644:$P$930,12,FALSE)</f>
        <v>107.21993124015185</v>
      </c>
      <c r="M19" s="54">
        <f>VLOOKUP(($B16),'Irrigation Returns'!$B$644:$P$930,13,FALSE)</f>
        <v>29.674930994970289</v>
      </c>
      <c r="N19" s="54">
        <f>VLOOKUP(($B16),'Irrigation Returns'!$B$644:$P$930,14,FALSE)</f>
        <v>8.1904811609798358</v>
      </c>
      <c r="O19" s="110">
        <f>VLOOKUP(($B16),'Irrigation Returns'!$B$644:$P$930,15,FALSE)</f>
        <v>0</v>
      </c>
    </row>
    <row r="20" spans="2:15" ht="14.25">
      <c r="B20" s="14" t="s">
        <v>328</v>
      </c>
      <c r="C20" s="13" t="s">
        <v>180</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4.01 Import/Export</v>
      </c>
      <c r="C21" s="13"/>
      <c r="D21" s="190">
        <f>VLOOKUP($B16,ImportExport!$B$6:$O$68,3,FALSE)</f>
        <v>0</v>
      </c>
      <c r="E21" s="190">
        <f>VLOOKUP($B16,ImportExport!$B$6:$O$68,4,FALSE)</f>
        <v>0</v>
      </c>
      <c r="F21" s="190">
        <f>VLOOKUP($B16,ImportExport!$B$6:$O$68,5,FALSE)</f>
        <v>0</v>
      </c>
      <c r="G21" s="190">
        <f>VLOOKUP($B16,ImportExport!$B$6:$O$68,6,FALSE)</f>
        <v>0</v>
      </c>
      <c r="H21" s="190">
        <f>VLOOKUP($B16,ImportExport!$B$6:$O$68,7,FALSE)</f>
        <v>0</v>
      </c>
      <c r="I21" s="190">
        <f>VLOOKUP($B16,ImportExport!$B$6:$O$68,8,FALSE)</f>
        <v>0</v>
      </c>
      <c r="J21" s="190">
        <f>VLOOKUP($B16,ImportExport!$B$6:$O$68,9,FALSE)</f>
        <v>0</v>
      </c>
      <c r="K21" s="190">
        <f>VLOOKUP($B16,ImportExport!$B$6:$O$68,10,FALSE)</f>
        <v>0</v>
      </c>
      <c r="L21" s="190">
        <f>VLOOKUP($B16,ImportExport!$B$6:$O$68,11,FALSE)</f>
        <v>0</v>
      </c>
      <c r="M21" s="190">
        <f>VLOOKUP($B16,ImportExport!$B$6:$O$68,12,FALSE)</f>
        <v>0</v>
      </c>
      <c r="N21" s="190">
        <f>VLOOKUP($B16,ImportExport!$B$6:$O$68,13,FALSE)</f>
        <v>0</v>
      </c>
      <c r="O21" s="197">
        <f>VLOOKUP($B16,ImportExport!$B$6:$O$68,14,FALSE)</f>
        <v>0</v>
      </c>
    </row>
    <row r="22" spans="2:15" ht="15.75" thickBot="1">
      <c r="B22" s="18" t="str">
        <f>"Total "&amp; (B16)&amp;" Inflow"</f>
        <v>Total Node 4.01 Inflow</v>
      </c>
      <c r="C22" s="17"/>
      <c r="D22" s="25">
        <f>SUM(D18:D21)</f>
        <v>2432.2815786064011</v>
      </c>
      <c r="E22" s="25">
        <f t="shared" ref="E22:O22" si="4">SUM(E18:E21)</f>
        <v>2776.5945900602419</v>
      </c>
      <c r="F22" s="25">
        <f t="shared" si="4"/>
        <v>8389.0608944156811</v>
      </c>
      <c r="G22" s="25">
        <f t="shared" si="4"/>
        <v>12068.607173922544</v>
      </c>
      <c r="H22" s="25">
        <f t="shared" si="4"/>
        <v>29019.768519771358</v>
      </c>
      <c r="I22" s="25">
        <f t="shared" si="4"/>
        <v>16591.977063523773</v>
      </c>
      <c r="J22" s="25">
        <f t="shared" si="4"/>
        <v>4489.3312302256372</v>
      </c>
      <c r="K22" s="25">
        <f t="shared" si="4"/>
        <v>2203.8417921914147</v>
      </c>
      <c r="L22" s="25">
        <f t="shared" si="4"/>
        <v>1516.4698625112405</v>
      </c>
      <c r="M22" s="25">
        <f t="shared" si="4"/>
        <v>1872.2069850879202</v>
      </c>
      <c r="N22" s="25">
        <f t="shared" si="4"/>
        <v>2653.7961760443891</v>
      </c>
      <c r="O22" s="26">
        <f t="shared" si="4"/>
        <v>2383.8663127583577</v>
      </c>
    </row>
    <row r="23" spans="2:15" ht="15">
      <c r="B23" s="19" t="s">
        <v>17</v>
      </c>
      <c r="C23" s="20"/>
      <c r="D23" s="282" t="str">
        <f>IF(((VLOOKUP($B16,'Diversion Data'!$B$3:$O$227,3,FALSE))-D25)&gt;0,"Short","")</f>
        <v/>
      </c>
      <c r="E23" s="282" t="str">
        <f>IF(((VLOOKUP($B16,'Diversion Data'!$B$3:$O$227,4,FALSE))-E25)&gt;0,"Short","")</f>
        <v/>
      </c>
      <c r="F23" s="282" t="str">
        <f>IF(((VLOOKUP($B16,'Diversion Data'!$B$3:$O$227,5,FALSE))-F25)&gt;0,"Short","")</f>
        <v/>
      </c>
      <c r="G23" s="282" t="str">
        <f>IF(((VLOOKUP($B16,'Diversion Data'!$B$3:$O$227,6,FALSE))-G25)&gt;0,"Short","")</f>
        <v/>
      </c>
      <c r="H23" s="282" t="str">
        <f>IF(((VLOOKUP($B16,'Diversion Data'!$B$3:$O$227,7,FALSE))-H25)&gt;0,"Short","")</f>
        <v/>
      </c>
      <c r="I23" s="282" t="str">
        <f>IF(((VLOOKUP($B16,'Diversion Data'!$B$3:$O$227,8,FALSE))-I25)&gt;0,"Short","")</f>
        <v/>
      </c>
      <c r="J23" s="282" t="str">
        <f>IF(((VLOOKUP($B16,'Diversion Data'!$B$3:$O$227,9,FALSE))-J25)&gt;0,"Short","")</f>
        <v/>
      </c>
      <c r="K23" s="282" t="str">
        <f>IF(((VLOOKUP($B16,'Diversion Data'!$B$3:$O$227,10,FALSE))-K25)&gt;0,"Short","")</f>
        <v/>
      </c>
      <c r="L23" s="282" t="str">
        <f>IF(((VLOOKUP($B16,'Diversion Data'!$B$3:$O$227,11,FALSE))-L25)&gt;0,"Short","")</f>
        <v/>
      </c>
      <c r="M23" s="282" t="str">
        <f>IF(((VLOOKUP($B16,'Diversion Data'!$B$3:$O$227,12,FALSE))-M25)&gt;0,"Short","")</f>
        <v/>
      </c>
      <c r="N23" s="282" t="str">
        <f>IF(((VLOOKUP($B16,'Diversion Data'!$B$3:$O$227,13,FALSE))-N25)&gt;0,"Short","")</f>
        <v/>
      </c>
      <c r="O23" s="283" t="str">
        <f>IF(((VLOOKUP($B16,'Diversion Data'!$B$3:$O$227,14,FALSE))-O25)&gt;0,"Short","")</f>
        <v/>
      </c>
    </row>
    <row r="24" spans="2:15" ht="14.25">
      <c r="B24" s="14" t="s">
        <v>81</v>
      </c>
      <c r="C24" s="13" t="s">
        <v>181</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8">
        <f>VLOOKUP($B24,GainLoss!$B$19:$O$27,14,FALSE)</f>
        <v>0</v>
      </c>
    </row>
    <row r="25" spans="2:15" ht="14.25">
      <c r="B25" s="14" t="str">
        <f>+B16 &amp;" Diversions"</f>
        <v>Node 4.01 Diversions</v>
      </c>
      <c r="C25" s="13"/>
      <c r="D25" s="54">
        <f>MIN(VLOOKUP($B16,'Diversion Data'!$B$3:$O$227,3,FALSE),(D22-D24))</f>
        <v>0</v>
      </c>
      <c r="E25" s="54">
        <f>MIN(VLOOKUP($B16,'Diversion Data'!$B$3:$O$227,4,FALSE),(E22-E24))</f>
        <v>0</v>
      </c>
      <c r="F25" s="54">
        <f>MIN(VLOOKUP($B16,'Diversion Data'!$B$3:$O$227,5,FALSE),(F22-F24))</f>
        <v>0</v>
      </c>
      <c r="G25" s="54">
        <f>MIN(VLOOKUP($B16,'Diversion Data'!$B$3:$O$227,6,FALSE),(G22-G24))</f>
        <v>0</v>
      </c>
      <c r="H25" s="54">
        <f>MIN(VLOOKUP($B16,'Diversion Data'!$B$3:$O$227,7,FALSE),(H22-H24))</f>
        <v>695.28376033057839</v>
      </c>
      <c r="I25" s="54">
        <f>MIN(VLOOKUP($B16,'Diversion Data'!$B$3:$O$227,8,FALSE),(I22-I24))</f>
        <v>659.28276859504126</v>
      </c>
      <c r="J25" s="54">
        <f>MIN(VLOOKUP($B16,'Diversion Data'!$B$3:$O$227,9,FALSE),(J22-J24))</f>
        <v>383.27413223140491</v>
      </c>
      <c r="K25" s="54">
        <f>MIN(VLOOKUP($B16,'Diversion Data'!$B$3:$O$227,10,FALSE),(K22-K24))</f>
        <v>295.40121900826449</v>
      </c>
      <c r="L25" s="54">
        <f>MIN(VLOOKUP($B16,'Diversion Data'!$B$3:$O$227,11,FALSE),(L22-L24))</f>
        <v>208.26325413223142</v>
      </c>
      <c r="M25" s="54">
        <f>MIN(VLOOKUP($B16,'Diversion Data'!$B$3:$O$227,12,FALSE),(M22-M24))</f>
        <v>0</v>
      </c>
      <c r="N25" s="54">
        <f>MIN(VLOOKUP($B16,'Diversion Data'!$B$3:$O$227,13,FALSE),(N22-N24))</f>
        <v>0</v>
      </c>
      <c r="O25" s="110">
        <f>MIN(VLOOKUP($B16,'Diversion Data'!$B$3:$O$227,14,FALSE),(O22-O24))</f>
        <v>0</v>
      </c>
    </row>
    <row r="26" spans="2:15" ht="15.75" thickBot="1">
      <c r="B26" s="24" t="str">
        <f>"Total " &amp; (B16) &amp;" Outflow"</f>
        <v>Total Node 4.01 Outflow</v>
      </c>
      <c r="C26" s="23"/>
      <c r="D26" s="27">
        <f>SUM(D24:D25)</f>
        <v>0</v>
      </c>
      <c r="E26" s="27">
        <f t="shared" ref="E26:O26" si="5">SUM(E24:E25)</f>
        <v>0</v>
      </c>
      <c r="F26" s="27">
        <f t="shared" si="5"/>
        <v>0</v>
      </c>
      <c r="G26" s="27">
        <f t="shared" si="5"/>
        <v>0</v>
      </c>
      <c r="H26" s="27">
        <f t="shared" si="5"/>
        <v>695.28376033057839</v>
      </c>
      <c r="I26" s="27">
        <f t="shared" si="5"/>
        <v>659.28276859504126</v>
      </c>
      <c r="J26" s="27">
        <f t="shared" si="5"/>
        <v>383.27413223140491</v>
      </c>
      <c r="K26" s="27">
        <f t="shared" si="5"/>
        <v>295.40121900826449</v>
      </c>
      <c r="L26" s="27">
        <f t="shared" si="5"/>
        <v>208.26325413223142</v>
      </c>
      <c r="M26" s="27">
        <f t="shared" si="5"/>
        <v>0</v>
      </c>
      <c r="N26" s="27">
        <f t="shared" si="5"/>
        <v>0</v>
      </c>
      <c r="O26" s="28">
        <f t="shared" si="5"/>
        <v>0</v>
      </c>
    </row>
    <row r="27" spans="2:15" ht="15.75" thickBot="1">
      <c r="B27" s="24" t="str">
        <f>(B16)&amp;" NET Flow (In - Out)"</f>
        <v>Node 4.01 NET Flow (In - Out)</v>
      </c>
      <c r="C27" s="23"/>
      <c r="D27" s="193">
        <f t="shared" ref="D27:O27" si="6">MAX(D22-D26,0)</f>
        <v>2432.2815786064011</v>
      </c>
      <c r="E27" s="193">
        <f t="shared" si="6"/>
        <v>2776.5945900602419</v>
      </c>
      <c r="F27" s="193">
        <f t="shared" si="6"/>
        <v>8389.0608944156811</v>
      </c>
      <c r="G27" s="193">
        <f t="shared" si="6"/>
        <v>12068.607173922544</v>
      </c>
      <c r="H27" s="193">
        <f t="shared" si="6"/>
        <v>28324.48475944078</v>
      </c>
      <c r="I27" s="193">
        <f t="shared" si="6"/>
        <v>15932.694294928731</v>
      </c>
      <c r="J27" s="193">
        <f t="shared" si="6"/>
        <v>4106.0570979942322</v>
      </c>
      <c r="K27" s="193">
        <f t="shared" si="6"/>
        <v>1908.4405731831503</v>
      </c>
      <c r="L27" s="193">
        <f t="shared" si="6"/>
        <v>1308.2066083790091</v>
      </c>
      <c r="M27" s="193">
        <f t="shared" si="6"/>
        <v>1872.2069850879202</v>
      </c>
      <c r="N27" s="193">
        <f t="shared" si="6"/>
        <v>2653.7961760443891</v>
      </c>
      <c r="O27" s="200">
        <f t="shared" si="6"/>
        <v>2383.8663127583577</v>
      </c>
    </row>
    <row r="29" spans="2:15" ht="15.75" thickBot="1">
      <c r="B29" s="108" t="s">
        <v>153</v>
      </c>
      <c r="C29" s="109" t="str">
        <f>VLOOKUP(B29,NodeList!$D$4:$E$121,2,FALSE)</f>
        <v>S P Ramsey</v>
      </c>
      <c r="D29" s="6"/>
      <c r="E29" s="6"/>
      <c r="F29" s="6"/>
      <c r="G29" s="6"/>
      <c r="H29" s="7"/>
      <c r="I29" s="7"/>
      <c r="J29" s="7"/>
      <c r="K29" s="7"/>
      <c r="L29" s="7"/>
      <c r="M29" s="7"/>
      <c r="N29" s="7"/>
      <c r="O29" s="7"/>
    </row>
    <row r="30" spans="2:15" ht="15">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2:15" ht="14.25">
      <c r="B31" s="14" t="str">
        <f>+B29 &amp;" Node Inflow"</f>
        <v>Node 4.02 Node Inflow</v>
      </c>
      <c r="C31" s="13"/>
      <c r="D31" s="15">
        <f>+D27</f>
        <v>2432.2815786064011</v>
      </c>
      <c r="E31" s="15">
        <f t="shared" ref="E31:O31" si="7">+E27</f>
        <v>2776.5945900602419</v>
      </c>
      <c r="F31" s="15">
        <f t="shared" si="7"/>
        <v>8389.0608944156811</v>
      </c>
      <c r="G31" s="15">
        <f t="shared" si="7"/>
        <v>12068.607173922544</v>
      </c>
      <c r="H31" s="15">
        <f t="shared" si="7"/>
        <v>28324.48475944078</v>
      </c>
      <c r="I31" s="15">
        <f t="shared" si="7"/>
        <v>15932.694294928731</v>
      </c>
      <c r="J31" s="15">
        <f t="shared" si="7"/>
        <v>4106.0570979942322</v>
      </c>
      <c r="K31" s="15">
        <f t="shared" si="7"/>
        <v>1908.4405731831503</v>
      </c>
      <c r="L31" s="15">
        <f t="shared" si="7"/>
        <v>1308.2066083790091</v>
      </c>
      <c r="M31" s="15">
        <f t="shared" si="7"/>
        <v>1872.2069850879202</v>
      </c>
      <c r="N31" s="15">
        <f t="shared" si="7"/>
        <v>2653.7961760443891</v>
      </c>
      <c r="O31" s="16">
        <f t="shared" si="7"/>
        <v>2383.8663127583577</v>
      </c>
    </row>
    <row r="32" spans="2:15" ht="14.25">
      <c r="B32" s="14" t="str">
        <f>+B29 &amp;" Irrigation Returns"</f>
        <v>Node 4.02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227.8935262044231</v>
      </c>
      <c r="I32" s="54">
        <f>VLOOKUP(($B29),'Irrigation Returns'!$B$644:$P$930,9,FALSE)</f>
        <v>283.92398436135863</v>
      </c>
      <c r="J32" s="54">
        <f>VLOOKUP(($B29),'Irrigation Returns'!$B$644:$P$930,10,FALSE)</f>
        <v>227.480014236556</v>
      </c>
      <c r="K32" s="54">
        <f>VLOOKUP(($B29),'Irrigation Returns'!$B$644:$P$930,11,FALSE)</f>
        <v>160.16563793715503</v>
      </c>
      <c r="L32" s="54">
        <f>VLOOKUP(($B29),'Irrigation Returns'!$B$644:$P$930,12,FALSE)</f>
        <v>111.46270681928925</v>
      </c>
      <c r="M32" s="54">
        <f>VLOOKUP(($B29),'Irrigation Returns'!$B$644:$P$930,13,FALSE)</f>
        <v>32.018264724498515</v>
      </c>
      <c r="N32" s="54">
        <f>VLOOKUP(($B29),'Irrigation Returns'!$B$644:$P$930,14,FALSE)</f>
        <v>9.5036681244813241</v>
      </c>
      <c r="O32" s="110">
        <f>VLOOKUP(($B29),'Irrigation Returns'!$B$644:$P$930,15,FALSE)</f>
        <v>0</v>
      </c>
    </row>
    <row r="33" spans="2:15" ht="14.25">
      <c r="B33" s="14" t="s">
        <v>328</v>
      </c>
      <c r="C33" s="13" t="s">
        <v>180</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2:15" ht="14.25">
      <c r="B34" s="14" t="str">
        <f>+B29 &amp;" Import/Export"</f>
        <v>Node 4.02 Import/Export</v>
      </c>
      <c r="C34" s="13"/>
      <c r="D34" s="190">
        <f>VLOOKUP($B29,ImportExport!$B$6:$O$68,3,FALSE)</f>
        <v>0</v>
      </c>
      <c r="E34" s="190">
        <f>VLOOKUP($B29,ImportExport!$B$6:$O$68,4,FALSE)</f>
        <v>0</v>
      </c>
      <c r="F34" s="190">
        <f>VLOOKUP($B29,ImportExport!$B$6:$O$68,5,FALSE)</f>
        <v>0</v>
      </c>
      <c r="G34" s="190">
        <f>VLOOKUP($B29,ImportExport!$B$6:$O$68,6,FALSE)</f>
        <v>0</v>
      </c>
      <c r="H34" s="190">
        <f>VLOOKUP($B29,ImportExport!$B$6:$O$68,7,FALSE)</f>
        <v>0</v>
      </c>
      <c r="I34" s="190">
        <f>VLOOKUP($B29,ImportExport!$B$6:$O$68,8,FALSE)</f>
        <v>0</v>
      </c>
      <c r="J34" s="190">
        <f>VLOOKUP($B29,ImportExport!$B$6:$O$68,9,FALSE)</f>
        <v>0</v>
      </c>
      <c r="K34" s="190">
        <f>VLOOKUP($B29,ImportExport!$B$6:$O$68,10,FALSE)</f>
        <v>0</v>
      </c>
      <c r="L34" s="190">
        <f>VLOOKUP($B29,ImportExport!$B$6:$O$68,11,FALSE)</f>
        <v>0</v>
      </c>
      <c r="M34" s="190">
        <f>VLOOKUP($B29,ImportExport!$B$6:$O$68,12,FALSE)</f>
        <v>0</v>
      </c>
      <c r="N34" s="190">
        <f>VLOOKUP($B29,ImportExport!$B$6:$O$68,13,FALSE)</f>
        <v>0</v>
      </c>
      <c r="O34" s="197">
        <f>VLOOKUP($B29,ImportExport!$B$6:$O$68,14,FALSE)</f>
        <v>0</v>
      </c>
    </row>
    <row r="35" spans="2:15" ht="15.75" thickBot="1">
      <c r="B35" s="18" t="str">
        <f>"Total "&amp; (B29)&amp;" Inflow"</f>
        <v>Total Node 4.02 Inflow</v>
      </c>
      <c r="C35" s="17"/>
      <c r="D35" s="25">
        <f>SUM(D31:D34)</f>
        <v>2432.2815786064011</v>
      </c>
      <c r="E35" s="25">
        <f t="shared" ref="E35:O35" si="8">SUM(E31:E34)</f>
        <v>2776.5945900602419</v>
      </c>
      <c r="F35" s="25">
        <f t="shared" si="8"/>
        <v>8389.0608944156811</v>
      </c>
      <c r="G35" s="25">
        <f t="shared" si="8"/>
        <v>12068.607173922544</v>
      </c>
      <c r="H35" s="25">
        <f t="shared" si="8"/>
        <v>28552.378285645202</v>
      </c>
      <c r="I35" s="25">
        <f t="shared" si="8"/>
        <v>16216.618279290091</v>
      </c>
      <c r="J35" s="25">
        <f t="shared" si="8"/>
        <v>4333.5371122307879</v>
      </c>
      <c r="K35" s="25">
        <f t="shared" si="8"/>
        <v>2068.6062111203055</v>
      </c>
      <c r="L35" s="25">
        <f t="shared" si="8"/>
        <v>1419.6693151982984</v>
      </c>
      <c r="M35" s="25">
        <f t="shared" si="8"/>
        <v>1904.2252498124187</v>
      </c>
      <c r="N35" s="25">
        <f t="shared" si="8"/>
        <v>2663.2998441688705</v>
      </c>
      <c r="O35" s="26">
        <f t="shared" si="8"/>
        <v>2383.8663127583577</v>
      </c>
    </row>
    <row r="36" spans="2:15" ht="15">
      <c r="B36" s="19" t="s">
        <v>17</v>
      </c>
      <c r="C36" s="20"/>
      <c r="D36" s="282" t="str">
        <f>IF(((VLOOKUP($B29,'Diversion Data'!$B$3:$O$227,3,FALSE))-D38)&gt;0,"Short","")</f>
        <v/>
      </c>
      <c r="E36" s="282" t="str">
        <f>IF(((VLOOKUP($B29,'Diversion Data'!$B$3:$O$227,4,FALSE))-E38)&gt;0,"Short","")</f>
        <v/>
      </c>
      <c r="F36" s="282" t="str">
        <f>IF(((VLOOKUP($B29,'Diversion Data'!$B$3:$O$227,5,FALSE))-F38)&gt;0,"Short","")</f>
        <v/>
      </c>
      <c r="G36" s="282" t="str">
        <f>IF(((VLOOKUP($B29,'Diversion Data'!$B$3:$O$227,6,FALSE))-G38)&gt;0,"Short","")</f>
        <v/>
      </c>
      <c r="H36" s="282" t="str">
        <f>IF(((VLOOKUP($B29,'Diversion Data'!$B$3:$O$227,7,FALSE))-H38)&gt;0,"Short","")</f>
        <v/>
      </c>
      <c r="I36" s="282" t="str">
        <f>IF(((VLOOKUP($B29,'Diversion Data'!$B$3:$O$227,8,FALSE))-I38)&gt;0,"Short","")</f>
        <v/>
      </c>
      <c r="J36" s="282" t="str">
        <f>IF(((VLOOKUP($B29,'Diversion Data'!$B$3:$O$227,9,FALSE))-J38)&gt;0,"Short","")</f>
        <v/>
      </c>
      <c r="K36" s="282" t="str">
        <f>IF(((VLOOKUP($B29,'Diversion Data'!$B$3:$O$227,10,FALSE))-K38)&gt;0,"Short","")</f>
        <v/>
      </c>
      <c r="L36" s="282" t="str">
        <f>IF(((VLOOKUP($B29,'Diversion Data'!$B$3:$O$227,11,FALSE))-L38)&gt;0,"Short","")</f>
        <v/>
      </c>
      <c r="M36" s="282" t="str">
        <f>IF(((VLOOKUP($B29,'Diversion Data'!$B$3:$O$227,12,FALSE))-M38)&gt;0,"Short","")</f>
        <v/>
      </c>
      <c r="N36" s="282" t="str">
        <f>IF(((VLOOKUP($B29,'Diversion Data'!$B$3:$O$227,13,FALSE))-N38)&gt;0,"Short","")</f>
        <v/>
      </c>
      <c r="O36" s="283" t="str">
        <f>IF(((VLOOKUP($B29,'Diversion Data'!$B$3:$O$227,14,FALSE))-O38)&gt;0,"Short","")</f>
        <v/>
      </c>
    </row>
    <row r="37" spans="2:15" ht="14.25">
      <c r="B37" s="14" t="s">
        <v>81</v>
      </c>
      <c r="C37" s="13" t="s">
        <v>181</v>
      </c>
      <c r="D37" s="171">
        <f>VLOOKUP($B37,GainLoss!$B$19:$O$27,3,FALSE)</f>
        <v>0</v>
      </c>
      <c r="E37" s="171">
        <f>VLOOKUP($B37,GainLoss!$B$19:$O$27,4,FALSE)</f>
        <v>0</v>
      </c>
      <c r="F37" s="171">
        <f>VLOOKUP($B37,GainLoss!$B$19:$O$27,5,FALSE)</f>
        <v>0</v>
      </c>
      <c r="G37" s="171">
        <f>VLOOKUP($B37,GainLoss!$B$19:$O$27,6,FALSE)</f>
        <v>0</v>
      </c>
      <c r="H37" s="171">
        <f>VLOOKUP($B37,GainLoss!$B$19:$O$27,7,FALSE)</f>
        <v>0</v>
      </c>
      <c r="I37" s="171">
        <f>VLOOKUP($B37,GainLoss!$B$19:$O$27,8,FALSE)</f>
        <v>0</v>
      </c>
      <c r="J37" s="171">
        <f>VLOOKUP($B37,GainLoss!$B$19:$O$27,9,FALSE)</f>
        <v>0</v>
      </c>
      <c r="K37" s="171">
        <f>VLOOKUP($B37,GainLoss!$B$19:$O$27,10,FALSE)</f>
        <v>0</v>
      </c>
      <c r="L37" s="171">
        <f>VLOOKUP($B37,GainLoss!$B$19:$O$27,11,FALSE)</f>
        <v>0</v>
      </c>
      <c r="M37" s="171">
        <f>VLOOKUP($B37,GainLoss!$B$19:$O$27,12,FALSE)</f>
        <v>0</v>
      </c>
      <c r="N37" s="171">
        <f>VLOOKUP($B37,GainLoss!$B$19:$O$27,13,FALSE)</f>
        <v>0</v>
      </c>
      <c r="O37" s="198">
        <f>VLOOKUP($B37,GainLoss!$B$19:$O$27,14,FALSE)</f>
        <v>0</v>
      </c>
    </row>
    <row r="38" spans="2:15" ht="14.25">
      <c r="B38" s="14" t="str">
        <f>+B29 &amp;" Diversions"</f>
        <v>Node 4.02 Diversions</v>
      </c>
      <c r="C38" s="13"/>
      <c r="D38" s="54">
        <f>MIN(VLOOKUP($B29,'Diversion Data'!$B$3:$O$227,3,FALSE),(D35-D37))</f>
        <v>0</v>
      </c>
      <c r="E38" s="54">
        <f>MIN(VLOOKUP($B29,'Diversion Data'!$B$3:$O$227,4,FALSE),(E35-E37))</f>
        <v>0</v>
      </c>
      <c r="F38" s="54">
        <f>MIN(VLOOKUP($B29,'Diversion Data'!$B$3:$O$227,5,FALSE),(F35-F37))</f>
        <v>0</v>
      </c>
      <c r="G38" s="54">
        <f>MIN(VLOOKUP($B29,'Diversion Data'!$B$3:$O$227,6,FALSE),(G35-G37))</f>
        <v>0</v>
      </c>
      <c r="H38" s="54">
        <f>MIN(VLOOKUP($B29,'Diversion Data'!$B$3:$O$227,7,FALSE),(H35-H37))</f>
        <v>776.25413330526862</v>
      </c>
      <c r="I38" s="54">
        <f>MIN(VLOOKUP($B29,'Diversion Data'!$B$3:$O$227,8,FALSE),(I35-I37))</f>
        <v>652.25385584452488</v>
      </c>
      <c r="J38" s="54">
        <f>MIN(VLOOKUP($B29,'Diversion Data'!$B$3:$O$227,9,FALSE),(J35-J37))</f>
        <v>290.36558656404958</v>
      </c>
      <c r="K38" s="54">
        <f>MIN(VLOOKUP($B29,'Diversion Data'!$B$3:$O$227,10,FALSE),(K35-K37))</f>
        <v>169.10596374793388</v>
      </c>
      <c r="L38" s="54">
        <f>MIN(VLOOKUP($B29,'Diversion Data'!$B$3:$O$227,11,FALSE),(L35-L37))</f>
        <v>110.98593604173554</v>
      </c>
      <c r="M38" s="54">
        <f>MIN(VLOOKUP($B29,'Diversion Data'!$B$3:$O$227,12,FALSE),(M35-M37))</f>
        <v>0</v>
      </c>
      <c r="N38" s="54">
        <f>MIN(VLOOKUP($B29,'Diversion Data'!$B$3:$O$227,13,FALSE),(N35-N37))</f>
        <v>0</v>
      </c>
      <c r="O38" s="110">
        <f>MIN(VLOOKUP($B29,'Diversion Data'!$B$3:$O$227,14,FALSE),(O35-O37))</f>
        <v>0</v>
      </c>
    </row>
    <row r="39" spans="2:15" ht="15.75" thickBot="1">
      <c r="B39" s="24" t="str">
        <f>"Total " &amp; (B29) &amp;" Outflow"</f>
        <v>Total Node 4.02 Outflow</v>
      </c>
      <c r="C39" s="23"/>
      <c r="D39" s="27">
        <f>SUM(D37:D38)</f>
        <v>0</v>
      </c>
      <c r="E39" s="27">
        <f t="shared" ref="E39:O39" si="9">SUM(E37:E38)</f>
        <v>0</v>
      </c>
      <c r="F39" s="27">
        <f t="shared" si="9"/>
        <v>0</v>
      </c>
      <c r="G39" s="27">
        <f t="shared" si="9"/>
        <v>0</v>
      </c>
      <c r="H39" s="27">
        <f t="shared" si="9"/>
        <v>776.25413330526862</v>
      </c>
      <c r="I39" s="27">
        <f t="shared" si="9"/>
        <v>652.25385584452488</v>
      </c>
      <c r="J39" s="27">
        <f t="shared" si="9"/>
        <v>290.36558656404958</v>
      </c>
      <c r="K39" s="27">
        <f t="shared" si="9"/>
        <v>169.10596374793388</v>
      </c>
      <c r="L39" s="27">
        <f t="shared" si="9"/>
        <v>110.98593604173554</v>
      </c>
      <c r="M39" s="27">
        <f t="shared" si="9"/>
        <v>0</v>
      </c>
      <c r="N39" s="27">
        <f t="shared" si="9"/>
        <v>0</v>
      </c>
      <c r="O39" s="28">
        <f t="shared" si="9"/>
        <v>0</v>
      </c>
    </row>
    <row r="40" spans="2:15" ht="15.75" thickBot="1">
      <c r="B40" s="24" t="str">
        <f>(B29)&amp;" NET Flow (In - Out)"</f>
        <v>Node 4.02 NET Flow (In - Out)</v>
      </c>
      <c r="C40" s="23"/>
      <c r="D40" s="193">
        <f t="shared" ref="D40:O40" si="10">MAX(D35-D39,0)</f>
        <v>2432.2815786064011</v>
      </c>
      <c r="E40" s="193">
        <f t="shared" si="10"/>
        <v>2776.5945900602419</v>
      </c>
      <c r="F40" s="193">
        <f t="shared" si="10"/>
        <v>8389.0608944156811</v>
      </c>
      <c r="G40" s="193">
        <f t="shared" si="10"/>
        <v>12068.607173922544</v>
      </c>
      <c r="H40" s="193">
        <f t="shared" si="10"/>
        <v>27776.124152339933</v>
      </c>
      <c r="I40" s="193">
        <f t="shared" si="10"/>
        <v>15564.364423445566</v>
      </c>
      <c r="J40" s="193">
        <f t="shared" si="10"/>
        <v>4043.1715256667385</v>
      </c>
      <c r="K40" s="193">
        <f t="shared" si="10"/>
        <v>1899.5002473723716</v>
      </c>
      <c r="L40" s="193">
        <f t="shared" si="10"/>
        <v>1308.6833791565628</v>
      </c>
      <c r="M40" s="193">
        <f t="shared" si="10"/>
        <v>1904.2252498124187</v>
      </c>
      <c r="N40" s="193">
        <f t="shared" si="10"/>
        <v>2663.2998441688705</v>
      </c>
      <c r="O40" s="200">
        <f t="shared" si="10"/>
        <v>2383.8663127583577</v>
      </c>
    </row>
    <row r="42" spans="2:15" ht="15.75" thickBot="1">
      <c r="B42" s="108" t="s">
        <v>262</v>
      </c>
      <c r="C42" s="109" t="str">
        <f>VLOOKUP(B42,NodeList!$D$4:$E$121,2,FALSE)</f>
        <v>AggDiv BR-2</v>
      </c>
      <c r="D42" s="6"/>
      <c r="E42" s="6"/>
      <c r="F42" s="6"/>
      <c r="G42" s="6"/>
      <c r="H42" s="7"/>
      <c r="I42" s="7"/>
      <c r="J42" s="7"/>
      <c r="K42" s="7"/>
      <c r="L42" s="7"/>
      <c r="M42" s="7"/>
      <c r="N42" s="7"/>
      <c r="O42" s="7"/>
    </row>
    <row r="43" spans="2:15" ht="15">
      <c r="B43" s="9" t="s">
        <v>16</v>
      </c>
      <c r="C43" s="10"/>
      <c r="D43" s="11" t="s">
        <v>0</v>
      </c>
      <c r="E43" s="11" t="s">
        <v>1</v>
      </c>
      <c r="F43" s="11" t="s">
        <v>2</v>
      </c>
      <c r="G43" s="11" t="s">
        <v>3</v>
      </c>
      <c r="H43" s="11" t="s">
        <v>4</v>
      </c>
      <c r="I43" s="11" t="s">
        <v>5</v>
      </c>
      <c r="J43" s="11" t="s">
        <v>6</v>
      </c>
      <c r="K43" s="11" t="s">
        <v>7</v>
      </c>
      <c r="L43" s="11" t="s">
        <v>8</v>
      </c>
      <c r="M43" s="11" t="s">
        <v>9</v>
      </c>
      <c r="N43" s="11" t="s">
        <v>10</v>
      </c>
      <c r="O43" s="12" t="s">
        <v>11</v>
      </c>
    </row>
    <row r="44" spans="2:15" ht="14.25">
      <c r="B44" s="14" t="str">
        <f>+B42 &amp;" Node Inflow"</f>
        <v>Node 4.03 Node Inflow</v>
      </c>
      <c r="C44" s="13"/>
      <c r="D44" s="15">
        <f>+D40</f>
        <v>2432.2815786064011</v>
      </c>
      <c r="E44" s="15">
        <f t="shared" ref="E44:O44" si="11">+E40</f>
        <v>2776.5945900602419</v>
      </c>
      <c r="F44" s="15">
        <f t="shared" si="11"/>
        <v>8389.0608944156811</v>
      </c>
      <c r="G44" s="15">
        <f t="shared" si="11"/>
        <v>12068.607173922544</v>
      </c>
      <c r="H44" s="15">
        <f t="shared" si="11"/>
        <v>27776.124152339933</v>
      </c>
      <c r="I44" s="15">
        <f t="shared" si="11"/>
        <v>15564.364423445566</v>
      </c>
      <c r="J44" s="15">
        <f t="shared" si="11"/>
        <v>4043.1715256667385</v>
      </c>
      <c r="K44" s="15">
        <f t="shared" si="11"/>
        <v>1899.5002473723716</v>
      </c>
      <c r="L44" s="15">
        <f t="shared" si="11"/>
        <v>1308.6833791565628</v>
      </c>
      <c r="M44" s="15">
        <f t="shared" si="11"/>
        <v>1904.2252498124187</v>
      </c>
      <c r="N44" s="15">
        <f t="shared" si="11"/>
        <v>2663.2998441688705</v>
      </c>
      <c r="O44" s="16">
        <f t="shared" si="11"/>
        <v>2383.8663127583577</v>
      </c>
    </row>
    <row r="45" spans="2:15" ht="14.25">
      <c r="B45" s="14" t="str">
        <f>+B42 &amp;" Irrigation Returns"</f>
        <v>Node 4.03 Irrigation Returns</v>
      </c>
      <c r="C45" s="13"/>
      <c r="D45" s="54">
        <f>VLOOKUP(($B42),'Irrigation Returns'!$B$644:$P$930,4,FALSE)</f>
        <v>0</v>
      </c>
      <c r="E45" s="54">
        <f>VLOOKUP(($B42),'Irrigation Returns'!$B$644:$P$930,5,FALSE)</f>
        <v>0</v>
      </c>
      <c r="F45" s="54">
        <f>VLOOKUP(($B42),'Irrigation Returns'!$B$644:$P$930,6,FALSE)</f>
        <v>0</v>
      </c>
      <c r="G45" s="54">
        <f>VLOOKUP(($B42),'Irrigation Returns'!$B$644:$P$930,7,FALSE)</f>
        <v>0</v>
      </c>
      <c r="H45" s="54">
        <f>VLOOKUP(($B42),'Irrigation Returns'!$B$644:$P$930,8,FALSE)</f>
        <v>335.05826710756662</v>
      </c>
      <c r="I45" s="54">
        <f>VLOOKUP(($B42),'Irrigation Returns'!$B$644:$P$930,9,FALSE)</f>
        <v>394.08091432467921</v>
      </c>
      <c r="J45" s="54">
        <f>VLOOKUP(($B42),'Irrigation Returns'!$B$644:$P$930,10,FALSE)</f>
        <v>286.03617452160381</v>
      </c>
      <c r="K45" s="54">
        <f>VLOOKUP(($B42),'Irrigation Returns'!$B$644:$P$930,11,FALSE)</f>
        <v>191.54844969757178</v>
      </c>
      <c r="L45" s="54">
        <f>VLOOKUP(($B42),'Irrigation Returns'!$B$644:$P$930,12,FALSE)</f>
        <v>124.20222836317191</v>
      </c>
      <c r="M45" s="54">
        <f>VLOOKUP(($B42),'Irrigation Returns'!$B$644:$P$930,13,FALSE)</f>
        <v>35.687255855163642</v>
      </c>
      <c r="N45" s="54">
        <f>VLOOKUP(($B42),'Irrigation Returns'!$B$644:$P$930,14,FALSE)</f>
        <v>10.326960021608679</v>
      </c>
      <c r="O45" s="110">
        <f>VLOOKUP(($B42),'Irrigation Returns'!$B$644:$P$930,15,FALSE)</f>
        <v>0</v>
      </c>
    </row>
    <row r="46" spans="2:15" ht="14.25">
      <c r="B46" s="14" t="s">
        <v>328</v>
      </c>
      <c r="C46" s="13" t="s">
        <v>180</v>
      </c>
      <c r="D46" s="54">
        <f>VLOOKUP($B46,GainLoss!$B$5:$O$14,3,FALSE)</f>
        <v>0</v>
      </c>
      <c r="E46" s="54">
        <f>VLOOKUP($B46,GainLoss!$B$5:$O$14,4,FALSE)</f>
        <v>0</v>
      </c>
      <c r="F46" s="54">
        <f>VLOOKUP($B46,GainLoss!$B$5:$O$14,5,FALSE)</f>
        <v>0</v>
      </c>
      <c r="G46" s="54">
        <f>VLOOKUP($B46,GainLoss!$B$5:$O$14,6,FALSE)</f>
        <v>0</v>
      </c>
      <c r="H46" s="54">
        <f>VLOOKUP($B46,GainLoss!$B$5:$O$14,7,FALSE)</f>
        <v>0</v>
      </c>
      <c r="I46" s="54">
        <f>VLOOKUP($B46,GainLoss!$B$5:$O$14,8,FALSE)</f>
        <v>0</v>
      </c>
      <c r="J46" s="54">
        <f>VLOOKUP($B46,GainLoss!$B$5:$O$14,9,FALSE)</f>
        <v>0</v>
      </c>
      <c r="K46" s="54">
        <f>VLOOKUP($B46,GainLoss!$B$5:$O$14,10,FALSE)</f>
        <v>0</v>
      </c>
      <c r="L46" s="54">
        <f>VLOOKUP($B46,GainLoss!$B$5:$O$14,11,FALSE)</f>
        <v>0</v>
      </c>
      <c r="M46" s="54">
        <f>VLOOKUP($B46,GainLoss!$B$5:$O$14,12,FALSE)</f>
        <v>0</v>
      </c>
      <c r="N46" s="54">
        <f>VLOOKUP($B46,GainLoss!$B$5:$O$14,13,FALSE)</f>
        <v>0</v>
      </c>
      <c r="O46" s="110">
        <f>VLOOKUP($B46,GainLoss!$B$5:$O$14,14,FALSE)</f>
        <v>0</v>
      </c>
    </row>
    <row r="47" spans="2:15" ht="14.25">
      <c r="B47" s="14" t="str">
        <f>+B42 &amp;" Import/Export"</f>
        <v>Node 4.03 Import/Export</v>
      </c>
      <c r="C47" s="13"/>
      <c r="D47" s="190">
        <f>VLOOKUP($B42,ImportExport!$B$6:$O$68,3,FALSE)</f>
        <v>0</v>
      </c>
      <c r="E47" s="190">
        <f>VLOOKUP($B42,ImportExport!$B$6:$O$68,4,FALSE)</f>
        <v>0</v>
      </c>
      <c r="F47" s="190">
        <f>VLOOKUP($B42,ImportExport!$B$6:$O$68,5,FALSE)</f>
        <v>0</v>
      </c>
      <c r="G47" s="190">
        <f>VLOOKUP($B42,ImportExport!$B$6:$O$68,6,FALSE)</f>
        <v>0</v>
      </c>
      <c r="H47" s="190">
        <f>VLOOKUP($B42,ImportExport!$B$6:$O$68,7,FALSE)</f>
        <v>0</v>
      </c>
      <c r="I47" s="190">
        <f>VLOOKUP($B42,ImportExport!$B$6:$O$68,8,FALSE)</f>
        <v>0</v>
      </c>
      <c r="J47" s="190">
        <f>VLOOKUP($B42,ImportExport!$B$6:$O$68,9,FALSE)</f>
        <v>0</v>
      </c>
      <c r="K47" s="190">
        <f>VLOOKUP($B42,ImportExport!$B$6:$O$68,10,FALSE)</f>
        <v>0</v>
      </c>
      <c r="L47" s="190">
        <f>VLOOKUP($B42,ImportExport!$B$6:$O$68,11,FALSE)</f>
        <v>0</v>
      </c>
      <c r="M47" s="190">
        <f>VLOOKUP($B42,ImportExport!$B$6:$O$68,12,FALSE)</f>
        <v>0</v>
      </c>
      <c r="N47" s="190">
        <f>VLOOKUP($B42,ImportExport!$B$6:$O$68,13,FALSE)</f>
        <v>0</v>
      </c>
      <c r="O47" s="197">
        <f>VLOOKUP($B42,ImportExport!$B$6:$O$68,14,FALSE)</f>
        <v>0</v>
      </c>
    </row>
    <row r="48" spans="2:15" ht="15.75" thickBot="1">
      <c r="B48" s="18" t="str">
        <f>"Total "&amp; (B42)&amp;" Inflow"</f>
        <v>Total Node 4.03 Inflow</v>
      </c>
      <c r="C48" s="17"/>
      <c r="D48" s="25">
        <f>SUM(D44:D47)</f>
        <v>2432.2815786064011</v>
      </c>
      <c r="E48" s="25">
        <f t="shared" ref="E48:O48" si="12">SUM(E44:E47)</f>
        <v>2776.5945900602419</v>
      </c>
      <c r="F48" s="25">
        <f t="shared" si="12"/>
        <v>8389.0608944156811</v>
      </c>
      <c r="G48" s="25">
        <f t="shared" si="12"/>
        <v>12068.607173922544</v>
      </c>
      <c r="H48" s="25">
        <f t="shared" si="12"/>
        <v>28111.182419447501</v>
      </c>
      <c r="I48" s="25">
        <f t="shared" si="12"/>
        <v>15958.445337770245</v>
      </c>
      <c r="J48" s="25">
        <f t="shared" si="12"/>
        <v>4329.2077001883426</v>
      </c>
      <c r="K48" s="25">
        <f t="shared" si="12"/>
        <v>2091.0486970699435</v>
      </c>
      <c r="L48" s="25">
        <f t="shared" si="12"/>
        <v>1432.8856075197345</v>
      </c>
      <c r="M48" s="25">
        <f t="shared" si="12"/>
        <v>1939.9125056675823</v>
      </c>
      <c r="N48" s="25">
        <f t="shared" si="12"/>
        <v>2673.6268041904791</v>
      </c>
      <c r="O48" s="26">
        <f t="shared" si="12"/>
        <v>2383.8663127583577</v>
      </c>
    </row>
    <row r="49" spans="2:15" ht="15">
      <c r="B49" s="19" t="s">
        <v>17</v>
      </c>
      <c r="C49" s="20"/>
      <c r="D49" s="282" t="str">
        <f>IF(((VLOOKUP($B42,'Diversion Data'!$B$3:$O$227,3,FALSE))-D51)&gt;0,"Short","")</f>
        <v/>
      </c>
      <c r="E49" s="282" t="str">
        <f>IF(((VLOOKUP($B42,'Diversion Data'!$B$3:$O$227,4,FALSE))-E51)&gt;0,"Short","")</f>
        <v/>
      </c>
      <c r="F49" s="282" t="str">
        <f>IF(((VLOOKUP($B42,'Diversion Data'!$B$3:$O$227,5,FALSE))-F51)&gt;0,"Short","")</f>
        <v/>
      </c>
      <c r="G49" s="282" t="str">
        <f>IF(((VLOOKUP($B42,'Diversion Data'!$B$3:$O$227,6,FALSE))-G51)&gt;0,"Short","")</f>
        <v/>
      </c>
      <c r="H49" s="282" t="str">
        <f>IF(((VLOOKUP($B42,'Diversion Data'!$B$3:$O$227,7,FALSE))-H51)&gt;0,"Short","")</f>
        <v/>
      </c>
      <c r="I49" s="282" t="str">
        <f>IF(((VLOOKUP($B42,'Diversion Data'!$B$3:$O$227,8,FALSE))-I51)&gt;0,"Short","")</f>
        <v/>
      </c>
      <c r="J49" s="282" t="str">
        <f>IF(((VLOOKUP($B42,'Diversion Data'!$B$3:$O$227,9,FALSE))-J51)&gt;0,"Short","")</f>
        <v/>
      </c>
      <c r="K49" s="282" t="str">
        <f>IF(((VLOOKUP($B42,'Diversion Data'!$B$3:$O$227,10,FALSE))-K51)&gt;0,"Short","")</f>
        <v/>
      </c>
      <c r="L49" s="282" t="str">
        <f>IF(((VLOOKUP($B42,'Diversion Data'!$B$3:$O$227,11,FALSE))-L51)&gt;0,"Short","")</f>
        <v/>
      </c>
      <c r="M49" s="282" t="str">
        <f>IF(((VLOOKUP($B42,'Diversion Data'!$B$3:$O$227,12,FALSE))-M51)&gt;0,"Short","")</f>
        <v/>
      </c>
      <c r="N49" s="282" t="str">
        <f>IF(((VLOOKUP($B42,'Diversion Data'!$B$3:$O$227,13,FALSE))-N51)&gt;0,"Short","")</f>
        <v/>
      </c>
      <c r="O49" s="283" t="str">
        <f>IF(((VLOOKUP($B42,'Diversion Data'!$B$3:$O$227,14,FALSE))-O51)&gt;0,"Short","")</f>
        <v/>
      </c>
    </row>
    <row r="50" spans="2:15" ht="14.25">
      <c r="B50" s="14" t="s">
        <v>81</v>
      </c>
      <c r="C50" s="13" t="s">
        <v>181</v>
      </c>
      <c r="D50" s="171">
        <f>VLOOKUP($B50,GainLoss!$B$19:$O$27,3,FALSE)</f>
        <v>0</v>
      </c>
      <c r="E50" s="171">
        <f>VLOOKUP($B50,GainLoss!$B$19:$O$27,4,FALSE)</f>
        <v>0</v>
      </c>
      <c r="F50" s="171">
        <f>VLOOKUP($B50,GainLoss!$B$19:$O$27,5,FALSE)</f>
        <v>0</v>
      </c>
      <c r="G50" s="171">
        <f>VLOOKUP($B50,GainLoss!$B$19:$O$27,6,FALSE)</f>
        <v>0</v>
      </c>
      <c r="H50" s="171">
        <f>VLOOKUP($B50,GainLoss!$B$19:$O$27,7,FALSE)</f>
        <v>0</v>
      </c>
      <c r="I50" s="171">
        <f>VLOOKUP($B50,GainLoss!$B$19:$O$27,8,FALSE)</f>
        <v>0</v>
      </c>
      <c r="J50" s="171">
        <f>VLOOKUP($B50,GainLoss!$B$19:$O$27,9,FALSE)</f>
        <v>0</v>
      </c>
      <c r="K50" s="171">
        <f>VLOOKUP($B50,GainLoss!$B$19:$O$27,10,FALSE)</f>
        <v>0</v>
      </c>
      <c r="L50" s="171">
        <f>VLOOKUP($B50,GainLoss!$B$19:$O$27,11,FALSE)</f>
        <v>0</v>
      </c>
      <c r="M50" s="171">
        <f>VLOOKUP($B50,GainLoss!$B$19:$O$27,12,FALSE)</f>
        <v>0</v>
      </c>
      <c r="N50" s="171">
        <f>VLOOKUP($B50,GainLoss!$B$19:$O$27,13,FALSE)</f>
        <v>0</v>
      </c>
      <c r="O50" s="198">
        <f>VLOOKUP($B50,GainLoss!$B$19:$O$27,14,FALSE)</f>
        <v>0</v>
      </c>
    </row>
    <row r="51" spans="2:15" ht="14.25">
      <c r="B51" s="14" t="str">
        <f>+B42 &amp;" Diversions"</f>
        <v>Node 4.03 Diversions</v>
      </c>
      <c r="C51" s="13"/>
      <c r="D51" s="54">
        <f>MIN(VLOOKUP($B42,'Diversion Data'!$B$3:$O$227,3,FALSE),(D48-D50))</f>
        <v>0</v>
      </c>
      <c r="E51" s="54">
        <f>MIN(VLOOKUP($B42,'Diversion Data'!$B$3:$O$227,4,FALSE),(E48-E50))</f>
        <v>0</v>
      </c>
      <c r="F51" s="54">
        <f>MIN(VLOOKUP($B42,'Diversion Data'!$B$3:$O$227,5,FALSE),(F48-F50))</f>
        <v>0</v>
      </c>
      <c r="G51" s="54">
        <f>MIN(VLOOKUP($B42,'Diversion Data'!$B$3:$O$227,6,FALSE),(G48-G50))</f>
        <v>0</v>
      </c>
      <c r="H51" s="54">
        <f>MIN(VLOOKUP($B42,'Diversion Data'!$B$3:$O$227,7,FALSE),(H48-H50))</f>
        <v>338.005</v>
      </c>
      <c r="I51" s="54">
        <f>MIN(VLOOKUP($B42,'Diversion Data'!$B$3:$O$227,8,FALSE),(I48-I50))</f>
        <v>897.68125000000009</v>
      </c>
      <c r="J51" s="54">
        <f>MIN(VLOOKUP($B42,'Diversion Data'!$B$3:$O$227,9,FALSE),(J48-J50))</f>
        <v>844.00750000000005</v>
      </c>
      <c r="K51" s="54">
        <f>MIN(VLOOKUP($B42,'Diversion Data'!$B$3:$O$227,10,FALSE),(K48-K50))</f>
        <v>328.33375000000001</v>
      </c>
      <c r="L51" s="54">
        <f>MIN(VLOOKUP($B42,'Diversion Data'!$B$3:$O$227,11,FALSE),(L48-L50))</f>
        <v>134.25</v>
      </c>
      <c r="M51" s="54">
        <f>MIN(VLOOKUP($B42,'Diversion Data'!$B$3:$O$227,12,FALSE),(M48-M50))</f>
        <v>0</v>
      </c>
      <c r="N51" s="54">
        <f>MIN(VLOOKUP($B42,'Diversion Data'!$B$3:$O$227,13,FALSE),(N48-N50))</f>
        <v>0</v>
      </c>
      <c r="O51" s="110">
        <f>MIN(VLOOKUP($B42,'Diversion Data'!$B$3:$O$227,14,FALSE),(O48-O50))</f>
        <v>0</v>
      </c>
    </row>
    <row r="52" spans="2:15" ht="15.75" thickBot="1">
      <c r="B52" s="24" t="str">
        <f>"Total " &amp; (B42) &amp;" Outflow"</f>
        <v>Total Node 4.03 Outflow</v>
      </c>
      <c r="C52" s="23"/>
      <c r="D52" s="27">
        <f>SUM(D50:D51)</f>
        <v>0</v>
      </c>
      <c r="E52" s="27">
        <f t="shared" ref="E52:O52" si="13">SUM(E50:E51)</f>
        <v>0</v>
      </c>
      <c r="F52" s="27">
        <f t="shared" si="13"/>
        <v>0</v>
      </c>
      <c r="G52" s="27">
        <f t="shared" si="13"/>
        <v>0</v>
      </c>
      <c r="H52" s="27">
        <f t="shared" si="13"/>
        <v>338.005</v>
      </c>
      <c r="I52" s="27">
        <f t="shared" si="13"/>
        <v>897.68125000000009</v>
      </c>
      <c r="J52" s="27">
        <f t="shared" si="13"/>
        <v>844.00750000000005</v>
      </c>
      <c r="K52" s="27">
        <f t="shared" si="13"/>
        <v>328.33375000000001</v>
      </c>
      <c r="L52" s="27">
        <f t="shared" si="13"/>
        <v>134.25</v>
      </c>
      <c r="M52" s="27">
        <f t="shared" si="13"/>
        <v>0</v>
      </c>
      <c r="N52" s="27">
        <f t="shared" si="13"/>
        <v>0</v>
      </c>
      <c r="O52" s="28">
        <f t="shared" si="13"/>
        <v>0</v>
      </c>
    </row>
    <row r="53" spans="2:15" ht="15.75" thickBot="1">
      <c r="B53" s="24" t="str">
        <f>(B42)&amp;" NET Flow (In - Out)"</f>
        <v>Node 4.03 NET Flow (In - Out)</v>
      </c>
      <c r="C53" s="23"/>
      <c r="D53" s="193">
        <f t="shared" ref="D53:O53" si="14">MAX(D48-D52,0)</f>
        <v>2432.2815786064011</v>
      </c>
      <c r="E53" s="193">
        <f t="shared" si="14"/>
        <v>2776.5945900602419</v>
      </c>
      <c r="F53" s="193">
        <f t="shared" si="14"/>
        <v>8389.0608944156811</v>
      </c>
      <c r="G53" s="193">
        <f t="shared" si="14"/>
        <v>12068.607173922544</v>
      </c>
      <c r="H53" s="193">
        <f t="shared" si="14"/>
        <v>27773.1774194475</v>
      </c>
      <c r="I53" s="193">
        <f t="shared" si="14"/>
        <v>15060.764087770245</v>
      </c>
      <c r="J53" s="193">
        <f t="shared" si="14"/>
        <v>3485.2002001883425</v>
      </c>
      <c r="K53" s="193">
        <f t="shared" si="14"/>
        <v>1762.7149470699435</v>
      </c>
      <c r="L53" s="193">
        <f t="shared" si="14"/>
        <v>1298.6356075197345</v>
      </c>
      <c r="M53" s="193">
        <f t="shared" si="14"/>
        <v>1939.9125056675823</v>
      </c>
      <c r="N53" s="193">
        <f t="shared" si="14"/>
        <v>2673.6268041904791</v>
      </c>
      <c r="O53" s="200">
        <f t="shared" si="14"/>
        <v>2383.8663127583577</v>
      </c>
    </row>
    <row r="56" spans="2:15" ht="20.25">
      <c r="B56" s="285" t="s">
        <v>359</v>
      </c>
      <c r="C56" s="285"/>
      <c r="D56" s="285"/>
      <c r="E56" s="285"/>
      <c r="F56" s="285"/>
      <c r="G56" s="285"/>
      <c r="H56" s="285"/>
      <c r="I56" s="285"/>
      <c r="J56" s="285"/>
      <c r="K56" s="285"/>
      <c r="L56" s="285"/>
      <c r="M56" s="285"/>
      <c r="N56" s="285"/>
      <c r="O56" s="285"/>
    </row>
  </sheetData>
  <sheetProtection objects="1" scenarios="1"/>
  <mergeCells count="2">
    <mergeCell ref="E1:M1"/>
    <mergeCell ref="A2:A14"/>
  </mergeCells>
  <phoneticPr fontId="0" type="noConversion"/>
  <conditionalFormatting sqref="D27:O27 D40:O40 D14:O14 D53:O53">
    <cfRule type="cellIs" dxfId="10" priority="1" stopIfTrue="1" operator="lessThanOrEqual">
      <formula>0</formula>
    </cfRule>
  </conditionalFormatting>
  <pageMargins left="0.75" right="0.75" top="1" bottom="1" header="0.5" footer="0.5"/>
  <pageSetup scale="65" fitToHeight="2" orientation="landscape" horizontalDpi="4294967292" verticalDpi="0" r:id="rId1"/>
  <headerFooter alignWithMargins="0">
    <oddHeader>&amp;C&amp;"Arial,Bold"&amp;12Bear River Spreadsheet Model
Dry Year Conditions</oddHeader>
    <oddFooter>&amp;L&amp;F &amp;A&amp;RAPPENDIX A (Page &amp;P of &amp;N)</oddFooter>
  </headerFooter>
  <rowBreaks count="1" manualBreakCount="1">
    <brk id="41" min="1" max="15" man="1"/>
  </rowBreaks>
  <legacyDrawing r:id="rId2"/>
</worksheet>
</file>

<file path=xl/worksheets/sheet8.xml><?xml version="1.0" encoding="utf-8"?>
<worksheet xmlns="http://schemas.openxmlformats.org/spreadsheetml/2006/main" xmlns:r="http://schemas.openxmlformats.org/officeDocument/2006/relationships">
  <sheetPr codeName="Sheet13">
    <pageSetUpPr autoPageBreaks="0"/>
  </sheetPr>
  <dimension ref="A1:AE68"/>
  <sheetViews>
    <sheetView showGridLines="0" zoomScale="75" zoomScaleNormal="75" workbookViewId="0">
      <pane ySplit="1" topLeftCell="A35" activePane="bottomLeft" state="frozen"/>
      <selection activeCell="B26" sqref="B26"/>
      <selection pane="bottomLeft" activeCell="O55" sqref="A55:O68"/>
    </sheetView>
  </sheetViews>
  <sheetFormatPr defaultRowHeight="12.75"/>
  <cols>
    <col min="1" max="1" width="2.28515625" customWidth="1"/>
    <col min="2" max="2" width="10.85546875" customWidth="1"/>
    <col min="3" max="3" width="25.28515625" customWidth="1"/>
    <col min="4" max="4" width="7.140625" customWidth="1"/>
    <col min="5" max="5" width="8.28515625" customWidth="1"/>
    <col min="6" max="6" width="8.5703125" customWidth="1"/>
    <col min="7" max="8" width="8.28515625" customWidth="1"/>
    <col min="9" max="15" width="9.42578125" customWidth="1"/>
  </cols>
  <sheetData>
    <row r="1" spans="1:31" ht="42" customHeight="1">
      <c r="A1" s="2"/>
      <c r="B1" s="3"/>
      <c r="C1" s="3"/>
      <c r="E1" s="661" t="s">
        <v>523</v>
      </c>
      <c r="F1" s="661"/>
      <c r="G1" s="661"/>
      <c r="H1" s="661"/>
      <c r="I1" s="661"/>
      <c r="J1" s="661"/>
      <c r="K1" s="661"/>
      <c r="L1" s="661"/>
      <c r="M1" s="661"/>
      <c r="N1" s="661"/>
      <c r="O1" s="661"/>
    </row>
    <row r="2" spans="1:31" ht="18" customHeight="1">
      <c r="A2" s="658"/>
      <c r="E2" s="664"/>
      <c r="F2" s="664"/>
      <c r="G2" s="664"/>
      <c r="H2" s="664"/>
      <c r="I2" s="664"/>
      <c r="J2" s="664"/>
      <c r="K2" s="664"/>
      <c r="L2" s="664"/>
      <c r="M2" s="664"/>
      <c r="N2" s="664"/>
      <c r="O2" s="664"/>
      <c r="U2" s="664"/>
      <c r="V2" s="664"/>
      <c r="W2" s="664"/>
      <c r="X2" s="664"/>
      <c r="Y2" s="664"/>
      <c r="Z2" s="664"/>
      <c r="AA2" s="664"/>
      <c r="AB2" s="664"/>
      <c r="AC2" s="664"/>
      <c r="AD2" s="664"/>
      <c r="AE2" s="664"/>
    </row>
    <row r="3" spans="1:31" ht="16.5" thickBot="1">
      <c r="A3" s="658"/>
      <c r="B3" s="108" t="s">
        <v>167</v>
      </c>
      <c r="C3" s="109" t="str">
        <f>VLOOKUP(B3,NodeList!$D$4:$E$121,2,FALSE)</f>
        <v>Confluence Yellow Creek / Bear River</v>
      </c>
      <c r="D3" s="6"/>
      <c r="E3" s="6"/>
      <c r="F3" s="6"/>
      <c r="G3" s="6"/>
      <c r="H3" s="426"/>
      <c r="I3" s="426"/>
      <c r="J3" s="426"/>
      <c r="K3" s="426"/>
      <c r="L3" s="426"/>
      <c r="M3" s="426"/>
      <c r="N3" s="426"/>
      <c r="O3" s="434" t="s">
        <v>540</v>
      </c>
      <c r="P3" s="420"/>
      <c r="Q3" s="420"/>
      <c r="R3" s="420"/>
      <c r="S3" s="420"/>
    </row>
    <row r="4" spans="1:31" ht="15">
      <c r="A4" s="658"/>
      <c r="B4" s="9" t="s">
        <v>16</v>
      </c>
      <c r="C4" s="10"/>
      <c r="D4" s="11" t="s">
        <v>0</v>
      </c>
      <c r="E4" s="11" t="s">
        <v>1</v>
      </c>
      <c r="F4" s="11" t="s">
        <v>2</v>
      </c>
      <c r="G4" s="11" t="s">
        <v>3</v>
      </c>
      <c r="H4" s="11" t="s">
        <v>4</v>
      </c>
      <c r="I4" s="11" t="s">
        <v>5</v>
      </c>
      <c r="J4" s="11" t="s">
        <v>6</v>
      </c>
      <c r="K4" s="11" t="s">
        <v>7</v>
      </c>
      <c r="L4" s="11" t="s">
        <v>8</v>
      </c>
      <c r="M4" s="11" t="s">
        <v>9</v>
      </c>
      <c r="N4" s="11" t="s">
        <v>10</v>
      </c>
      <c r="O4" s="12" t="s">
        <v>11</v>
      </c>
    </row>
    <row r="5" spans="1:31" ht="14.25">
      <c r="A5" s="658"/>
      <c r="B5" s="14" t="str">
        <f>+B3 &amp;" Node Inflow"</f>
        <v>Node 5.00 Node Inflow</v>
      </c>
      <c r="C5" s="13"/>
      <c r="D5" s="15">
        <f>+'Reach 4'!D53</f>
        <v>2432.2815786064011</v>
      </c>
      <c r="E5" s="15">
        <f>+'Reach 4'!E53</f>
        <v>2776.5945900602419</v>
      </c>
      <c r="F5" s="15">
        <f>+'Reach 4'!F53</f>
        <v>8389.0608944156811</v>
      </c>
      <c r="G5" s="15">
        <f>+'Reach 4'!G53</f>
        <v>12068.607173922544</v>
      </c>
      <c r="H5" s="15">
        <f>+'Reach 4'!H53</f>
        <v>27773.1774194475</v>
      </c>
      <c r="I5" s="15">
        <f>+'Reach 4'!I53</f>
        <v>15060.764087770245</v>
      </c>
      <c r="J5" s="15">
        <f>+'Reach 4'!J53</f>
        <v>3485.2002001883425</v>
      </c>
      <c r="K5" s="15">
        <f>+'Reach 4'!K53</f>
        <v>1762.7149470699435</v>
      </c>
      <c r="L5" s="15">
        <f>+'Reach 4'!L53</f>
        <v>1298.6356075197345</v>
      </c>
      <c r="M5" s="15">
        <f>+'Reach 4'!M53</f>
        <v>1939.9125056675823</v>
      </c>
      <c r="N5" s="15">
        <f>+'Reach 4'!N53</f>
        <v>2673.6268041904791</v>
      </c>
      <c r="O5" s="16">
        <f>+'Reach 4'!O53</f>
        <v>2383.8663127583577</v>
      </c>
    </row>
    <row r="6" spans="1:31" ht="14.25">
      <c r="A6" s="658"/>
      <c r="B6" s="14" t="str">
        <f>+B3 &amp;" Irrigation Returns"</f>
        <v>Node 5.00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110.30357480236916</v>
      </c>
      <c r="I6" s="54">
        <f>VLOOKUP(($B3),'Irrigation Returns'!$B$644:$P$930,9,FALSE)</f>
        <v>187.52443878741045</v>
      </c>
      <c r="J6" s="54">
        <f>VLOOKUP(($B3),'Irrigation Returns'!$B$644:$P$930,10,FALSE)</f>
        <v>260.498808995427</v>
      </c>
      <c r="K6" s="54">
        <f>VLOOKUP(($B3),'Irrigation Returns'!$B$644:$P$930,11,FALSE)</f>
        <v>222.52595576413225</v>
      </c>
      <c r="L6" s="54">
        <f>VLOOKUP(($B3),'Irrigation Returns'!$B$644:$P$930,12,FALSE)</f>
        <v>159.77922576719004</v>
      </c>
      <c r="M6" s="54">
        <f>VLOOKUP(($B3),'Irrigation Returns'!$B$644:$P$930,13,FALSE)</f>
        <v>0</v>
      </c>
      <c r="N6" s="54">
        <f>VLOOKUP(($B3),'Irrigation Returns'!$B$644:$P$930,14,FALSE)</f>
        <v>0</v>
      </c>
      <c r="O6" s="110">
        <f>VLOOKUP(($B3),'Irrigation Returns'!$B$644:$P$930,15,FALSE)</f>
        <v>0</v>
      </c>
    </row>
    <row r="7" spans="1:31" ht="14.25">
      <c r="A7" s="658"/>
      <c r="B7" s="14" t="s">
        <v>328</v>
      </c>
      <c r="C7" s="13" t="s">
        <v>180</v>
      </c>
      <c r="D7" s="54">
        <f>VLOOKUP($B7,GainLoss!$B$5:$O$14,3,FALSE)</f>
        <v>0</v>
      </c>
      <c r="E7" s="54">
        <f>VLOOKUP($B7,GainLoss!$B$5:$O$14,4,FALSE)</f>
        <v>0</v>
      </c>
      <c r="F7" s="54">
        <f>VLOOKUP($B7,GainLoss!$B$5:$O$14,5,FALSE)</f>
        <v>0</v>
      </c>
      <c r="G7" s="54">
        <f>VLOOKUP($B7,GainLoss!$B$5:$O$14,6,FALSE)</f>
        <v>0</v>
      </c>
      <c r="H7" s="54">
        <f>VLOOKUP($B7,GainLoss!$B$5:$O$14,7,FALSE)</f>
        <v>0</v>
      </c>
      <c r="I7" s="54">
        <f>VLOOKUP($B7,GainLoss!$B$5:$O$14,8,FALSE)</f>
        <v>0</v>
      </c>
      <c r="J7" s="54">
        <f>VLOOKUP($B7,GainLoss!$B$5:$O$14,9,FALSE)</f>
        <v>0</v>
      </c>
      <c r="K7" s="54">
        <f>VLOOKUP($B7,GainLoss!$B$5:$O$14,10,FALSE)</f>
        <v>0</v>
      </c>
      <c r="L7" s="54">
        <f>VLOOKUP($B7,GainLoss!$B$5:$O$14,11,FALSE)</f>
        <v>0</v>
      </c>
      <c r="M7" s="54">
        <f>VLOOKUP($B7,GainLoss!$B$5:$O$14,12,FALSE)</f>
        <v>0</v>
      </c>
      <c r="N7" s="54">
        <f>VLOOKUP($B7,GainLoss!$B$5:$O$14,13,FALSE)</f>
        <v>0</v>
      </c>
      <c r="O7" s="110">
        <f>VLOOKUP($B7,GainLoss!$B$5:$O$14,14,FALSE)</f>
        <v>0</v>
      </c>
    </row>
    <row r="8" spans="1:31" ht="14.25">
      <c r="A8" s="658"/>
      <c r="B8" s="14" t="str">
        <f>+B3 &amp;" Import/Export"</f>
        <v>Node 5.00 Import/Export</v>
      </c>
      <c r="C8" s="13"/>
      <c r="D8" s="190">
        <f>VLOOKUP($B3,ImportExport!$B$6:$O$68,3,FALSE)</f>
        <v>0</v>
      </c>
      <c r="E8" s="190">
        <f>VLOOKUP($B3,ImportExport!$B$6:$O$68,4,FALSE)</f>
        <v>0</v>
      </c>
      <c r="F8" s="190">
        <f>VLOOKUP($B3,ImportExport!$B$6:$O$68,5,FALSE)</f>
        <v>0</v>
      </c>
      <c r="G8" s="190">
        <f>VLOOKUP($B3,ImportExport!$B$6:$O$68,6,FALSE)</f>
        <v>0</v>
      </c>
      <c r="H8" s="190">
        <f>VLOOKUP($B3,ImportExport!$B$6:$O$68,7,FALSE)</f>
        <v>0</v>
      </c>
      <c r="I8" s="190">
        <f>VLOOKUP($B3,ImportExport!$B$6:$O$68,8,FALSE)</f>
        <v>0</v>
      </c>
      <c r="J8" s="190">
        <f>VLOOKUP($B3,ImportExport!$B$6:$O$68,9,FALSE)</f>
        <v>0</v>
      </c>
      <c r="K8" s="190">
        <f>VLOOKUP($B3,ImportExport!$B$6:$O$68,10,FALSE)</f>
        <v>0</v>
      </c>
      <c r="L8" s="190">
        <f>VLOOKUP($B3,ImportExport!$B$6:$O$68,11,FALSE)</f>
        <v>0</v>
      </c>
      <c r="M8" s="190">
        <f>VLOOKUP($B3,ImportExport!$B$6:$O$68,12,FALSE)</f>
        <v>0</v>
      </c>
      <c r="N8" s="190">
        <f>VLOOKUP($B3,ImportExport!$B$6:$O$68,13,FALSE)</f>
        <v>0</v>
      </c>
      <c r="O8" s="197">
        <f>VLOOKUP($B3,ImportExport!$B$6:$O$68,14,FALSE)</f>
        <v>0</v>
      </c>
    </row>
    <row r="9" spans="1:31" ht="15.75" thickBot="1">
      <c r="A9" s="658"/>
      <c r="B9" s="18" t="str">
        <f>"Total "&amp; (B3)&amp;" Inflow"</f>
        <v>Total Node 5.00 Inflow</v>
      </c>
      <c r="C9" s="17"/>
      <c r="D9" s="25">
        <f>SUM(D5:D8)</f>
        <v>2432.2815786064011</v>
      </c>
      <c r="E9" s="25">
        <f t="shared" ref="E9:O9" si="0">SUM(E5:E8)</f>
        <v>2776.5945900602419</v>
      </c>
      <c r="F9" s="25">
        <f t="shared" si="0"/>
        <v>8389.0608944156811</v>
      </c>
      <c r="G9" s="25">
        <f t="shared" si="0"/>
        <v>12068.607173922544</v>
      </c>
      <c r="H9" s="25">
        <f t="shared" si="0"/>
        <v>27883.480994249869</v>
      </c>
      <c r="I9" s="25">
        <f t="shared" si="0"/>
        <v>15248.288526557655</v>
      </c>
      <c r="J9" s="25">
        <f t="shared" si="0"/>
        <v>3745.6990091837697</v>
      </c>
      <c r="K9" s="25">
        <f t="shared" si="0"/>
        <v>1985.2409028340758</v>
      </c>
      <c r="L9" s="25">
        <f t="shared" si="0"/>
        <v>1458.4148332869245</v>
      </c>
      <c r="M9" s="25">
        <f t="shared" si="0"/>
        <v>1939.9125056675823</v>
      </c>
      <c r="N9" s="25">
        <f t="shared" si="0"/>
        <v>2673.6268041904791</v>
      </c>
      <c r="O9" s="26">
        <f t="shared" si="0"/>
        <v>2383.8663127583577</v>
      </c>
    </row>
    <row r="10" spans="1:31" ht="15">
      <c r="A10" s="658"/>
      <c r="B10" s="19" t="s">
        <v>17</v>
      </c>
      <c r="C10" s="20"/>
      <c r="D10" s="282" t="str">
        <f>IF(((VLOOKUP($B3,'Diversion Data'!$B$3:$O$227,3,FALSE))-D12)&gt;0,"Short","")</f>
        <v/>
      </c>
      <c r="E10" s="282" t="str">
        <f>IF(((VLOOKUP($B3,'Diversion Data'!$B$3:$O$227,4,FALSE))-E12)&gt;0,"Short","")</f>
        <v/>
      </c>
      <c r="F10" s="282" t="str">
        <f>IF(((VLOOKUP($B3,'Diversion Data'!$B$3:$O$227,5,FALSE))-F12)&gt;0,"Short","")</f>
        <v/>
      </c>
      <c r="G10" s="282" t="str">
        <f>IF(((VLOOKUP($B3,'Diversion Data'!$B$3:$O$227,6,FALSE))-G12)&gt;0,"Short","")</f>
        <v/>
      </c>
      <c r="H10" s="282" t="str">
        <f>IF(((VLOOKUP($B3,'Diversion Data'!$B$3:$O$227,7,FALSE))-H12)&gt;0,"Short","")</f>
        <v/>
      </c>
      <c r="I10" s="282" t="str">
        <f>IF(((VLOOKUP($B3,'Diversion Data'!$B$3:$O$227,8,FALSE))-I12)&gt;0,"Short","")</f>
        <v/>
      </c>
      <c r="J10" s="282" t="str">
        <f>IF(((VLOOKUP($B3,'Diversion Data'!$B$3:$O$227,9,FALSE))-J12)&gt;0,"Short","")</f>
        <v/>
      </c>
      <c r="K10" s="282" t="str">
        <f>IF(((VLOOKUP($B3,'Diversion Data'!$B$3:$O$227,10,FALSE))-K12)&gt;0,"Short","")</f>
        <v/>
      </c>
      <c r="L10" s="282" t="str">
        <f>IF(((VLOOKUP($B3,'Diversion Data'!$B$3:$O$227,11,FALSE))-L12)&gt;0,"Short","")</f>
        <v/>
      </c>
      <c r="M10" s="282" t="str">
        <f>IF(((VLOOKUP($B3,'Diversion Data'!$B$3:$O$227,12,FALSE))-M12)&gt;0,"Short","")</f>
        <v/>
      </c>
      <c r="N10" s="282" t="str">
        <f>IF(((VLOOKUP($B3,'Diversion Data'!$B$3:$O$227,13,FALSE))-N12)&gt;0,"Short","")</f>
        <v/>
      </c>
      <c r="O10" s="283" t="str">
        <f>IF(((VLOOKUP($B3,'Diversion Data'!$B$3:$O$227,14,FALSE))-O12)&gt;0,"Short","")</f>
        <v/>
      </c>
    </row>
    <row r="11" spans="1:31" ht="14.25">
      <c r="A11" s="658"/>
      <c r="B11" s="14" t="s">
        <v>81</v>
      </c>
      <c r="C11" s="13" t="s">
        <v>181</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8">
        <f>VLOOKUP($B11,GainLoss!$B$19:$O$27,14,FALSE)</f>
        <v>0</v>
      </c>
    </row>
    <row r="12" spans="1:31" ht="14.25">
      <c r="A12" s="658"/>
      <c r="B12" s="14" t="str">
        <f>+B3 &amp;" Diversions"</f>
        <v>Node 5.00 Diversions</v>
      </c>
      <c r="C12" s="13"/>
      <c r="D12" s="54">
        <f>MIN(VLOOKUP($B3,'Diversion Data'!$B$3:$O$227,3,FALSE),(D9-D11))</f>
        <v>0</v>
      </c>
      <c r="E12" s="54">
        <f>MIN(VLOOKUP($B3,'Diversion Data'!$B$3:$O$227,4,FALSE),(E9-E11))</f>
        <v>0</v>
      </c>
      <c r="F12" s="54">
        <f>MIN(VLOOKUP($B3,'Diversion Data'!$B$3:$O$227,5,FALSE),(F9-F11))</f>
        <v>0</v>
      </c>
      <c r="G12" s="54">
        <f>MIN(VLOOKUP($B3,'Diversion Data'!$B$3:$O$227,6,FALSE),(G9-G11))</f>
        <v>0</v>
      </c>
      <c r="H12" s="54">
        <f>MIN(VLOOKUP($B3,'Diversion Data'!$B$3:$O$227,7,FALSE),(H9-H11))</f>
        <v>0</v>
      </c>
      <c r="I12" s="54">
        <f>MIN(VLOOKUP($B3,'Diversion Data'!$B$3:$O$227,8,FALSE),(I9-I11))</f>
        <v>0</v>
      </c>
      <c r="J12" s="54">
        <f>MIN(VLOOKUP($B3,'Diversion Data'!$B$3:$O$227,9,FALSE),(J9-J11))</f>
        <v>0</v>
      </c>
      <c r="K12" s="54">
        <f>MIN(VLOOKUP($B3,'Diversion Data'!$B$3:$O$227,10,FALSE),(K9-K11))</f>
        <v>0</v>
      </c>
      <c r="L12" s="54">
        <f>MIN(VLOOKUP($B3,'Diversion Data'!$B$3:$O$227,11,FALSE),(L9-L11))</f>
        <v>0</v>
      </c>
      <c r="M12" s="54">
        <f>MIN(VLOOKUP($B3,'Diversion Data'!$B$3:$O$227,12,FALSE),(M9-M11))</f>
        <v>0</v>
      </c>
      <c r="N12" s="54">
        <f>MIN(VLOOKUP($B3,'Diversion Data'!$B$3:$O$227,13,FALSE),(N9-N11))</f>
        <v>0</v>
      </c>
      <c r="O12" s="110">
        <f>MIN(VLOOKUP($B3,'Diversion Data'!$B$3:$O$227,14,FALSE),(O9-O11))</f>
        <v>0</v>
      </c>
    </row>
    <row r="13" spans="1:31" ht="15.75" thickBot="1">
      <c r="A13" s="658"/>
      <c r="B13" s="24" t="str">
        <f>"Total " &amp; (B3) &amp;" Outflow"</f>
        <v>Total Node 5.00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31" ht="15.75" thickBot="1">
      <c r="A14" s="658"/>
      <c r="B14" s="24" t="str">
        <f>(B3)&amp;" NET Flow (In - Out)"</f>
        <v>Node 5.00 NET Flow (In - Out)</v>
      </c>
      <c r="C14" s="23"/>
      <c r="D14" s="193">
        <f t="shared" ref="D14:O14" si="2">MAX(D9-D13,0)</f>
        <v>2432.2815786064011</v>
      </c>
      <c r="E14" s="193">
        <f t="shared" si="2"/>
        <v>2776.5945900602419</v>
      </c>
      <c r="F14" s="193">
        <f t="shared" si="2"/>
        <v>8389.0608944156811</v>
      </c>
      <c r="G14" s="193">
        <f t="shared" si="2"/>
        <v>12068.607173922544</v>
      </c>
      <c r="H14" s="193">
        <f t="shared" si="2"/>
        <v>27883.480994249869</v>
      </c>
      <c r="I14" s="193">
        <f t="shared" si="2"/>
        <v>15248.288526557655</v>
      </c>
      <c r="J14" s="193">
        <f t="shared" si="2"/>
        <v>3745.6990091837697</v>
      </c>
      <c r="K14" s="193">
        <f t="shared" si="2"/>
        <v>1985.2409028340758</v>
      </c>
      <c r="L14" s="193">
        <f t="shared" si="2"/>
        <v>1458.4148332869245</v>
      </c>
      <c r="M14" s="193">
        <f t="shared" si="2"/>
        <v>1939.9125056675823</v>
      </c>
      <c r="N14" s="193">
        <f t="shared" si="2"/>
        <v>2673.6268041904791</v>
      </c>
      <c r="O14" s="200">
        <f t="shared" si="2"/>
        <v>2383.8663127583577</v>
      </c>
    </row>
    <row r="16" spans="1:31" ht="15.75" thickBot="1">
      <c r="B16" s="108" t="s">
        <v>134</v>
      </c>
      <c r="C16" s="109" t="str">
        <f>VLOOKUP(B16,NodeList!$D$4:$E$121,2,FALSE)</f>
        <v>Chapman Canal</v>
      </c>
      <c r="D16" s="6"/>
      <c r="E16" s="6"/>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5.01 Node Inflow</v>
      </c>
      <c r="C18" s="13"/>
      <c r="D18" s="15">
        <f>+D14</f>
        <v>2432.2815786064011</v>
      </c>
      <c r="E18" s="15">
        <f t="shared" ref="E18:O18" si="3">+E14</f>
        <v>2776.5945900602419</v>
      </c>
      <c r="F18" s="15">
        <f t="shared" si="3"/>
        <v>8389.0608944156811</v>
      </c>
      <c r="G18" s="15">
        <f t="shared" si="3"/>
        <v>12068.607173922544</v>
      </c>
      <c r="H18" s="15">
        <f t="shared" si="3"/>
        <v>27883.480994249869</v>
      </c>
      <c r="I18" s="15">
        <f t="shared" si="3"/>
        <v>15248.288526557655</v>
      </c>
      <c r="J18" s="15">
        <f t="shared" si="3"/>
        <v>3745.6990091837697</v>
      </c>
      <c r="K18" s="15">
        <f t="shared" si="3"/>
        <v>1985.2409028340758</v>
      </c>
      <c r="L18" s="15">
        <f t="shared" si="3"/>
        <v>1458.4148332869245</v>
      </c>
      <c r="M18" s="15">
        <f t="shared" si="3"/>
        <v>1939.9125056675823</v>
      </c>
      <c r="N18" s="15">
        <f t="shared" si="3"/>
        <v>2673.6268041904791</v>
      </c>
      <c r="O18" s="16">
        <f t="shared" si="3"/>
        <v>2383.8663127583577</v>
      </c>
    </row>
    <row r="19" spans="2:15" ht="14.25">
      <c r="B19" s="14" t="str">
        <f>+B16 &amp;" Irrigation Returns"</f>
        <v>Node 5.01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335.47301479351705</v>
      </c>
      <c r="I19" s="54">
        <f>VLOOKUP(($B16),'Irrigation Returns'!$B$644:$P$930,9,FALSE)</f>
        <v>661.24881099823301</v>
      </c>
      <c r="J19" s="54">
        <f>VLOOKUP(($B16),'Irrigation Returns'!$B$644:$P$930,10,FALSE)</f>
        <v>666.47331138110803</v>
      </c>
      <c r="K19" s="54">
        <f>VLOOKUP(($B16),'Irrigation Returns'!$B$644:$P$930,11,FALSE)</f>
        <v>402.09812858186933</v>
      </c>
      <c r="L19" s="54">
        <f>VLOOKUP(($B16),'Irrigation Returns'!$B$644:$P$930,12,FALSE)</f>
        <v>207.44885918961822</v>
      </c>
      <c r="M19" s="54">
        <f>VLOOKUP(($B16),'Irrigation Returns'!$B$644:$P$930,13,FALSE)</f>
        <v>52.296596082436366</v>
      </c>
      <c r="N19" s="54">
        <f>VLOOKUP(($B16),'Irrigation Returns'!$B$644:$P$930,14,FALSE)</f>
        <v>12.523035889377272</v>
      </c>
      <c r="O19" s="110">
        <f>VLOOKUP(($B16),'Irrigation Returns'!$B$644:$P$930,15,FALSE)</f>
        <v>0</v>
      </c>
    </row>
    <row r="20" spans="2:15" ht="14.25">
      <c r="B20" s="14" t="s">
        <v>328</v>
      </c>
      <c r="C20" s="13" t="s">
        <v>180</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5.01 Import/Export</v>
      </c>
      <c r="C21" s="13"/>
      <c r="D21" s="190">
        <f>VLOOKUP($B16,ImportExport!$B$6:$O$68,3,FALSE)</f>
        <v>0</v>
      </c>
      <c r="E21" s="190">
        <f>VLOOKUP($B16,ImportExport!$B$6:$O$68,4,FALSE)</f>
        <v>0</v>
      </c>
      <c r="F21" s="190">
        <f>VLOOKUP($B16,ImportExport!$B$6:$O$68,5,FALSE)</f>
        <v>0</v>
      </c>
      <c r="G21" s="190">
        <f>VLOOKUP($B16,ImportExport!$B$6:$O$68,6,FALSE)</f>
        <v>0</v>
      </c>
      <c r="H21" s="190">
        <f>VLOOKUP($B16,ImportExport!$B$6:$O$68,7,FALSE)</f>
        <v>0</v>
      </c>
      <c r="I21" s="190">
        <f>VLOOKUP($B16,ImportExport!$B$6:$O$68,8,FALSE)</f>
        <v>0</v>
      </c>
      <c r="J21" s="190">
        <f>VLOOKUP($B16,ImportExport!$B$6:$O$68,9,FALSE)</f>
        <v>0</v>
      </c>
      <c r="K21" s="190">
        <f>VLOOKUP($B16,ImportExport!$B$6:$O$68,10,FALSE)</f>
        <v>0</v>
      </c>
      <c r="L21" s="190">
        <f>VLOOKUP($B16,ImportExport!$B$6:$O$68,11,FALSE)</f>
        <v>0</v>
      </c>
      <c r="M21" s="190">
        <f>VLOOKUP($B16,ImportExport!$B$6:$O$68,12,FALSE)</f>
        <v>0</v>
      </c>
      <c r="N21" s="190">
        <f>VLOOKUP($B16,ImportExport!$B$6:$O$68,13,FALSE)</f>
        <v>0</v>
      </c>
      <c r="O21" s="197">
        <f>VLOOKUP($B16,ImportExport!$B$6:$O$68,14,FALSE)</f>
        <v>0</v>
      </c>
    </row>
    <row r="22" spans="2:15" ht="15.75" thickBot="1">
      <c r="B22" s="18" t="str">
        <f>"Total "&amp; (B16)&amp;" Inflow"</f>
        <v>Total Node 5.01 Inflow</v>
      </c>
      <c r="C22" s="17"/>
      <c r="D22" s="25">
        <f>SUM(D18:D21)</f>
        <v>2432.2815786064011</v>
      </c>
      <c r="E22" s="25">
        <f t="shared" ref="E22:O22" si="4">SUM(E18:E21)</f>
        <v>2776.5945900602419</v>
      </c>
      <c r="F22" s="25">
        <f t="shared" si="4"/>
        <v>8389.0608944156811</v>
      </c>
      <c r="G22" s="25">
        <f t="shared" si="4"/>
        <v>12068.607173922544</v>
      </c>
      <c r="H22" s="25">
        <f t="shared" si="4"/>
        <v>28218.954009043387</v>
      </c>
      <c r="I22" s="25">
        <f t="shared" si="4"/>
        <v>15909.537337555888</v>
      </c>
      <c r="J22" s="25">
        <f t="shared" si="4"/>
        <v>4412.1723205648777</v>
      </c>
      <c r="K22" s="25">
        <f t="shared" si="4"/>
        <v>2387.3390314159451</v>
      </c>
      <c r="L22" s="25">
        <f t="shared" si="4"/>
        <v>1665.8636924765426</v>
      </c>
      <c r="M22" s="25">
        <f t="shared" si="4"/>
        <v>1992.2091017500186</v>
      </c>
      <c r="N22" s="25">
        <f t="shared" si="4"/>
        <v>2686.1498400798564</v>
      </c>
      <c r="O22" s="26">
        <f t="shared" si="4"/>
        <v>2383.8663127583577</v>
      </c>
    </row>
    <row r="23" spans="2:15" ht="15">
      <c r="B23" s="19" t="s">
        <v>17</v>
      </c>
      <c r="C23" s="20"/>
      <c r="D23" s="282" t="str">
        <f>IF(((VLOOKUP($B16,'Diversion Data'!$B$3:$O$227,3,FALSE))-D25)&gt;0,"Short","")</f>
        <v/>
      </c>
      <c r="E23" s="282" t="str">
        <f>IF(((VLOOKUP($B16,'Diversion Data'!$B$3:$O$227,4,FALSE))-E25)&gt;0,"Short","")</f>
        <v/>
      </c>
      <c r="F23" s="282" t="str">
        <f>IF(((VLOOKUP($B16,'Diversion Data'!$B$3:$O$227,5,FALSE))-F25)&gt;0,"Short","")</f>
        <v/>
      </c>
      <c r="G23" s="282" t="str">
        <f>IF(((VLOOKUP($B16,'Diversion Data'!$B$3:$O$227,6,FALSE))-G25)&gt;0,"Short","")</f>
        <v/>
      </c>
      <c r="H23" s="282" t="str">
        <f>IF(((VLOOKUP($B16,'Diversion Data'!$B$3:$O$227,7,FALSE))-H25)&gt;0,"Short","")</f>
        <v/>
      </c>
      <c r="I23" s="282" t="str">
        <f>IF(((VLOOKUP($B16,'Diversion Data'!$B$3:$O$227,8,FALSE))-I25)&gt;0,"Short","")</f>
        <v/>
      </c>
      <c r="J23" s="282" t="str">
        <f>IF(((VLOOKUP($B16,'Diversion Data'!$B$3:$O$227,9,FALSE))-J25)&gt;0,"Short","")</f>
        <v/>
      </c>
      <c r="K23" s="282" t="str">
        <f>IF(((VLOOKUP($B16,'Diversion Data'!$B$3:$O$227,10,FALSE))-K25)&gt;0,"Short","")</f>
        <v/>
      </c>
      <c r="L23" s="282" t="str">
        <f>IF(((VLOOKUP($B16,'Diversion Data'!$B$3:$O$227,11,FALSE))-L25)&gt;0,"Short","")</f>
        <v/>
      </c>
      <c r="M23" s="282" t="str">
        <f>IF(((VLOOKUP($B16,'Diversion Data'!$B$3:$O$227,12,FALSE))-M25)&gt;0,"Short","")</f>
        <v/>
      </c>
      <c r="N23" s="282" t="str">
        <f>IF(((VLOOKUP($B16,'Diversion Data'!$B$3:$O$227,13,FALSE))-N25)&gt;0,"Short","")</f>
        <v/>
      </c>
      <c r="O23" s="283" t="str">
        <f>IF(((VLOOKUP($B16,'Diversion Data'!$B$3:$O$227,14,FALSE))-O25)&gt;0,"Short","")</f>
        <v/>
      </c>
    </row>
    <row r="24" spans="2:15" ht="14.25">
      <c r="B24" s="14" t="s">
        <v>81</v>
      </c>
      <c r="C24" s="13" t="s">
        <v>181</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8">
        <f>VLOOKUP($B24,GainLoss!$B$19:$O$27,14,FALSE)</f>
        <v>0</v>
      </c>
    </row>
    <row r="25" spans="2:15" ht="14.25">
      <c r="B25" s="14" t="str">
        <f>+B16 &amp;" Diversions"</f>
        <v>Node 5.01 Diversions</v>
      </c>
      <c r="C25" s="13"/>
      <c r="D25" s="54">
        <f>MIN(VLOOKUP($B16,'Diversion Data'!$B$3:$O$227,3,FALSE),(D22-D24))</f>
        <v>0</v>
      </c>
      <c r="E25" s="54">
        <f>MIN(VLOOKUP($B16,'Diversion Data'!$B$3:$O$227,4,FALSE),(E22-E24))</f>
        <v>0</v>
      </c>
      <c r="F25" s="54">
        <f>MIN(VLOOKUP($B16,'Diversion Data'!$B$3:$O$227,5,FALSE),(F22-F24))</f>
        <v>0</v>
      </c>
      <c r="G25" s="54">
        <f>MIN(VLOOKUP($B16,'Diversion Data'!$B$3:$O$227,6,FALSE),(G22-G24))</f>
        <v>0</v>
      </c>
      <c r="H25" s="54">
        <f>MIN(VLOOKUP($B16,'Diversion Data'!$B$3:$O$227,7,FALSE),(H22-H24))</f>
        <v>3022.4831058057848</v>
      </c>
      <c r="I25" s="54">
        <f>MIN(VLOOKUP($B16,'Diversion Data'!$B$3:$O$227,8,FALSE),(I22-I24))</f>
        <v>2823.6777423558883</v>
      </c>
      <c r="J25" s="54">
        <f>MIN(VLOOKUP($B16,'Diversion Data'!$B$3:$O$227,9,FALSE),(J22-J24))</f>
        <v>1468.0009072193698</v>
      </c>
      <c r="K25" s="54">
        <f>MIN(VLOOKUP($B16,'Diversion Data'!$B$3:$O$227,10,FALSE),(K22-K24))</f>
        <v>392.50756632489669</v>
      </c>
      <c r="L25" s="54">
        <f>MIN(VLOOKUP($B16,'Diversion Data'!$B$3:$O$227,11,FALSE),(L22-L24))</f>
        <v>338.32462634462809</v>
      </c>
      <c r="M25" s="54">
        <f>MIN(VLOOKUP($B16,'Diversion Data'!$B$3:$O$227,12,FALSE),(M22-M24))</f>
        <v>0</v>
      </c>
      <c r="N25" s="54">
        <f>MIN(VLOOKUP($B16,'Diversion Data'!$B$3:$O$227,13,FALSE),(N22-N24))</f>
        <v>0</v>
      </c>
      <c r="O25" s="110">
        <f>MIN(VLOOKUP($B16,'Diversion Data'!$B$3:$O$227,14,FALSE),(O22-O24))</f>
        <v>0</v>
      </c>
    </row>
    <row r="26" spans="2:15" ht="15.75" thickBot="1">
      <c r="B26" s="24" t="str">
        <f>"Total " &amp; (B16) &amp;" Outflow"</f>
        <v>Total Node 5.01 Outflow</v>
      </c>
      <c r="C26" s="23"/>
      <c r="D26" s="27">
        <f>SUM(D24:D25)</f>
        <v>0</v>
      </c>
      <c r="E26" s="27">
        <f t="shared" ref="E26:O26" si="5">SUM(E24:E25)</f>
        <v>0</v>
      </c>
      <c r="F26" s="27">
        <f t="shared" si="5"/>
        <v>0</v>
      </c>
      <c r="G26" s="27">
        <f t="shared" si="5"/>
        <v>0</v>
      </c>
      <c r="H26" s="27">
        <f t="shared" si="5"/>
        <v>3022.4831058057848</v>
      </c>
      <c r="I26" s="27">
        <f t="shared" si="5"/>
        <v>2823.6777423558883</v>
      </c>
      <c r="J26" s="27">
        <f t="shared" si="5"/>
        <v>1468.0009072193698</v>
      </c>
      <c r="K26" s="27">
        <f t="shared" si="5"/>
        <v>392.50756632489669</v>
      </c>
      <c r="L26" s="27">
        <f t="shared" si="5"/>
        <v>338.32462634462809</v>
      </c>
      <c r="M26" s="27">
        <f t="shared" si="5"/>
        <v>0</v>
      </c>
      <c r="N26" s="27">
        <f t="shared" si="5"/>
        <v>0</v>
      </c>
      <c r="O26" s="28">
        <f t="shared" si="5"/>
        <v>0</v>
      </c>
    </row>
    <row r="27" spans="2:15" ht="15.75" thickBot="1">
      <c r="B27" s="24" t="str">
        <f>(B16)&amp;" NET Flow (In - Out)"</f>
        <v>Node 5.01 NET Flow (In - Out)</v>
      </c>
      <c r="C27" s="23"/>
      <c r="D27" s="193">
        <f t="shared" ref="D27:O27" si="6">MAX(D22-D26,0)</f>
        <v>2432.2815786064011</v>
      </c>
      <c r="E27" s="193">
        <f t="shared" si="6"/>
        <v>2776.5945900602419</v>
      </c>
      <c r="F27" s="193">
        <f t="shared" si="6"/>
        <v>8389.0608944156811</v>
      </c>
      <c r="G27" s="193">
        <f t="shared" si="6"/>
        <v>12068.607173922544</v>
      </c>
      <c r="H27" s="193">
        <f t="shared" si="6"/>
        <v>25196.470903237601</v>
      </c>
      <c r="I27" s="193">
        <f t="shared" si="6"/>
        <v>13085.8595952</v>
      </c>
      <c r="J27" s="193">
        <f t="shared" si="6"/>
        <v>2944.171413345508</v>
      </c>
      <c r="K27" s="193">
        <f t="shared" si="6"/>
        <v>1994.8314650910484</v>
      </c>
      <c r="L27" s="193">
        <f t="shared" si="6"/>
        <v>1327.5390661319145</v>
      </c>
      <c r="M27" s="193">
        <f t="shared" si="6"/>
        <v>1992.2091017500186</v>
      </c>
      <c r="N27" s="193">
        <f t="shared" si="6"/>
        <v>2686.1498400798564</v>
      </c>
      <c r="O27" s="200">
        <f t="shared" si="6"/>
        <v>2383.8663127583577</v>
      </c>
    </row>
    <row r="29" spans="2:15" ht="15.75" thickBot="1">
      <c r="B29" s="108" t="s">
        <v>143</v>
      </c>
      <c r="C29" s="109" t="str">
        <f>VLOOKUP(B29,NodeList!$D$4:$E$121,2,FALSE)</f>
        <v>Morris Bros (Lower)</v>
      </c>
      <c r="D29" s="6"/>
      <c r="E29" s="6"/>
      <c r="F29" s="6"/>
      <c r="G29" s="6"/>
      <c r="H29" s="7"/>
      <c r="I29" s="7"/>
      <c r="J29" s="7"/>
      <c r="K29" s="7"/>
      <c r="L29" s="7"/>
      <c r="M29" s="7"/>
      <c r="N29" s="7"/>
      <c r="O29" s="7"/>
    </row>
    <row r="30" spans="2:15" ht="15">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2:15" ht="14.25">
      <c r="B31" s="14" t="str">
        <f>+B29 &amp;" Node Inflow"</f>
        <v>Node 5.02 Node Inflow</v>
      </c>
      <c r="C31" s="13"/>
      <c r="D31" s="15">
        <f>+D27</f>
        <v>2432.2815786064011</v>
      </c>
      <c r="E31" s="15">
        <f t="shared" ref="E31:O31" si="7">+E27</f>
        <v>2776.5945900602419</v>
      </c>
      <c r="F31" s="15">
        <f t="shared" si="7"/>
        <v>8389.0608944156811</v>
      </c>
      <c r="G31" s="15">
        <f t="shared" si="7"/>
        <v>12068.607173922544</v>
      </c>
      <c r="H31" s="15">
        <f t="shared" si="7"/>
        <v>25196.470903237601</v>
      </c>
      <c r="I31" s="15">
        <f t="shared" si="7"/>
        <v>13085.8595952</v>
      </c>
      <c r="J31" s="15">
        <f t="shared" si="7"/>
        <v>2944.171413345508</v>
      </c>
      <c r="K31" s="15">
        <f t="shared" si="7"/>
        <v>1994.8314650910484</v>
      </c>
      <c r="L31" s="15">
        <f t="shared" si="7"/>
        <v>1327.5390661319145</v>
      </c>
      <c r="M31" s="15">
        <f t="shared" si="7"/>
        <v>1992.2091017500186</v>
      </c>
      <c r="N31" s="15">
        <f t="shared" si="7"/>
        <v>2686.1498400798564</v>
      </c>
      <c r="O31" s="16">
        <f t="shared" si="7"/>
        <v>2383.8663127583577</v>
      </c>
    </row>
    <row r="32" spans="2:15" ht="14.25">
      <c r="B32" s="14" t="str">
        <f>+B29 &amp;" Irrigation Returns"</f>
        <v>Node 5.02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0</v>
      </c>
      <c r="I32" s="54">
        <f>VLOOKUP(($B29),'Irrigation Returns'!$B$644:$P$930,9,FALSE)</f>
        <v>0</v>
      </c>
      <c r="J32" s="54">
        <f>VLOOKUP(($B29),'Irrigation Returns'!$B$644:$P$930,10,FALSE)</f>
        <v>0</v>
      </c>
      <c r="K32" s="54">
        <f>VLOOKUP(($B29),'Irrigation Returns'!$B$644:$P$930,11,FALSE)</f>
        <v>0</v>
      </c>
      <c r="L32" s="54">
        <f>VLOOKUP(($B29),'Irrigation Returns'!$B$644:$P$930,12,FALSE)</f>
        <v>0</v>
      </c>
      <c r="M32" s="54">
        <f>VLOOKUP(($B29),'Irrigation Returns'!$B$644:$P$930,13,FALSE)</f>
        <v>0</v>
      </c>
      <c r="N32" s="54">
        <f>VLOOKUP(($B29),'Irrigation Returns'!$B$644:$P$930,14,FALSE)</f>
        <v>0</v>
      </c>
      <c r="O32" s="110">
        <f>VLOOKUP(($B29),'Irrigation Returns'!$B$644:$P$930,15,FALSE)</f>
        <v>0</v>
      </c>
    </row>
    <row r="33" spans="2:15" ht="14.25">
      <c r="B33" s="14" t="s">
        <v>328</v>
      </c>
      <c r="C33" s="13" t="s">
        <v>180</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2:15" ht="14.25">
      <c r="B34" s="14" t="str">
        <f>+B29 &amp;" Import/Export"</f>
        <v>Node 5.02 Import/Export</v>
      </c>
      <c r="C34" s="13"/>
      <c r="D34" s="190">
        <f>VLOOKUP($B29,ImportExport!$B$6:$O$68,3,FALSE)</f>
        <v>0</v>
      </c>
      <c r="E34" s="190">
        <f>VLOOKUP($B29,ImportExport!$B$6:$O$68,4,FALSE)</f>
        <v>0</v>
      </c>
      <c r="F34" s="190">
        <f>VLOOKUP($B29,ImportExport!$B$6:$O$68,5,FALSE)</f>
        <v>0</v>
      </c>
      <c r="G34" s="190">
        <f>VLOOKUP($B29,ImportExport!$B$6:$O$68,6,FALSE)</f>
        <v>0</v>
      </c>
      <c r="H34" s="190">
        <f>VLOOKUP($B29,ImportExport!$B$6:$O$68,7,FALSE)</f>
        <v>0</v>
      </c>
      <c r="I34" s="190">
        <f>VLOOKUP($B29,ImportExport!$B$6:$O$68,8,FALSE)</f>
        <v>0</v>
      </c>
      <c r="J34" s="190">
        <f>VLOOKUP($B29,ImportExport!$B$6:$O$68,9,FALSE)</f>
        <v>0</v>
      </c>
      <c r="K34" s="190">
        <f>VLOOKUP($B29,ImportExport!$B$6:$O$68,10,FALSE)</f>
        <v>0</v>
      </c>
      <c r="L34" s="190">
        <f>VLOOKUP($B29,ImportExport!$B$6:$O$68,11,FALSE)</f>
        <v>0</v>
      </c>
      <c r="M34" s="190">
        <f>VLOOKUP($B29,ImportExport!$B$6:$O$68,12,FALSE)</f>
        <v>0</v>
      </c>
      <c r="N34" s="190">
        <f>VLOOKUP($B29,ImportExport!$B$6:$O$68,13,FALSE)</f>
        <v>0</v>
      </c>
      <c r="O34" s="197">
        <f>VLOOKUP($B29,ImportExport!$B$6:$O$68,14,FALSE)</f>
        <v>0</v>
      </c>
    </row>
    <row r="35" spans="2:15" ht="15.75" thickBot="1">
      <c r="B35" s="18" t="str">
        <f>"Total "&amp; (B29)&amp;" Inflow"</f>
        <v>Total Node 5.02 Inflow</v>
      </c>
      <c r="C35" s="17"/>
      <c r="D35" s="25">
        <f>SUM(D31:D34)</f>
        <v>2432.2815786064011</v>
      </c>
      <c r="E35" s="25">
        <f t="shared" ref="E35:O35" si="8">SUM(E31:E34)</f>
        <v>2776.5945900602419</v>
      </c>
      <c r="F35" s="25">
        <f t="shared" si="8"/>
        <v>8389.0608944156811</v>
      </c>
      <c r="G35" s="25">
        <f t="shared" si="8"/>
        <v>12068.607173922544</v>
      </c>
      <c r="H35" s="25">
        <f t="shared" si="8"/>
        <v>25196.470903237601</v>
      </c>
      <c r="I35" s="25">
        <f t="shared" si="8"/>
        <v>13085.8595952</v>
      </c>
      <c r="J35" s="25">
        <f t="shared" si="8"/>
        <v>2944.171413345508</v>
      </c>
      <c r="K35" s="25">
        <f t="shared" si="8"/>
        <v>1994.8314650910484</v>
      </c>
      <c r="L35" s="25">
        <f t="shared" si="8"/>
        <v>1327.5390661319145</v>
      </c>
      <c r="M35" s="25">
        <f t="shared" si="8"/>
        <v>1992.2091017500186</v>
      </c>
      <c r="N35" s="25">
        <f t="shared" si="8"/>
        <v>2686.1498400798564</v>
      </c>
      <c r="O35" s="26">
        <f t="shared" si="8"/>
        <v>2383.8663127583577</v>
      </c>
    </row>
    <row r="36" spans="2:15" ht="15">
      <c r="B36" s="19" t="s">
        <v>17</v>
      </c>
      <c r="C36" s="20"/>
      <c r="D36" s="282" t="str">
        <f>IF(((VLOOKUP($B29,'Diversion Data'!$B$3:$O$227,3,FALSE))-D38)&gt;0,"Short","")</f>
        <v/>
      </c>
      <c r="E36" s="282" t="str">
        <f>IF(((VLOOKUP($B29,'Diversion Data'!$B$3:$O$227,4,FALSE))-E38)&gt;0,"Short","")</f>
        <v/>
      </c>
      <c r="F36" s="282" t="str">
        <f>IF(((VLOOKUP($B29,'Diversion Data'!$B$3:$O$227,5,FALSE))-F38)&gt;0,"Short","")</f>
        <v/>
      </c>
      <c r="G36" s="282" t="str">
        <f>IF(((VLOOKUP($B29,'Diversion Data'!$B$3:$O$227,6,FALSE))-G38)&gt;0,"Short","")</f>
        <v/>
      </c>
      <c r="H36" s="282" t="str">
        <f>IF(((VLOOKUP($B29,'Diversion Data'!$B$3:$O$227,7,FALSE))-H38)&gt;0,"Short","")</f>
        <v/>
      </c>
      <c r="I36" s="282" t="str">
        <f>IF(((VLOOKUP($B29,'Diversion Data'!$B$3:$O$227,8,FALSE))-I38)&gt;0,"Short","")</f>
        <v/>
      </c>
      <c r="J36" s="282" t="str">
        <f>IF(((VLOOKUP($B29,'Diversion Data'!$B$3:$O$227,9,FALSE))-J38)&gt;0,"Short","")</f>
        <v/>
      </c>
      <c r="K36" s="282" t="str">
        <f>IF(((VLOOKUP($B29,'Diversion Data'!$B$3:$O$227,10,FALSE))-K38)&gt;0,"Short","")</f>
        <v/>
      </c>
      <c r="L36" s="282" t="str">
        <f>IF(((VLOOKUP($B29,'Diversion Data'!$B$3:$O$227,11,FALSE))-L38)&gt;0,"Short","")</f>
        <v/>
      </c>
      <c r="M36" s="282" t="str">
        <f>IF(((VLOOKUP($B29,'Diversion Data'!$B$3:$O$227,12,FALSE))-M38)&gt;0,"Short","")</f>
        <v/>
      </c>
      <c r="N36" s="282" t="str">
        <f>IF(((VLOOKUP($B29,'Diversion Data'!$B$3:$O$227,13,FALSE))-N38)&gt;0,"Short","")</f>
        <v/>
      </c>
      <c r="O36" s="283" t="str">
        <f>IF(((VLOOKUP($B29,'Diversion Data'!$B$3:$O$227,14,FALSE))-O38)&gt;0,"Short","")</f>
        <v/>
      </c>
    </row>
    <row r="37" spans="2:15" ht="14.25">
      <c r="B37" s="14" t="s">
        <v>81</v>
      </c>
      <c r="C37" s="13" t="s">
        <v>181</v>
      </c>
      <c r="D37" s="171">
        <f>VLOOKUP($B37,GainLoss!$B$19:$O$27,3,FALSE)</f>
        <v>0</v>
      </c>
      <c r="E37" s="171">
        <f>VLOOKUP($B37,GainLoss!$B$19:$O$27,4,FALSE)</f>
        <v>0</v>
      </c>
      <c r="F37" s="171">
        <f>VLOOKUP($B37,GainLoss!$B$19:$O$27,5,FALSE)</f>
        <v>0</v>
      </c>
      <c r="G37" s="171">
        <f>VLOOKUP($B37,GainLoss!$B$19:$O$27,6,FALSE)</f>
        <v>0</v>
      </c>
      <c r="H37" s="171">
        <f>VLOOKUP($B37,GainLoss!$B$19:$O$27,7,FALSE)</f>
        <v>0</v>
      </c>
      <c r="I37" s="171">
        <f>VLOOKUP($B37,GainLoss!$B$19:$O$27,8,FALSE)</f>
        <v>0</v>
      </c>
      <c r="J37" s="171">
        <f>VLOOKUP($B37,GainLoss!$B$19:$O$27,9,FALSE)</f>
        <v>0</v>
      </c>
      <c r="K37" s="171">
        <f>VLOOKUP($B37,GainLoss!$B$19:$O$27,10,FALSE)</f>
        <v>0</v>
      </c>
      <c r="L37" s="171">
        <f>VLOOKUP($B37,GainLoss!$B$19:$O$27,11,FALSE)</f>
        <v>0</v>
      </c>
      <c r="M37" s="171">
        <f>VLOOKUP($B37,GainLoss!$B$19:$O$27,12,FALSE)</f>
        <v>0</v>
      </c>
      <c r="N37" s="171">
        <f>VLOOKUP($B37,GainLoss!$B$19:$O$27,13,FALSE)</f>
        <v>0</v>
      </c>
      <c r="O37" s="198">
        <f>VLOOKUP($B37,GainLoss!$B$19:$O$27,14,FALSE)</f>
        <v>0</v>
      </c>
    </row>
    <row r="38" spans="2:15" ht="14.25">
      <c r="B38" s="14" t="str">
        <f>+B29 &amp;" Diversions"</f>
        <v>Node 5.02 Diversions</v>
      </c>
      <c r="C38" s="13"/>
      <c r="D38" s="54">
        <f>MIN(VLOOKUP($B29,'Diversion Data'!$B$3:$O$227,3,FALSE),(D35-D37))</f>
        <v>0</v>
      </c>
      <c r="E38" s="54">
        <f>MIN(VLOOKUP($B29,'Diversion Data'!$B$3:$O$227,4,FALSE),(E35-E37))</f>
        <v>0</v>
      </c>
      <c r="F38" s="54">
        <f>MIN(VLOOKUP($B29,'Diversion Data'!$B$3:$O$227,5,FALSE),(F35-F37))</f>
        <v>0</v>
      </c>
      <c r="G38" s="54">
        <f>MIN(VLOOKUP($B29,'Diversion Data'!$B$3:$O$227,6,FALSE),(G35-G37))</f>
        <v>0</v>
      </c>
      <c r="H38" s="54">
        <f>MIN(VLOOKUP($B29,'Diversion Data'!$B$3:$O$227,7,FALSE),(H35-H37))</f>
        <v>228.96947415764464</v>
      </c>
      <c r="I38" s="54">
        <f>MIN(VLOOKUP($B29,'Diversion Data'!$B$3:$O$227,8,FALSE),(I35-I37))</f>
        <v>194.68043899989669</v>
      </c>
      <c r="J38" s="54">
        <f>MIN(VLOOKUP($B29,'Diversion Data'!$B$3:$O$227,9,FALSE),(J35-J37))</f>
        <v>139.33644637613637</v>
      </c>
      <c r="K38" s="54">
        <f>MIN(VLOOKUP($B29,'Diversion Data'!$B$3:$O$227,10,FALSE),(K35-K37))</f>
        <v>48.576813437086784</v>
      </c>
      <c r="L38" s="54">
        <f>MIN(VLOOKUP($B29,'Diversion Data'!$B$3:$O$227,11,FALSE),(L35-L37))</f>
        <v>75.333951538429744</v>
      </c>
      <c r="M38" s="54">
        <f>MIN(VLOOKUP($B29,'Diversion Data'!$B$3:$O$227,12,FALSE),(M35-M37))</f>
        <v>0</v>
      </c>
      <c r="N38" s="54">
        <f>MIN(VLOOKUP($B29,'Diversion Data'!$B$3:$O$227,13,FALSE),(N35-N37))</f>
        <v>0</v>
      </c>
      <c r="O38" s="110">
        <f>MIN(VLOOKUP($B29,'Diversion Data'!$B$3:$O$227,14,FALSE),(O35-O37))</f>
        <v>0</v>
      </c>
    </row>
    <row r="39" spans="2:15" ht="15.75" thickBot="1">
      <c r="B39" s="24" t="str">
        <f>"Total " &amp; (B29) &amp;" Outflow"</f>
        <v>Total Node 5.02 Outflow</v>
      </c>
      <c r="C39" s="23"/>
      <c r="D39" s="27">
        <f>SUM(D37:D38)</f>
        <v>0</v>
      </c>
      <c r="E39" s="27">
        <f t="shared" ref="E39:O39" si="9">SUM(E37:E38)</f>
        <v>0</v>
      </c>
      <c r="F39" s="27">
        <f t="shared" si="9"/>
        <v>0</v>
      </c>
      <c r="G39" s="27">
        <f t="shared" si="9"/>
        <v>0</v>
      </c>
      <c r="H39" s="27">
        <f t="shared" si="9"/>
        <v>228.96947415764464</v>
      </c>
      <c r="I39" s="27">
        <f t="shared" si="9"/>
        <v>194.68043899989669</v>
      </c>
      <c r="J39" s="27">
        <f t="shared" si="9"/>
        <v>139.33644637613637</v>
      </c>
      <c r="K39" s="27">
        <f t="shared" si="9"/>
        <v>48.576813437086784</v>
      </c>
      <c r="L39" s="27">
        <f t="shared" si="9"/>
        <v>75.333951538429744</v>
      </c>
      <c r="M39" s="27">
        <f t="shared" si="9"/>
        <v>0</v>
      </c>
      <c r="N39" s="27">
        <f t="shared" si="9"/>
        <v>0</v>
      </c>
      <c r="O39" s="28">
        <f t="shared" si="9"/>
        <v>0</v>
      </c>
    </row>
    <row r="40" spans="2:15" ht="15.75" thickBot="1">
      <c r="B40" s="24" t="str">
        <f>(B29)&amp;" NET Flow (In - Out)"</f>
        <v>Node 5.02 NET Flow (In - Out)</v>
      </c>
      <c r="C40" s="23"/>
      <c r="D40" s="193">
        <f t="shared" ref="D40:O40" si="10">MAX(D35-D39,0)</f>
        <v>2432.2815786064011</v>
      </c>
      <c r="E40" s="193">
        <f t="shared" si="10"/>
        <v>2776.5945900602419</v>
      </c>
      <c r="F40" s="193">
        <f t="shared" si="10"/>
        <v>8389.0608944156811</v>
      </c>
      <c r="G40" s="193">
        <f t="shared" si="10"/>
        <v>12068.607173922544</v>
      </c>
      <c r="H40" s="193">
        <f t="shared" si="10"/>
        <v>24967.501429079955</v>
      </c>
      <c r="I40" s="193">
        <f t="shared" si="10"/>
        <v>12891.179156200104</v>
      </c>
      <c r="J40" s="193">
        <f t="shared" si="10"/>
        <v>2804.8349669693716</v>
      </c>
      <c r="K40" s="193">
        <f t="shared" si="10"/>
        <v>1946.2546516539617</v>
      </c>
      <c r="L40" s="193">
        <f t="shared" si="10"/>
        <v>1252.2051145934847</v>
      </c>
      <c r="M40" s="193">
        <f t="shared" si="10"/>
        <v>1992.2091017500186</v>
      </c>
      <c r="N40" s="193">
        <f t="shared" si="10"/>
        <v>2686.1498400798564</v>
      </c>
      <c r="O40" s="200">
        <f t="shared" si="10"/>
        <v>2383.8663127583577</v>
      </c>
    </row>
    <row r="42" spans="2:15" ht="15.75" thickBot="1">
      <c r="B42" s="108" t="s">
        <v>155</v>
      </c>
      <c r="C42" s="109" t="str">
        <f>VLOOKUP(B42,NodeList!$D$4:$E$121,2,FALSE)</f>
        <v>AggDiv BR-3</v>
      </c>
      <c r="D42" s="6"/>
      <c r="E42" s="6"/>
      <c r="F42" s="6"/>
      <c r="G42" s="6"/>
      <c r="H42" s="7"/>
      <c r="I42" s="7"/>
      <c r="J42" s="7"/>
      <c r="K42" s="7"/>
      <c r="L42" s="7"/>
      <c r="M42" s="7"/>
      <c r="N42" s="7"/>
      <c r="O42" s="7"/>
    </row>
    <row r="43" spans="2:15" ht="15">
      <c r="B43" s="9" t="s">
        <v>16</v>
      </c>
      <c r="C43" s="10"/>
      <c r="D43" s="11" t="s">
        <v>0</v>
      </c>
      <c r="E43" s="11" t="s">
        <v>1</v>
      </c>
      <c r="F43" s="11" t="s">
        <v>2</v>
      </c>
      <c r="G43" s="11" t="s">
        <v>3</v>
      </c>
      <c r="H43" s="11" t="s">
        <v>4</v>
      </c>
      <c r="I43" s="11" t="s">
        <v>5</v>
      </c>
      <c r="J43" s="11" t="s">
        <v>6</v>
      </c>
      <c r="K43" s="11" t="s">
        <v>7</v>
      </c>
      <c r="L43" s="11" t="s">
        <v>8</v>
      </c>
      <c r="M43" s="11" t="s">
        <v>9</v>
      </c>
      <c r="N43" s="11" t="s">
        <v>10</v>
      </c>
      <c r="O43" s="12" t="s">
        <v>11</v>
      </c>
    </row>
    <row r="44" spans="2:15" ht="14.25">
      <c r="B44" s="14" t="str">
        <f>+B42 &amp;" Node Inflow"</f>
        <v>Node 5.03 Node Inflow</v>
      </c>
      <c r="C44" s="13"/>
      <c r="D44" s="15">
        <f>+D40</f>
        <v>2432.2815786064011</v>
      </c>
      <c r="E44" s="15">
        <f t="shared" ref="E44:O44" si="11">+E40</f>
        <v>2776.5945900602419</v>
      </c>
      <c r="F44" s="15">
        <f t="shared" si="11"/>
        <v>8389.0608944156811</v>
      </c>
      <c r="G44" s="15">
        <f t="shared" si="11"/>
        <v>12068.607173922544</v>
      </c>
      <c r="H44" s="15">
        <f t="shared" si="11"/>
        <v>24967.501429079955</v>
      </c>
      <c r="I44" s="15">
        <f t="shared" si="11"/>
        <v>12891.179156200104</v>
      </c>
      <c r="J44" s="15">
        <f t="shared" si="11"/>
        <v>2804.8349669693716</v>
      </c>
      <c r="K44" s="15">
        <f t="shared" si="11"/>
        <v>1946.2546516539617</v>
      </c>
      <c r="L44" s="15">
        <f t="shared" si="11"/>
        <v>1252.2051145934847</v>
      </c>
      <c r="M44" s="15">
        <f t="shared" si="11"/>
        <v>1992.2091017500186</v>
      </c>
      <c r="N44" s="15">
        <f t="shared" si="11"/>
        <v>2686.1498400798564</v>
      </c>
      <c r="O44" s="16">
        <f t="shared" si="11"/>
        <v>2383.8663127583577</v>
      </c>
    </row>
    <row r="45" spans="2:15" ht="14.25">
      <c r="B45" s="14" t="str">
        <f>+B42 &amp;" Irrigation Returns"</f>
        <v>Node 5.03 Irrigation Returns</v>
      </c>
      <c r="C45" s="13"/>
      <c r="D45" s="54">
        <f>VLOOKUP(($B42),'Irrigation Returns'!$B$644:$P$930,4,FALSE)</f>
        <v>0</v>
      </c>
      <c r="E45" s="54">
        <f>VLOOKUP(($B42),'Irrigation Returns'!$B$644:$P$930,5,FALSE)</f>
        <v>0</v>
      </c>
      <c r="F45" s="54">
        <f>VLOOKUP(($B42),'Irrigation Returns'!$B$644:$P$930,6,FALSE)</f>
        <v>0</v>
      </c>
      <c r="G45" s="54">
        <f>VLOOKUP(($B42),'Irrigation Returns'!$B$644:$P$930,7,FALSE)</f>
        <v>0</v>
      </c>
      <c r="H45" s="54">
        <f>VLOOKUP(($B42),'Irrigation Returns'!$B$644:$P$930,8,FALSE)</f>
        <v>1575.2623643935433</v>
      </c>
      <c r="I45" s="54">
        <f>VLOOKUP(($B42),'Irrigation Returns'!$B$644:$P$930,9,FALSE)</f>
        <v>1919.139338600743</v>
      </c>
      <c r="J45" s="54">
        <f>VLOOKUP(($B42),'Irrigation Returns'!$B$644:$P$930,10,FALSE)</f>
        <v>1413.6454418512556</v>
      </c>
      <c r="K45" s="54">
        <f>VLOOKUP(($B42),'Irrigation Returns'!$B$644:$P$930,11,FALSE)</f>
        <v>636.64508173361617</v>
      </c>
      <c r="L45" s="54">
        <f>VLOOKUP(($B42),'Irrigation Returns'!$B$644:$P$930,12,FALSE)</f>
        <v>352.01954746572477</v>
      </c>
      <c r="M45" s="54">
        <f>VLOOKUP(($B42),'Irrigation Returns'!$B$644:$P$930,13,FALSE)</f>
        <v>81.873946345100933</v>
      </c>
      <c r="N45" s="54">
        <f>VLOOKUP(($B42),'Irrigation Returns'!$B$644:$P$930,14,FALSE)</f>
        <v>26.144109592695703</v>
      </c>
      <c r="O45" s="110">
        <f>VLOOKUP(($B42),'Irrigation Returns'!$B$644:$P$930,15,FALSE)</f>
        <v>0</v>
      </c>
    </row>
    <row r="46" spans="2:15" ht="14.25">
      <c r="B46" s="14" t="s">
        <v>328</v>
      </c>
      <c r="C46" s="13" t="s">
        <v>180</v>
      </c>
      <c r="D46" s="54">
        <f>VLOOKUP($B46,GainLoss!$B$5:$O$14,3,FALSE)</f>
        <v>0</v>
      </c>
      <c r="E46" s="54">
        <f>VLOOKUP($B46,GainLoss!$B$5:$O$14,4,FALSE)</f>
        <v>0</v>
      </c>
      <c r="F46" s="54">
        <f>VLOOKUP($B46,GainLoss!$B$5:$O$14,5,FALSE)</f>
        <v>0</v>
      </c>
      <c r="G46" s="54">
        <f>VLOOKUP($B46,GainLoss!$B$5:$O$14,6,FALSE)</f>
        <v>0</v>
      </c>
      <c r="H46" s="54">
        <f>VLOOKUP($B46,GainLoss!$B$5:$O$14,7,FALSE)</f>
        <v>0</v>
      </c>
      <c r="I46" s="54">
        <f>VLOOKUP($B46,GainLoss!$B$5:$O$14,8,FALSE)</f>
        <v>0</v>
      </c>
      <c r="J46" s="54">
        <f>VLOOKUP($B46,GainLoss!$B$5:$O$14,9,FALSE)</f>
        <v>0</v>
      </c>
      <c r="K46" s="54">
        <f>VLOOKUP($B46,GainLoss!$B$5:$O$14,10,FALSE)</f>
        <v>0</v>
      </c>
      <c r="L46" s="54">
        <f>VLOOKUP($B46,GainLoss!$B$5:$O$14,11,FALSE)</f>
        <v>0</v>
      </c>
      <c r="M46" s="54">
        <f>VLOOKUP($B46,GainLoss!$B$5:$O$14,12,FALSE)</f>
        <v>0</v>
      </c>
      <c r="N46" s="54">
        <f>VLOOKUP($B46,GainLoss!$B$5:$O$14,13,FALSE)</f>
        <v>0</v>
      </c>
      <c r="O46" s="110">
        <f>VLOOKUP($B46,GainLoss!$B$5:$O$14,14,FALSE)</f>
        <v>0</v>
      </c>
    </row>
    <row r="47" spans="2:15" ht="14.25">
      <c r="B47" s="14" t="str">
        <f>+B42 &amp;" Import/Export"</f>
        <v>Node 5.03 Import/Export</v>
      </c>
      <c r="C47" s="13"/>
      <c r="D47" s="190">
        <f>VLOOKUP($B42,ImportExport!$B$6:$O$68,3,FALSE)</f>
        <v>0</v>
      </c>
      <c r="E47" s="190">
        <f>VLOOKUP($B42,ImportExport!$B$6:$O$68,4,FALSE)</f>
        <v>0</v>
      </c>
      <c r="F47" s="190">
        <f>VLOOKUP($B42,ImportExport!$B$6:$O$68,5,FALSE)</f>
        <v>0</v>
      </c>
      <c r="G47" s="190">
        <f>VLOOKUP($B42,ImportExport!$B$6:$O$68,6,FALSE)</f>
        <v>0</v>
      </c>
      <c r="H47" s="190">
        <f>VLOOKUP($B42,ImportExport!$B$6:$O$68,7,FALSE)</f>
        <v>0</v>
      </c>
      <c r="I47" s="190">
        <f>VLOOKUP($B42,ImportExport!$B$6:$O$68,8,FALSE)</f>
        <v>0</v>
      </c>
      <c r="J47" s="190">
        <f>VLOOKUP($B42,ImportExport!$B$6:$O$68,9,FALSE)</f>
        <v>0</v>
      </c>
      <c r="K47" s="190">
        <f>VLOOKUP($B42,ImportExport!$B$6:$O$68,10,FALSE)</f>
        <v>0</v>
      </c>
      <c r="L47" s="190">
        <f>VLOOKUP($B42,ImportExport!$B$6:$O$68,11,FALSE)</f>
        <v>0</v>
      </c>
      <c r="M47" s="190">
        <f>VLOOKUP($B42,ImportExport!$B$6:$O$68,12,FALSE)</f>
        <v>0</v>
      </c>
      <c r="N47" s="190">
        <f>VLOOKUP($B42,ImportExport!$B$6:$O$68,13,FALSE)</f>
        <v>0</v>
      </c>
      <c r="O47" s="197">
        <f>VLOOKUP($B42,ImportExport!$B$6:$O$68,14,FALSE)</f>
        <v>0</v>
      </c>
    </row>
    <row r="48" spans="2:15" ht="15.75" thickBot="1">
      <c r="B48" s="18" t="str">
        <f>"Total "&amp; (B42)&amp;" Inflow"</f>
        <v>Total Node 5.03 Inflow</v>
      </c>
      <c r="C48" s="17"/>
      <c r="D48" s="25">
        <f>SUM(D44:D47)</f>
        <v>2432.2815786064011</v>
      </c>
      <c r="E48" s="25">
        <f t="shared" ref="E48:O48" si="12">SUM(E44:E47)</f>
        <v>2776.5945900602419</v>
      </c>
      <c r="F48" s="25">
        <f t="shared" si="12"/>
        <v>8389.0608944156811</v>
      </c>
      <c r="G48" s="25">
        <f t="shared" si="12"/>
        <v>12068.607173922544</v>
      </c>
      <c r="H48" s="25">
        <f t="shared" si="12"/>
        <v>26542.763793473499</v>
      </c>
      <c r="I48" s="25">
        <f t="shared" si="12"/>
        <v>14810.318494800846</v>
      </c>
      <c r="J48" s="25">
        <f t="shared" si="12"/>
        <v>4218.4804088206274</v>
      </c>
      <c r="K48" s="25">
        <f t="shared" si="12"/>
        <v>2582.8997333875777</v>
      </c>
      <c r="L48" s="25">
        <f t="shared" si="12"/>
        <v>1604.2246620592095</v>
      </c>
      <c r="M48" s="25">
        <f t="shared" si="12"/>
        <v>2074.0830480951195</v>
      </c>
      <c r="N48" s="25">
        <f t="shared" si="12"/>
        <v>2712.2939496725521</v>
      </c>
      <c r="O48" s="26">
        <f t="shared" si="12"/>
        <v>2383.8663127583577</v>
      </c>
    </row>
    <row r="49" spans="2:15" ht="15">
      <c r="B49" s="19" t="s">
        <v>17</v>
      </c>
      <c r="C49" s="20"/>
      <c r="D49" s="282" t="str">
        <f>IF(((VLOOKUP($B42,'Diversion Data'!$B$3:$O$227,3,FALSE))-D51)&gt;0,"Short","")</f>
        <v/>
      </c>
      <c r="E49" s="282" t="str">
        <f>IF(((VLOOKUP($B42,'Diversion Data'!$B$3:$O$227,4,FALSE))-E51)&gt;0,"Short","")</f>
        <v/>
      </c>
      <c r="F49" s="282" t="str">
        <f>IF(((VLOOKUP($B42,'Diversion Data'!$B$3:$O$227,5,FALSE))-F51)&gt;0,"Short","")</f>
        <v/>
      </c>
      <c r="G49" s="282" t="str">
        <f>IF(((VLOOKUP($B42,'Diversion Data'!$B$3:$O$227,6,FALSE))-G51)&gt;0,"Short","")</f>
        <v/>
      </c>
      <c r="H49" s="282" t="str">
        <f>IF(((VLOOKUP($B42,'Diversion Data'!$B$3:$O$227,7,FALSE))-H51)&gt;0,"Short","")</f>
        <v/>
      </c>
      <c r="I49" s="282" t="str">
        <f>IF(((VLOOKUP($B42,'Diversion Data'!$B$3:$O$227,8,FALSE))-I51)&gt;0,"Short","")</f>
        <v/>
      </c>
      <c r="J49" s="282" t="str">
        <f>IF(((VLOOKUP($B42,'Diversion Data'!$B$3:$O$227,9,FALSE))-J51)&gt;0,"Short","")</f>
        <v/>
      </c>
      <c r="K49" s="282" t="str">
        <f>IF(((VLOOKUP($B42,'Diversion Data'!$B$3:$O$227,10,FALSE))-K51)&gt;0,"Short","")</f>
        <v/>
      </c>
      <c r="L49" s="282" t="str">
        <f>IF(((VLOOKUP($B42,'Diversion Data'!$B$3:$O$227,11,FALSE))-L51)&gt;0,"Short","")</f>
        <v/>
      </c>
      <c r="M49" s="282" t="str">
        <f>IF(((VLOOKUP($B42,'Diversion Data'!$B$3:$O$227,12,FALSE))-M51)&gt;0,"Short","")</f>
        <v/>
      </c>
      <c r="N49" s="282" t="str">
        <f>IF(((VLOOKUP($B42,'Diversion Data'!$B$3:$O$227,13,FALSE))-N51)&gt;0,"Short","")</f>
        <v/>
      </c>
      <c r="O49" s="283" t="str">
        <f>IF(((VLOOKUP($B42,'Diversion Data'!$B$3:$O$227,14,FALSE))-O51)&gt;0,"Short","")</f>
        <v/>
      </c>
    </row>
    <row r="50" spans="2:15" ht="14.25">
      <c r="B50" s="14" t="s">
        <v>81</v>
      </c>
      <c r="C50" s="13" t="s">
        <v>181</v>
      </c>
      <c r="D50" s="171">
        <f>VLOOKUP($B50,GainLoss!$B$19:$O$27,3,FALSE)</f>
        <v>0</v>
      </c>
      <c r="E50" s="171">
        <f>VLOOKUP($B50,GainLoss!$B$19:$O$27,4,FALSE)</f>
        <v>0</v>
      </c>
      <c r="F50" s="171">
        <f>VLOOKUP($B50,GainLoss!$B$19:$O$27,5,FALSE)</f>
        <v>0</v>
      </c>
      <c r="G50" s="171">
        <f>VLOOKUP($B50,GainLoss!$B$19:$O$27,6,FALSE)</f>
        <v>0</v>
      </c>
      <c r="H50" s="171">
        <f>VLOOKUP($B50,GainLoss!$B$19:$O$27,7,FALSE)</f>
        <v>0</v>
      </c>
      <c r="I50" s="171">
        <f>VLOOKUP($B50,GainLoss!$B$19:$O$27,8,FALSE)</f>
        <v>0</v>
      </c>
      <c r="J50" s="171">
        <f>VLOOKUP($B50,GainLoss!$B$19:$O$27,9,FALSE)</f>
        <v>0</v>
      </c>
      <c r="K50" s="171">
        <f>VLOOKUP($B50,GainLoss!$B$19:$O$27,10,FALSE)</f>
        <v>0</v>
      </c>
      <c r="L50" s="171">
        <f>VLOOKUP($B50,GainLoss!$B$19:$O$27,11,FALSE)</f>
        <v>0</v>
      </c>
      <c r="M50" s="171">
        <f>VLOOKUP($B50,GainLoss!$B$19:$O$27,12,FALSE)</f>
        <v>0</v>
      </c>
      <c r="N50" s="171">
        <f>VLOOKUP($B50,GainLoss!$B$19:$O$27,13,FALSE)</f>
        <v>0</v>
      </c>
      <c r="O50" s="198">
        <f>VLOOKUP($B50,GainLoss!$B$19:$O$27,14,FALSE)</f>
        <v>0</v>
      </c>
    </row>
    <row r="51" spans="2:15" ht="14.25">
      <c r="B51" s="14" t="str">
        <f>+B42 &amp;" Diversions"</f>
        <v>Node 5.03 Diversions</v>
      </c>
      <c r="C51" s="13"/>
      <c r="D51" s="54">
        <f>MIN(VLOOKUP($B42,'Diversion Data'!$B$3:$O$227,3,FALSE),(D48-D50))</f>
        <v>0</v>
      </c>
      <c r="E51" s="54">
        <f>MIN(VLOOKUP($B42,'Diversion Data'!$B$3:$O$227,4,FALSE),(E48-E50))</f>
        <v>0</v>
      </c>
      <c r="F51" s="54">
        <f>MIN(VLOOKUP($B42,'Diversion Data'!$B$3:$O$227,5,FALSE),(F48-F50))</f>
        <v>0</v>
      </c>
      <c r="G51" s="54">
        <f>MIN(VLOOKUP($B42,'Diversion Data'!$B$3:$O$227,6,FALSE),(G48-G50))</f>
        <v>0</v>
      </c>
      <c r="H51" s="54">
        <f>MIN(VLOOKUP($B42,'Diversion Data'!$B$3:$O$227,7,FALSE),(H48-H50))</f>
        <v>140.42375000000001</v>
      </c>
      <c r="I51" s="54">
        <f>MIN(VLOOKUP($B42,'Diversion Data'!$B$3:$O$227,8,FALSE),(I48-I50))</f>
        <v>371.98249999999996</v>
      </c>
      <c r="J51" s="54">
        <f>MIN(VLOOKUP($B42,'Diversion Data'!$B$3:$O$227,9,FALSE),(J48-J50))</f>
        <v>382.5575</v>
      </c>
      <c r="K51" s="54">
        <f>MIN(VLOOKUP($B42,'Diversion Data'!$B$3:$O$227,10,FALSE),(K48-K50))</f>
        <v>133.57874999999999</v>
      </c>
      <c r="L51" s="54">
        <f>MIN(VLOOKUP($B42,'Diversion Data'!$B$3:$O$227,11,FALSE),(L48-L50))</f>
        <v>51.167500000000004</v>
      </c>
      <c r="M51" s="54">
        <f>MIN(VLOOKUP($B42,'Diversion Data'!$B$3:$O$227,12,FALSE),(M48-M50))</f>
        <v>0</v>
      </c>
      <c r="N51" s="54">
        <f>MIN(VLOOKUP($B42,'Diversion Data'!$B$3:$O$227,13,FALSE),(N48-N50))</f>
        <v>0</v>
      </c>
      <c r="O51" s="110">
        <f>MIN(VLOOKUP($B42,'Diversion Data'!$B$3:$O$227,14,FALSE),(O48-O50))</f>
        <v>0</v>
      </c>
    </row>
    <row r="52" spans="2:15" ht="15.75" thickBot="1">
      <c r="B52" s="24" t="str">
        <f>"Total " &amp; (B42) &amp;" Outflow"</f>
        <v>Total Node 5.03 Outflow</v>
      </c>
      <c r="C52" s="23"/>
      <c r="D52" s="27">
        <f>SUM(D50:D51)</f>
        <v>0</v>
      </c>
      <c r="E52" s="27">
        <f t="shared" ref="E52:O52" si="13">SUM(E50:E51)</f>
        <v>0</v>
      </c>
      <c r="F52" s="27">
        <f t="shared" si="13"/>
        <v>0</v>
      </c>
      <c r="G52" s="27">
        <f t="shared" si="13"/>
        <v>0</v>
      </c>
      <c r="H52" s="27">
        <f t="shared" si="13"/>
        <v>140.42375000000001</v>
      </c>
      <c r="I52" s="27">
        <f t="shared" si="13"/>
        <v>371.98249999999996</v>
      </c>
      <c r="J52" s="27">
        <f t="shared" si="13"/>
        <v>382.5575</v>
      </c>
      <c r="K52" s="27">
        <f t="shared" si="13"/>
        <v>133.57874999999999</v>
      </c>
      <c r="L52" s="27">
        <f t="shared" si="13"/>
        <v>51.167500000000004</v>
      </c>
      <c r="M52" s="27">
        <f t="shared" si="13"/>
        <v>0</v>
      </c>
      <c r="N52" s="27">
        <f t="shared" si="13"/>
        <v>0</v>
      </c>
      <c r="O52" s="28">
        <f t="shared" si="13"/>
        <v>0</v>
      </c>
    </row>
    <row r="53" spans="2:15" ht="15.75" thickBot="1">
      <c r="B53" s="24" t="str">
        <f>(B42)&amp;" NET Flow (In - Out)"</f>
        <v>Node 5.03 NET Flow (In - Out)</v>
      </c>
      <c r="C53" s="23"/>
      <c r="D53" s="193">
        <f t="shared" ref="D53:O53" si="14">MAX(D48-D52,0)</f>
        <v>2432.2815786064011</v>
      </c>
      <c r="E53" s="193">
        <f t="shared" si="14"/>
        <v>2776.5945900602419</v>
      </c>
      <c r="F53" s="193">
        <f t="shared" si="14"/>
        <v>8389.0608944156811</v>
      </c>
      <c r="G53" s="193">
        <f t="shared" si="14"/>
        <v>12068.607173922544</v>
      </c>
      <c r="H53" s="193">
        <f t="shared" si="14"/>
        <v>26402.340043473498</v>
      </c>
      <c r="I53" s="193">
        <f t="shared" si="14"/>
        <v>14438.335994800846</v>
      </c>
      <c r="J53" s="193">
        <f t="shared" si="14"/>
        <v>3835.9229088206275</v>
      </c>
      <c r="K53" s="193">
        <f t="shared" si="14"/>
        <v>2449.3209833875776</v>
      </c>
      <c r="L53" s="193">
        <f t="shared" si="14"/>
        <v>1553.0571620592095</v>
      </c>
      <c r="M53" s="193">
        <f t="shared" si="14"/>
        <v>2074.0830480951195</v>
      </c>
      <c r="N53" s="193">
        <f t="shared" si="14"/>
        <v>2712.2939496725521</v>
      </c>
      <c r="O53" s="200">
        <f t="shared" si="14"/>
        <v>2383.8663127583577</v>
      </c>
    </row>
    <row r="55" spans="2:15" ht="15.75" thickBot="1">
      <c r="B55" s="108" t="s">
        <v>265</v>
      </c>
      <c r="C55" s="109" t="str">
        <f>VLOOKUP(B55,NodeList!$D$4:$E$121,2,FALSE)</f>
        <v>Tunnel</v>
      </c>
      <c r="D55" s="6"/>
      <c r="E55" s="6"/>
      <c r="F55" s="6"/>
      <c r="G55" s="6"/>
      <c r="H55" s="7"/>
      <c r="I55" s="7"/>
      <c r="J55" s="7"/>
      <c r="K55" s="7"/>
      <c r="L55" s="7"/>
      <c r="M55" s="7"/>
      <c r="N55" s="7"/>
      <c r="O55" s="7"/>
    </row>
    <row r="56" spans="2:15" ht="15">
      <c r="B56" s="9" t="s">
        <v>16</v>
      </c>
      <c r="C56" s="10"/>
      <c r="D56" s="11" t="s">
        <v>0</v>
      </c>
      <c r="E56" s="11" t="s">
        <v>1</v>
      </c>
      <c r="F56" s="11" t="s">
        <v>2</v>
      </c>
      <c r="G56" s="11" t="s">
        <v>3</v>
      </c>
      <c r="H56" s="11" t="s">
        <v>4</v>
      </c>
      <c r="I56" s="11" t="s">
        <v>5</v>
      </c>
      <c r="J56" s="11" t="s">
        <v>6</v>
      </c>
      <c r="K56" s="11" t="s">
        <v>7</v>
      </c>
      <c r="L56" s="11" t="s">
        <v>8</v>
      </c>
      <c r="M56" s="11" t="s">
        <v>9</v>
      </c>
      <c r="N56" s="11" t="s">
        <v>10</v>
      </c>
      <c r="O56" s="12" t="s">
        <v>11</v>
      </c>
    </row>
    <row r="57" spans="2:15" ht="14.25">
      <c r="B57" s="14" t="str">
        <f>+B55 &amp;" Node Inflow"</f>
        <v>Node 5.04 Node Inflow</v>
      </c>
      <c r="C57" s="13"/>
      <c r="D57" s="15">
        <f>+D53</f>
        <v>2432.2815786064011</v>
      </c>
      <c r="E57" s="15">
        <f t="shared" ref="E57:O57" si="15">+E53</f>
        <v>2776.5945900602419</v>
      </c>
      <c r="F57" s="15">
        <f t="shared" si="15"/>
        <v>8389.0608944156811</v>
      </c>
      <c r="G57" s="15">
        <f t="shared" si="15"/>
        <v>12068.607173922544</v>
      </c>
      <c r="H57" s="15">
        <f t="shared" si="15"/>
        <v>26402.340043473498</v>
      </c>
      <c r="I57" s="15">
        <f t="shared" si="15"/>
        <v>14438.335994800846</v>
      </c>
      <c r="J57" s="15">
        <f t="shared" si="15"/>
        <v>3835.9229088206275</v>
      </c>
      <c r="K57" s="15">
        <f t="shared" si="15"/>
        <v>2449.3209833875776</v>
      </c>
      <c r="L57" s="15">
        <f t="shared" si="15"/>
        <v>1553.0571620592095</v>
      </c>
      <c r="M57" s="15">
        <f t="shared" si="15"/>
        <v>2074.0830480951195</v>
      </c>
      <c r="N57" s="15">
        <f t="shared" si="15"/>
        <v>2712.2939496725521</v>
      </c>
      <c r="O57" s="16">
        <f t="shared" si="15"/>
        <v>2383.8663127583577</v>
      </c>
    </row>
    <row r="58" spans="2:15" ht="14.25">
      <c r="B58" s="14" t="str">
        <f>+B55 &amp;" Irrigation Returns"</f>
        <v>Node 5.04 Irrigation Returns</v>
      </c>
      <c r="C58" s="13"/>
      <c r="D58" s="54">
        <f>VLOOKUP(($B55),'Irrigation Returns'!$B$644:$P$930,4,FALSE)</f>
        <v>0</v>
      </c>
      <c r="E58" s="54">
        <f>VLOOKUP(($B55),'Irrigation Returns'!$B$644:$P$930,5,FALSE)</f>
        <v>0</v>
      </c>
      <c r="F58" s="54">
        <f>VLOOKUP(($B55),'Irrigation Returns'!$B$644:$P$930,6,FALSE)</f>
        <v>0</v>
      </c>
      <c r="G58" s="54">
        <f>VLOOKUP(($B55),'Irrigation Returns'!$B$644:$P$930,7,FALSE)</f>
        <v>0</v>
      </c>
      <c r="H58" s="54">
        <f>VLOOKUP(($B55),'Irrigation Returns'!$B$644:$P$930,8,FALSE)</f>
        <v>64.875772500000011</v>
      </c>
      <c r="I58" s="54">
        <f>VLOOKUP(($B55),'Irrigation Returns'!$B$644:$P$930,9,FALSE)</f>
        <v>190.39184999999998</v>
      </c>
      <c r="J58" s="54">
        <f>VLOOKUP(($B55),'Irrigation Returns'!$B$644:$P$930,10,FALSE)</f>
        <v>235.1112225</v>
      </c>
      <c r="K58" s="54">
        <f>VLOOKUP(($B55),'Irrigation Returns'!$B$644:$P$930,11,FALSE)</f>
        <v>136.76181750000001</v>
      </c>
      <c r="L58" s="54">
        <f>VLOOKUP(($B55),'Irrigation Returns'!$B$644:$P$930,12,FALSE)</f>
        <v>66.520575000000008</v>
      </c>
      <c r="M58" s="54">
        <f>VLOOKUP(($B55),'Irrigation Returns'!$B$644:$P$930,13,FALSE)</f>
        <v>15.570307500000002</v>
      </c>
      <c r="N58" s="54">
        <f>VLOOKUP(($B55),'Irrigation Returns'!$B$644:$P$930,14,FALSE)</f>
        <v>3.3770550000000008</v>
      </c>
      <c r="O58" s="110">
        <f>VLOOKUP(($B55),'Irrigation Returns'!$B$644:$P$930,15,FALSE)</f>
        <v>0</v>
      </c>
    </row>
    <row r="59" spans="2:15" ht="14.25">
      <c r="B59" s="14" t="s">
        <v>328</v>
      </c>
      <c r="C59" s="13" t="s">
        <v>180</v>
      </c>
      <c r="D59" s="54">
        <f>VLOOKUP($B59,GainLoss!$B$5:$O$14,3,FALSE)</f>
        <v>0</v>
      </c>
      <c r="E59" s="54">
        <f>VLOOKUP($B59,GainLoss!$B$5:$O$14,4,FALSE)</f>
        <v>0</v>
      </c>
      <c r="F59" s="54">
        <f>VLOOKUP($B59,GainLoss!$B$5:$O$14,5,FALSE)</f>
        <v>0</v>
      </c>
      <c r="G59" s="54">
        <f>VLOOKUP($B59,GainLoss!$B$5:$O$14,6,FALSE)</f>
        <v>0</v>
      </c>
      <c r="H59" s="54">
        <f>VLOOKUP($B59,GainLoss!$B$5:$O$14,7,FALSE)</f>
        <v>0</v>
      </c>
      <c r="I59" s="54">
        <f>VLOOKUP($B59,GainLoss!$B$5:$O$14,8,FALSE)</f>
        <v>0</v>
      </c>
      <c r="J59" s="54">
        <f>VLOOKUP($B59,GainLoss!$B$5:$O$14,9,FALSE)</f>
        <v>0</v>
      </c>
      <c r="K59" s="54">
        <f>VLOOKUP($B59,GainLoss!$B$5:$O$14,10,FALSE)</f>
        <v>0</v>
      </c>
      <c r="L59" s="54">
        <f>VLOOKUP($B59,GainLoss!$B$5:$O$14,11,FALSE)</f>
        <v>0</v>
      </c>
      <c r="M59" s="54">
        <f>VLOOKUP($B59,GainLoss!$B$5:$O$14,12,FALSE)</f>
        <v>0</v>
      </c>
      <c r="N59" s="54">
        <f>VLOOKUP($B59,GainLoss!$B$5:$O$14,13,FALSE)</f>
        <v>0</v>
      </c>
      <c r="O59" s="110">
        <f>VLOOKUP($B59,GainLoss!$B$5:$O$14,14,FALSE)</f>
        <v>0</v>
      </c>
    </row>
    <row r="60" spans="2:15" ht="14.25">
      <c r="B60" s="14" t="str">
        <f>+B55 &amp;" Import/Export"</f>
        <v>Node 5.04 Import/Export</v>
      </c>
      <c r="C60" s="13"/>
      <c r="D60" s="190">
        <f>VLOOKUP($B55,ImportExport!$B$6:$O$68,3,FALSE)</f>
        <v>0</v>
      </c>
      <c r="E60" s="190">
        <f>VLOOKUP($B55,ImportExport!$B$6:$O$68,4,FALSE)</f>
        <v>0</v>
      </c>
      <c r="F60" s="190">
        <f>VLOOKUP($B55,ImportExport!$B$6:$O$68,5,FALSE)</f>
        <v>0</v>
      </c>
      <c r="G60" s="190">
        <f>VLOOKUP($B55,ImportExport!$B$6:$O$68,6,FALSE)</f>
        <v>0</v>
      </c>
      <c r="H60" s="190">
        <f>VLOOKUP($B55,ImportExport!$B$6:$O$68,7,FALSE)</f>
        <v>0</v>
      </c>
      <c r="I60" s="190">
        <f>VLOOKUP($B55,ImportExport!$B$6:$O$68,8,FALSE)</f>
        <v>0</v>
      </c>
      <c r="J60" s="190">
        <f>VLOOKUP($B55,ImportExport!$B$6:$O$68,9,FALSE)</f>
        <v>0</v>
      </c>
      <c r="K60" s="190">
        <f>VLOOKUP($B55,ImportExport!$B$6:$O$68,10,FALSE)</f>
        <v>0</v>
      </c>
      <c r="L60" s="190">
        <f>VLOOKUP($B55,ImportExport!$B$6:$O$68,11,FALSE)</f>
        <v>0</v>
      </c>
      <c r="M60" s="190">
        <f>VLOOKUP($B55,ImportExport!$B$6:$O$68,12,FALSE)</f>
        <v>0</v>
      </c>
      <c r="N60" s="190">
        <f>VLOOKUP($B55,ImportExport!$B$6:$O$68,13,FALSE)</f>
        <v>0</v>
      </c>
      <c r="O60" s="197">
        <f>VLOOKUP($B55,ImportExport!$B$6:$O$68,14,FALSE)</f>
        <v>0</v>
      </c>
    </row>
    <row r="61" spans="2:15" ht="15.75" thickBot="1">
      <c r="B61" s="18" t="str">
        <f>"Total "&amp; (B55)&amp;" Inflow"</f>
        <v>Total Node 5.04 Inflow</v>
      </c>
      <c r="C61" s="17"/>
      <c r="D61" s="25">
        <f>SUM(D57:D60)</f>
        <v>2432.2815786064011</v>
      </c>
      <c r="E61" s="25">
        <f t="shared" ref="E61:O61" si="16">SUM(E57:E60)</f>
        <v>2776.5945900602419</v>
      </c>
      <c r="F61" s="25">
        <f t="shared" si="16"/>
        <v>8389.0608944156811</v>
      </c>
      <c r="G61" s="25">
        <f t="shared" si="16"/>
        <v>12068.607173922544</v>
      </c>
      <c r="H61" s="25">
        <f t="shared" si="16"/>
        <v>26467.215815973497</v>
      </c>
      <c r="I61" s="25">
        <f t="shared" si="16"/>
        <v>14628.727844800846</v>
      </c>
      <c r="J61" s="25">
        <f t="shared" si="16"/>
        <v>4071.0341313206277</v>
      </c>
      <c r="K61" s="25">
        <f t="shared" si="16"/>
        <v>2586.0828008875778</v>
      </c>
      <c r="L61" s="25">
        <f t="shared" si="16"/>
        <v>1619.5777370592095</v>
      </c>
      <c r="M61" s="25">
        <f t="shared" si="16"/>
        <v>2089.6533555951196</v>
      </c>
      <c r="N61" s="25">
        <f t="shared" si="16"/>
        <v>2715.671004672552</v>
      </c>
      <c r="O61" s="26">
        <f t="shared" si="16"/>
        <v>2383.8663127583577</v>
      </c>
    </row>
    <row r="62" spans="2:15" ht="15">
      <c r="B62" s="19" t="s">
        <v>17</v>
      </c>
      <c r="C62" s="20"/>
      <c r="D62" s="282" t="str">
        <f>IF(((VLOOKUP($B55,'Diversion Data'!$B$3:$O$227,3,FALSE))-D64)&gt;0,"Short","")</f>
        <v/>
      </c>
      <c r="E62" s="282" t="str">
        <f>IF(((VLOOKUP($B55,'Diversion Data'!$B$3:$O$227,4,FALSE))-E64)&gt;0,"Short","")</f>
        <v/>
      </c>
      <c r="F62" s="282" t="str">
        <f>IF(((VLOOKUP($B55,'Diversion Data'!$B$3:$O$227,5,FALSE))-F64)&gt;0,"Short","")</f>
        <v/>
      </c>
      <c r="G62" s="282" t="str">
        <f>IF(((VLOOKUP($B55,'Diversion Data'!$B$3:$O$227,6,FALSE))-G64)&gt;0,"Short","")</f>
        <v/>
      </c>
      <c r="H62" s="282" t="str">
        <f>IF(((VLOOKUP($B55,'Diversion Data'!$B$3:$O$227,7,FALSE))-H64)&gt;0,"Short","")</f>
        <v/>
      </c>
      <c r="I62" s="282" t="str">
        <f>IF(((VLOOKUP($B55,'Diversion Data'!$B$3:$O$227,8,FALSE))-I64)&gt;0,"Short","")</f>
        <v/>
      </c>
      <c r="J62" s="282" t="str">
        <f>IF(((VLOOKUP($B55,'Diversion Data'!$B$3:$O$227,9,FALSE))-J64)&gt;0,"Short","")</f>
        <v/>
      </c>
      <c r="K62" s="282" t="str">
        <f>IF(((VLOOKUP($B55,'Diversion Data'!$B$3:$O$227,10,FALSE))-K64)&gt;0,"Short","")</f>
        <v/>
      </c>
      <c r="L62" s="282" t="str">
        <f>IF(((VLOOKUP($B55,'Diversion Data'!$B$3:$O$227,11,FALSE))-L64)&gt;0,"Short","")</f>
        <v/>
      </c>
      <c r="M62" s="282" t="str">
        <f>IF(((VLOOKUP($B55,'Diversion Data'!$B$3:$O$227,12,FALSE))-M64)&gt;0,"Short","")</f>
        <v/>
      </c>
      <c r="N62" s="282" t="str">
        <f>IF(((VLOOKUP($B55,'Diversion Data'!$B$3:$O$227,13,FALSE))-N64)&gt;0,"Short","")</f>
        <v/>
      </c>
      <c r="O62" s="283" t="str">
        <f>IF(((VLOOKUP($B55,'Diversion Data'!$B$3:$O$227,14,FALSE))-O64)&gt;0,"Short","")</f>
        <v/>
      </c>
    </row>
    <row r="63" spans="2:15" ht="14.25">
      <c r="B63" s="14" t="s">
        <v>337</v>
      </c>
      <c r="C63" s="13" t="s">
        <v>181</v>
      </c>
      <c r="D63" s="171">
        <f>VLOOKUP($B63,GainLoss!$B$19:$O$27,3,FALSE)</f>
        <v>391.2005868708643</v>
      </c>
      <c r="E63" s="171">
        <f>VLOOKUP($B63,GainLoss!$B$19:$O$27,4,FALSE)</f>
        <v>555.30533386189472</v>
      </c>
      <c r="F63" s="171">
        <f>VLOOKUP($B63,GainLoss!$B$19:$O$27,5,FALSE)</f>
        <v>1349.4989109446069</v>
      </c>
      <c r="G63" s="171">
        <f>VLOOKUP($B63,GainLoss!$B$19:$O$27,6,FALSE)</f>
        <v>3160.0947772283325</v>
      </c>
      <c r="H63" s="171">
        <f>VLOOKUP($B63,GainLoss!$B$19:$O$27,7,FALSE)</f>
        <v>5732.2377155956128</v>
      </c>
      <c r="I63" s="171">
        <f>VLOOKUP($B63,GainLoss!$B$19:$O$27,8,FALSE)</f>
        <v>815.56998530156852</v>
      </c>
      <c r="J63" s="171">
        <f>VLOOKUP($B63,GainLoss!$B$19:$O$27,9,FALSE)</f>
        <v>1668.1500278920116</v>
      </c>
      <c r="K63" s="171">
        <f>VLOOKUP($B63,GainLoss!$B$19:$O$27,10,FALSE)</f>
        <v>1546.0550096876802</v>
      </c>
      <c r="L63" s="171">
        <f>VLOOKUP($B63,GainLoss!$B$19:$O$27,11,FALSE)</f>
        <v>930.26750125290789</v>
      </c>
      <c r="M63" s="171">
        <f>VLOOKUP($B63,GainLoss!$B$19:$O$27,12,FALSE)</f>
        <v>1094.8607936116484</v>
      </c>
      <c r="N63" s="171">
        <f>VLOOKUP($B63,GainLoss!$B$19:$O$27,13,FALSE)</f>
        <v>815.92720301965949</v>
      </c>
      <c r="O63" s="198">
        <f>VLOOKUP($B63,GainLoss!$B$19:$O$27,14,FALSE)</f>
        <v>425.40928796496928</v>
      </c>
    </row>
    <row r="64" spans="2:15" ht="14.25">
      <c r="B64" s="14" t="str">
        <f>+B55 &amp;" Diversions"</f>
        <v>Node 5.04 Diversions</v>
      </c>
      <c r="C64" s="13"/>
      <c r="D64" s="54">
        <f>MIN(VLOOKUP($B55,'Diversion Data'!$B$3:$O$227,3,FALSE),(D61-D63))</f>
        <v>0</v>
      </c>
      <c r="E64" s="54">
        <f>MIN(VLOOKUP($B55,'Diversion Data'!$B$3:$O$227,4,FALSE),(E61-E63))</f>
        <v>0</v>
      </c>
      <c r="F64" s="54">
        <f>MIN(VLOOKUP($B55,'Diversion Data'!$B$3:$O$227,5,FALSE),(F61-F63))</f>
        <v>0</v>
      </c>
      <c r="G64" s="54">
        <f>MIN(VLOOKUP($B55,'Diversion Data'!$B$3:$O$227,6,FALSE),(G61-G63))</f>
        <v>0</v>
      </c>
      <c r="H64" s="54">
        <f>MIN(VLOOKUP($B55,'Diversion Data'!$B$3:$O$227,7,FALSE),(H61-H63))</f>
        <v>979.77975327045453</v>
      </c>
      <c r="I64" s="54">
        <f>MIN(VLOOKUP($B55,'Diversion Data'!$B$3:$O$227,8,FALSE),(I61-I63))</f>
        <v>952.82728098688006</v>
      </c>
      <c r="J64" s="54">
        <f>MIN(VLOOKUP($B55,'Diversion Data'!$B$3:$O$227,9,FALSE),(J61-J63))</f>
        <v>310.46096293274798</v>
      </c>
      <c r="K64" s="54">
        <f>MIN(VLOOKUP($B55,'Diversion Data'!$B$3:$O$227,10,FALSE),(K61-K63))</f>
        <v>103.27184078667358</v>
      </c>
      <c r="L64" s="54">
        <f>MIN(VLOOKUP($B55,'Diversion Data'!$B$3:$O$227,11,FALSE),(L61-L63))</f>
        <v>63.103624236053719</v>
      </c>
      <c r="M64" s="54">
        <f>MIN(VLOOKUP($B55,'Diversion Data'!$B$3:$O$227,12,FALSE),(M61-M63))</f>
        <v>0</v>
      </c>
      <c r="N64" s="54">
        <f>MIN(VLOOKUP($B55,'Diversion Data'!$B$3:$O$227,13,FALSE),(N61-N63))</f>
        <v>0</v>
      </c>
      <c r="O64" s="110">
        <f>MIN(VLOOKUP($B55,'Diversion Data'!$B$3:$O$227,14,FALSE),(O61-O63))</f>
        <v>0</v>
      </c>
    </row>
    <row r="65" spans="2:15" ht="15.75" thickBot="1">
      <c r="B65" s="24" t="str">
        <f>"Total " &amp; (B55) &amp;" Outflow"</f>
        <v>Total Node 5.04 Outflow</v>
      </c>
      <c r="C65" s="23"/>
      <c r="D65" s="27">
        <f>SUM(D63:D64)</f>
        <v>391.2005868708643</v>
      </c>
      <c r="E65" s="27">
        <f t="shared" ref="E65:O65" si="17">SUM(E63:E64)</f>
        <v>555.30533386189472</v>
      </c>
      <c r="F65" s="27">
        <f t="shared" si="17"/>
        <v>1349.4989109446069</v>
      </c>
      <c r="G65" s="27">
        <f t="shared" si="17"/>
        <v>3160.0947772283325</v>
      </c>
      <c r="H65" s="27">
        <f t="shared" si="17"/>
        <v>6712.0174688660672</v>
      </c>
      <c r="I65" s="27">
        <f t="shared" si="17"/>
        <v>1768.3972662884485</v>
      </c>
      <c r="J65" s="27">
        <f t="shared" si="17"/>
        <v>1978.6109908247595</v>
      </c>
      <c r="K65" s="27">
        <f t="shared" si="17"/>
        <v>1649.3268504743537</v>
      </c>
      <c r="L65" s="27">
        <f t="shared" si="17"/>
        <v>993.37112548896164</v>
      </c>
      <c r="M65" s="27">
        <f t="shared" si="17"/>
        <v>1094.8607936116484</v>
      </c>
      <c r="N65" s="27">
        <f t="shared" si="17"/>
        <v>815.92720301965949</v>
      </c>
      <c r="O65" s="28">
        <f t="shared" si="17"/>
        <v>425.40928796496928</v>
      </c>
    </row>
    <row r="66" spans="2:15" ht="15.75" thickBot="1">
      <c r="B66" s="24" t="str">
        <f>(B55)&amp;" NET Flow (In - Out)"</f>
        <v>Node 5.04 NET Flow (In - Out)</v>
      </c>
      <c r="C66" s="23"/>
      <c r="D66" s="193">
        <f t="shared" ref="D66:O66" si="18">MAX(D61-D65,0)</f>
        <v>2041.0809917355368</v>
      </c>
      <c r="E66" s="193">
        <f t="shared" si="18"/>
        <v>2221.2892561983472</v>
      </c>
      <c r="F66" s="193">
        <f t="shared" si="18"/>
        <v>7039.5619834710742</v>
      </c>
      <c r="G66" s="193">
        <f t="shared" si="18"/>
        <v>8908.5123966942119</v>
      </c>
      <c r="H66" s="193">
        <f t="shared" si="18"/>
        <v>19755.198347107431</v>
      </c>
      <c r="I66" s="193">
        <f t="shared" si="18"/>
        <v>12860.330578512398</v>
      </c>
      <c r="J66" s="193">
        <f t="shared" si="18"/>
        <v>2092.4231404958682</v>
      </c>
      <c r="K66" s="193">
        <f t="shared" si="18"/>
        <v>936.75595041322413</v>
      </c>
      <c r="L66" s="193">
        <f t="shared" si="18"/>
        <v>626.2066115702479</v>
      </c>
      <c r="M66" s="193">
        <f t="shared" si="18"/>
        <v>994.79256198347116</v>
      </c>
      <c r="N66" s="193">
        <f t="shared" si="18"/>
        <v>1899.7438016528927</v>
      </c>
      <c r="O66" s="200">
        <f t="shared" si="18"/>
        <v>1958.4570247933884</v>
      </c>
    </row>
    <row r="68" spans="2:15" ht="20.25">
      <c r="B68" s="285" t="s">
        <v>360</v>
      </c>
      <c r="C68" s="285"/>
      <c r="D68" s="285"/>
      <c r="E68" s="285"/>
      <c r="F68" s="285"/>
      <c r="G68" s="285"/>
      <c r="H68" s="285"/>
      <c r="I68" s="285"/>
      <c r="J68" s="285"/>
      <c r="K68" s="285"/>
      <c r="L68" s="285"/>
      <c r="M68" s="285"/>
      <c r="N68" s="285"/>
      <c r="O68" s="285"/>
    </row>
  </sheetData>
  <sheetProtection objects="1" scenarios="1"/>
  <mergeCells count="4">
    <mergeCell ref="U2:AE2"/>
    <mergeCell ref="A2:A14"/>
    <mergeCell ref="E2:O2"/>
    <mergeCell ref="E1:O1"/>
  </mergeCells>
  <phoneticPr fontId="0" type="noConversion"/>
  <conditionalFormatting sqref="D53:O53 D40:O40 D14:O14 D27:O27 D66:O66">
    <cfRule type="cellIs" dxfId="9" priority="1" stopIfTrue="1" operator="lessThanOrEqual">
      <formula>0</formula>
    </cfRule>
  </conditionalFormatting>
  <pageMargins left="0.75" right="0.75" top="1" bottom="1" header="0.5" footer="0.5"/>
  <pageSetup scale="65" fitToHeight="2" orientation="landscape" horizontalDpi="4294967292" verticalDpi="0" r:id="rId1"/>
  <headerFooter alignWithMargins="0">
    <oddHeader>&amp;C&amp;"Arial,Bold"&amp;12Bear River Spreadsheet Model
Dry Year Conditions</oddHeader>
    <oddFooter>&amp;L&amp;F &amp;A&amp;RAPPENDIX A (Page &amp;P of &amp;N)</oddFooter>
  </headerFooter>
  <rowBreaks count="1" manualBreakCount="1">
    <brk id="41" min="1" max="15" man="1"/>
  </rowBreaks>
  <legacyDrawing r:id="rId2"/>
</worksheet>
</file>

<file path=xl/worksheets/sheet9.xml><?xml version="1.0" encoding="utf-8"?>
<worksheet xmlns="http://schemas.openxmlformats.org/spreadsheetml/2006/main" xmlns:r="http://schemas.openxmlformats.org/officeDocument/2006/relationships">
  <sheetPr codeName="Sheet14">
    <pageSetUpPr autoPageBreaks="0"/>
  </sheetPr>
  <dimension ref="A1:AE43"/>
  <sheetViews>
    <sheetView showGridLines="0" zoomScale="75" zoomScaleNormal="75" workbookViewId="0">
      <pane ySplit="1" topLeftCell="A2" activePane="bottomLeft" state="frozen"/>
      <selection activeCell="B26" sqref="B26"/>
      <selection pane="bottomLeft" activeCell="P16" sqref="A16:P43"/>
    </sheetView>
  </sheetViews>
  <sheetFormatPr defaultRowHeight="12.75"/>
  <cols>
    <col min="1" max="1" width="2.28515625" customWidth="1"/>
    <col min="2" max="2" width="10.85546875" customWidth="1"/>
    <col min="3" max="3" width="25.28515625" customWidth="1"/>
    <col min="4" max="4" width="10" customWidth="1"/>
    <col min="5" max="7" width="8.28515625" customWidth="1"/>
    <col min="8" max="15" width="9.42578125" customWidth="1"/>
  </cols>
  <sheetData>
    <row r="1" spans="1:31" ht="44.25" customHeight="1">
      <c r="A1" s="2"/>
      <c r="B1" s="3"/>
      <c r="C1" s="229"/>
      <c r="E1" s="661" t="s">
        <v>524</v>
      </c>
      <c r="F1" s="661" t="s">
        <v>186</v>
      </c>
      <c r="G1" s="661"/>
      <c r="H1" s="661"/>
      <c r="I1" s="661"/>
      <c r="J1" s="661"/>
      <c r="K1" s="661"/>
      <c r="L1" s="661"/>
      <c r="M1" s="661"/>
      <c r="N1" s="661"/>
      <c r="O1" s="661"/>
      <c r="P1" s="661"/>
    </row>
    <row r="3" spans="1:31" ht="18.75" thickBot="1">
      <c r="A3" s="658"/>
      <c r="B3" s="108" t="s">
        <v>120</v>
      </c>
      <c r="C3" s="109" t="str">
        <f>VLOOKUP(B3,NodeList!$D$4:$E$121,2,FALSE)</f>
        <v>USGS 10020100:  Bear R. ab res. nr Woodruff, UT</v>
      </c>
      <c r="D3" s="6"/>
      <c r="E3" s="6"/>
      <c r="F3" s="360"/>
      <c r="G3" s="360"/>
      <c r="H3" s="360"/>
      <c r="I3" s="360"/>
      <c r="J3" s="360"/>
      <c r="K3" s="360"/>
      <c r="L3" s="360"/>
      <c r="M3" s="360"/>
      <c r="N3" s="360"/>
      <c r="O3" s="434" t="s">
        <v>540</v>
      </c>
      <c r="P3" s="360"/>
      <c r="Q3" s="360"/>
      <c r="R3" s="420"/>
      <c r="S3" s="420"/>
    </row>
    <row r="4" spans="1:31" ht="15">
      <c r="A4" s="658"/>
      <c r="B4" s="9" t="s">
        <v>16</v>
      </c>
      <c r="C4" s="10"/>
      <c r="D4" s="11" t="s">
        <v>0</v>
      </c>
      <c r="E4" s="11" t="s">
        <v>1</v>
      </c>
      <c r="F4" s="11" t="s">
        <v>2</v>
      </c>
      <c r="G4" s="11" t="s">
        <v>3</v>
      </c>
      <c r="H4" s="11" t="s">
        <v>4</v>
      </c>
      <c r="I4" s="11" t="s">
        <v>5</v>
      </c>
      <c r="J4" s="11" t="s">
        <v>6</v>
      </c>
      <c r="K4" s="11" t="s">
        <v>7</v>
      </c>
      <c r="L4" s="11" t="s">
        <v>8</v>
      </c>
      <c r="M4" s="11" t="s">
        <v>9</v>
      </c>
      <c r="N4" s="11" t="s">
        <v>10</v>
      </c>
      <c r="O4" s="12" t="s">
        <v>11</v>
      </c>
    </row>
    <row r="5" spans="1:31" ht="18">
      <c r="A5" s="658"/>
      <c r="B5" s="14" t="str">
        <f>+B3 &amp;" Node Inflow"</f>
        <v>Node 6.00 Node Inflow</v>
      </c>
      <c r="C5" s="13"/>
      <c r="D5" s="15">
        <f>+'Reach 5'!D66</f>
        <v>2041.0809917355368</v>
      </c>
      <c r="E5" s="15">
        <f>+'Reach 5'!E66</f>
        <v>2221.2892561983472</v>
      </c>
      <c r="F5" s="15">
        <f>+'Reach 5'!F66</f>
        <v>7039.5619834710742</v>
      </c>
      <c r="G5" s="15">
        <f>+'Reach 5'!G66</f>
        <v>8908.5123966942119</v>
      </c>
      <c r="H5" s="15">
        <f>+'Reach 5'!H66</f>
        <v>19755.198347107431</v>
      </c>
      <c r="I5" s="15">
        <f>+'Reach 5'!I66</f>
        <v>12860.330578512398</v>
      </c>
      <c r="J5" s="15">
        <f>+'Reach 5'!J66</f>
        <v>2092.4231404958682</v>
      </c>
      <c r="K5" s="15">
        <f>+'Reach 5'!K66</f>
        <v>936.75595041322413</v>
      </c>
      <c r="L5" s="15">
        <f>+'Reach 5'!L66</f>
        <v>626.2066115702479</v>
      </c>
      <c r="M5" s="15">
        <f>+'Reach 5'!M66</f>
        <v>994.79256198347116</v>
      </c>
      <c r="N5" s="15">
        <f>+'Reach 5'!N66</f>
        <v>1899.7438016528927</v>
      </c>
      <c r="O5" s="16">
        <f>+'Reach 5'!O66</f>
        <v>1958.4570247933884</v>
      </c>
      <c r="T5" s="664"/>
      <c r="U5" s="664"/>
      <c r="V5" s="664"/>
      <c r="W5" s="664"/>
      <c r="X5" s="664"/>
      <c r="Y5" s="664"/>
      <c r="Z5" s="664"/>
      <c r="AA5" s="664"/>
      <c r="AB5" s="664"/>
      <c r="AC5" s="664"/>
      <c r="AD5" s="664"/>
      <c r="AE5" s="664"/>
    </row>
    <row r="6" spans="1:31" ht="14.25">
      <c r="A6" s="658"/>
      <c r="B6" s="14" t="str">
        <f>+B3 &amp;" Irrigation Returns"</f>
        <v>Node 6.00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row>
    <row r="7" spans="1:31" ht="14.25">
      <c r="A7" s="658"/>
      <c r="B7" s="14" t="s">
        <v>24</v>
      </c>
      <c r="C7" s="13" t="s">
        <v>180</v>
      </c>
      <c r="D7" s="54">
        <v>0</v>
      </c>
      <c r="E7" s="54">
        <v>0</v>
      </c>
      <c r="F7" s="54">
        <v>0</v>
      </c>
      <c r="G7" s="54">
        <v>0</v>
      </c>
      <c r="H7" s="54">
        <v>0</v>
      </c>
      <c r="I7" s="54">
        <v>0</v>
      </c>
      <c r="J7" s="54">
        <v>0</v>
      </c>
      <c r="K7" s="54">
        <v>0</v>
      </c>
      <c r="L7" s="54">
        <v>0</v>
      </c>
      <c r="M7" s="54">
        <v>0</v>
      </c>
      <c r="N7" s="54">
        <v>0</v>
      </c>
      <c r="O7" s="110">
        <v>0</v>
      </c>
    </row>
    <row r="8" spans="1:31" ht="14.25">
      <c r="A8" s="658"/>
      <c r="B8" s="14" t="str">
        <f>+B3 &amp;" Import/Export"</f>
        <v>Node 6.00 Import/Export</v>
      </c>
      <c r="C8" s="13"/>
      <c r="D8" s="190">
        <f>VLOOKUP($B3,ImportExport!$B$6:$O$68,3,FALSE)</f>
        <v>0</v>
      </c>
      <c r="E8" s="190">
        <f>VLOOKUP($B3,ImportExport!$B$6:$O$68,4,FALSE)</f>
        <v>0</v>
      </c>
      <c r="F8" s="190">
        <f>VLOOKUP($B3,ImportExport!$B$6:$O$68,5,FALSE)</f>
        <v>0</v>
      </c>
      <c r="G8" s="190">
        <f>VLOOKUP($B3,ImportExport!$B$6:$O$68,6,FALSE)</f>
        <v>0</v>
      </c>
      <c r="H8" s="190">
        <f>VLOOKUP($B3,ImportExport!$B$6:$O$68,7,FALSE)</f>
        <v>0</v>
      </c>
      <c r="I8" s="190">
        <f>VLOOKUP($B3,ImportExport!$B$6:$O$68,8,FALSE)</f>
        <v>0</v>
      </c>
      <c r="J8" s="190">
        <f>VLOOKUP($B3,ImportExport!$B$6:$O$68,9,FALSE)</f>
        <v>0</v>
      </c>
      <c r="K8" s="190">
        <f>VLOOKUP($B3,ImportExport!$B$6:$O$68,10,FALSE)</f>
        <v>0</v>
      </c>
      <c r="L8" s="190">
        <f>VLOOKUP($B3,ImportExport!$B$6:$O$68,11,FALSE)</f>
        <v>0</v>
      </c>
      <c r="M8" s="190">
        <f>VLOOKUP($B3,ImportExport!$B$6:$O$68,12,FALSE)</f>
        <v>0</v>
      </c>
      <c r="N8" s="190">
        <f>VLOOKUP($B3,ImportExport!$B$6:$O$68,13,FALSE)</f>
        <v>0</v>
      </c>
      <c r="O8" s="197">
        <f>VLOOKUP($B3,ImportExport!$B$6:$O$68,14,FALSE)</f>
        <v>0</v>
      </c>
    </row>
    <row r="9" spans="1:31" ht="15.75" thickBot="1">
      <c r="A9" s="658"/>
      <c r="B9" s="18" t="str">
        <f>"Total "&amp; (B3)&amp;" Inflow"</f>
        <v>Total Node 6.00 Inflow</v>
      </c>
      <c r="C9" s="17"/>
      <c r="D9" s="25">
        <f>SUM(D5:D8)</f>
        <v>2041.0809917355368</v>
      </c>
      <c r="E9" s="25">
        <f t="shared" ref="E9:O9" si="0">SUM(E5:E8)</f>
        <v>2221.2892561983472</v>
      </c>
      <c r="F9" s="25">
        <f t="shared" si="0"/>
        <v>7039.5619834710742</v>
      </c>
      <c r="G9" s="25">
        <f t="shared" si="0"/>
        <v>8908.5123966942119</v>
      </c>
      <c r="H9" s="25">
        <f t="shared" si="0"/>
        <v>19755.198347107431</v>
      </c>
      <c r="I9" s="25">
        <f t="shared" si="0"/>
        <v>12860.330578512398</v>
      </c>
      <c r="J9" s="25">
        <f t="shared" si="0"/>
        <v>2092.4231404958682</v>
      </c>
      <c r="K9" s="25">
        <f t="shared" si="0"/>
        <v>936.75595041322413</v>
      </c>
      <c r="L9" s="25">
        <f t="shared" si="0"/>
        <v>626.2066115702479</v>
      </c>
      <c r="M9" s="25">
        <f t="shared" si="0"/>
        <v>994.79256198347116</v>
      </c>
      <c r="N9" s="25">
        <f t="shared" si="0"/>
        <v>1899.7438016528927</v>
      </c>
      <c r="O9" s="26">
        <f t="shared" si="0"/>
        <v>1958.4570247933884</v>
      </c>
    </row>
    <row r="10" spans="1:31" ht="15">
      <c r="A10" s="658"/>
      <c r="B10" s="19" t="s">
        <v>17</v>
      </c>
      <c r="C10" s="20"/>
      <c r="D10" s="282" t="str">
        <f>IF(((VLOOKUP($B3,'Diversion Data'!$B$3:$O$227,3,FALSE))-D12)&gt;0,"Short","")</f>
        <v/>
      </c>
      <c r="E10" s="282" t="str">
        <f>IF(((VLOOKUP($B3,'Diversion Data'!$B$3:$O$227,4,FALSE))-E12)&gt;0,"Short","")</f>
        <v/>
      </c>
      <c r="F10" s="282" t="str">
        <f>IF(((VLOOKUP($B3,'Diversion Data'!$B$3:$O$227,5,FALSE))-F12)&gt;0,"Short","")</f>
        <v/>
      </c>
      <c r="G10" s="282" t="str">
        <f>IF(((VLOOKUP($B3,'Diversion Data'!$B$3:$O$227,6,FALSE))-G12)&gt;0,"Short","")</f>
        <v/>
      </c>
      <c r="H10" s="282" t="str">
        <f>IF(((VLOOKUP($B3,'Diversion Data'!$B$3:$O$227,7,FALSE))-H12)&gt;0,"Short","")</f>
        <v/>
      </c>
      <c r="I10" s="282" t="str">
        <f>IF(((VLOOKUP($B3,'Diversion Data'!$B$3:$O$227,8,FALSE))-I12)&gt;0,"Short","")</f>
        <v/>
      </c>
      <c r="J10" s="282" t="str">
        <f>IF(((VLOOKUP($B3,'Diversion Data'!$B$3:$O$227,9,FALSE))-J12)&gt;0,"Short","")</f>
        <v/>
      </c>
      <c r="K10" s="282" t="str">
        <f>IF(((VLOOKUP($B3,'Diversion Data'!$B$3:$O$227,10,FALSE))-K12)&gt;0,"Short","")</f>
        <v/>
      </c>
      <c r="L10" s="282" t="str">
        <f>IF(((VLOOKUP($B3,'Diversion Data'!$B$3:$O$227,11,FALSE))-L12)&gt;0,"Short","")</f>
        <v/>
      </c>
      <c r="M10" s="282" t="str">
        <f>IF(((VLOOKUP($B3,'Diversion Data'!$B$3:$O$227,12,FALSE))-M12)&gt;0,"Short","")</f>
        <v/>
      </c>
      <c r="N10" s="282" t="str">
        <f>IF(((VLOOKUP($B3,'Diversion Data'!$B$3:$O$227,13,FALSE))-N12)&gt;0,"Short","")</f>
        <v/>
      </c>
      <c r="O10" s="283" t="str">
        <f>IF(((VLOOKUP($B3,'Diversion Data'!$B$3:$O$227,14,FALSE))-O12)&gt;0,"Short","")</f>
        <v/>
      </c>
    </row>
    <row r="11" spans="1:31" ht="14.25">
      <c r="A11" s="658"/>
      <c r="B11" s="14" t="s">
        <v>81</v>
      </c>
      <c r="C11" s="13" t="s">
        <v>181</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8">
        <f>VLOOKUP($B11,GainLoss!$B$19:$O$27,14,FALSE)</f>
        <v>0</v>
      </c>
    </row>
    <row r="12" spans="1:31" ht="14.25">
      <c r="A12" s="658"/>
      <c r="B12" s="14" t="str">
        <f>+B3 &amp;" Diversions"</f>
        <v>Node 6.00 Diversions</v>
      </c>
      <c r="C12" s="13"/>
      <c r="D12" s="54">
        <f>MIN(VLOOKUP($B3,'Diversion Data'!$B$3:$O$227,3,FALSE),(D9-D11))</f>
        <v>0</v>
      </c>
      <c r="E12" s="54">
        <f>MIN(VLOOKUP($B3,'Diversion Data'!$B$3:$O$227,4,FALSE),(E9-E11))</f>
        <v>0</v>
      </c>
      <c r="F12" s="54">
        <f>MIN(VLOOKUP($B3,'Diversion Data'!$B$3:$O$227,5,FALSE),(F9-F11))</f>
        <v>0</v>
      </c>
      <c r="G12" s="54">
        <f>MIN(VLOOKUP($B3,'Diversion Data'!$B$3:$O$227,6,FALSE),(G9-G11))</f>
        <v>0</v>
      </c>
      <c r="H12" s="54">
        <f>MIN(VLOOKUP($B3,'Diversion Data'!$B$3:$O$227,7,FALSE),(H9-H11))</f>
        <v>0</v>
      </c>
      <c r="I12" s="54">
        <f>MIN(VLOOKUP($B3,'Diversion Data'!$B$3:$O$227,8,FALSE),(I9-I11))</f>
        <v>0</v>
      </c>
      <c r="J12" s="54">
        <f>MIN(VLOOKUP($B3,'Diversion Data'!$B$3:$O$227,9,FALSE),(J9-J11))</f>
        <v>0</v>
      </c>
      <c r="K12" s="54">
        <f>MIN(VLOOKUP($B3,'Diversion Data'!$B$3:$O$227,10,FALSE),(K9-K11))</f>
        <v>0</v>
      </c>
      <c r="L12" s="54">
        <f>MIN(VLOOKUP($B3,'Diversion Data'!$B$3:$O$227,11,FALSE),(L9-L11))</f>
        <v>0</v>
      </c>
      <c r="M12" s="54">
        <f>MIN(VLOOKUP($B3,'Diversion Data'!$B$3:$O$227,12,FALSE),(M9-M11))</f>
        <v>0</v>
      </c>
      <c r="N12" s="54">
        <f>MIN(VLOOKUP($B3,'Diversion Data'!$B$3:$O$227,13,FALSE),(N9-N11))</f>
        <v>0</v>
      </c>
      <c r="O12" s="110">
        <f>MIN(VLOOKUP($B3,'Diversion Data'!$B$3:$O$227,14,FALSE),(O9-O11))</f>
        <v>0</v>
      </c>
    </row>
    <row r="13" spans="1:31" ht="15.75" thickBot="1">
      <c r="A13" s="658"/>
      <c r="B13" s="24" t="str">
        <f>"Total " &amp; (B3) &amp;" Outflow"</f>
        <v>Total Node 6.00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31" ht="15.75" thickBot="1">
      <c r="A14" s="658"/>
      <c r="B14" s="24" t="str">
        <f>(B3)&amp;" NET Flow (In - Out)"</f>
        <v>Node 6.00 NET Flow (In - Out)</v>
      </c>
      <c r="C14" s="23"/>
      <c r="D14" s="193">
        <f t="shared" ref="D14:O14" si="2">MAX(D9-D13,0)</f>
        <v>2041.0809917355368</v>
      </c>
      <c r="E14" s="193">
        <f t="shared" si="2"/>
        <v>2221.2892561983472</v>
      </c>
      <c r="F14" s="193">
        <f t="shared" si="2"/>
        <v>7039.5619834710742</v>
      </c>
      <c r="G14" s="193">
        <f t="shared" si="2"/>
        <v>8908.5123966942119</v>
      </c>
      <c r="H14" s="193">
        <f t="shared" si="2"/>
        <v>19755.198347107431</v>
      </c>
      <c r="I14" s="193">
        <f t="shared" si="2"/>
        <v>12860.330578512398</v>
      </c>
      <c r="J14" s="193">
        <f t="shared" si="2"/>
        <v>2092.4231404958682</v>
      </c>
      <c r="K14" s="193">
        <f t="shared" si="2"/>
        <v>936.75595041322413</v>
      </c>
      <c r="L14" s="193">
        <f t="shared" si="2"/>
        <v>626.2066115702479</v>
      </c>
      <c r="M14" s="193">
        <f t="shared" si="2"/>
        <v>994.79256198347116</v>
      </c>
      <c r="N14" s="193">
        <f t="shared" si="2"/>
        <v>1899.7438016528927</v>
      </c>
      <c r="O14" s="200">
        <f t="shared" si="2"/>
        <v>1958.4570247933884</v>
      </c>
    </row>
    <row r="16" spans="1:31" ht="21" thickBot="1">
      <c r="B16" s="108" t="s">
        <v>162</v>
      </c>
      <c r="C16" s="109" t="str">
        <f>VLOOKUP(B16,NodeList!$D$4:$E$121,2,FALSE)</f>
        <v>Woodruff Narrows Reservoir</v>
      </c>
      <c r="D16" s="6"/>
      <c r="E16" s="191" t="s">
        <v>185</v>
      </c>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6.01 Node Inflow</v>
      </c>
      <c r="C18" s="13"/>
      <c r="D18" s="139">
        <f>+D14</f>
        <v>2041.0809917355368</v>
      </c>
      <c r="E18" s="139">
        <f t="shared" ref="E18:O18" si="3">+E14</f>
        <v>2221.2892561983472</v>
      </c>
      <c r="F18" s="139">
        <f t="shared" si="3"/>
        <v>7039.5619834710742</v>
      </c>
      <c r="G18" s="139">
        <f t="shared" si="3"/>
        <v>8908.5123966942119</v>
      </c>
      <c r="H18" s="139">
        <f t="shared" si="3"/>
        <v>19755.198347107431</v>
      </c>
      <c r="I18" s="139">
        <f t="shared" si="3"/>
        <v>12860.330578512398</v>
      </c>
      <c r="J18" s="139">
        <f t="shared" si="3"/>
        <v>2092.4231404958682</v>
      </c>
      <c r="K18" s="139">
        <f t="shared" si="3"/>
        <v>936.75595041322413</v>
      </c>
      <c r="L18" s="139">
        <f t="shared" si="3"/>
        <v>626.2066115702479</v>
      </c>
      <c r="M18" s="139">
        <f t="shared" si="3"/>
        <v>994.79256198347116</v>
      </c>
      <c r="N18" s="139">
        <f t="shared" si="3"/>
        <v>1899.7438016528927</v>
      </c>
      <c r="O18" s="201">
        <f t="shared" si="3"/>
        <v>1958.4570247933884</v>
      </c>
    </row>
    <row r="19" spans="2:15" ht="14.25">
      <c r="B19" s="14" t="str">
        <f>+B16 &amp;" Irrigation Returns"</f>
        <v>Node 6.01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510.74615656100104</v>
      </c>
      <c r="I19" s="54">
        <f>VLOOKUP(($B16),'Irrigation Returns'!$B$644:$P$930,9,FALSE)</f>
        <v>633.84588085563291</v>
      </c>
      <c r="J19" s="54">
        <f>VLOOKUP(($B16),'Irrigation Returns'!$B$644:$P$930,10,FALSE)</f>
        <v>395.15141692971042</v>
      </c>
      <c r="K19" s="54">
        <f>VLOOKUP(($B16),'Irrigation Returns'!$B$644:$P$930,11,FALSE)</f>
        <v>183.42565186734942</v>
      </c>
      <c r="L19" s="54">
        <f>VLOOKUP(($B16),'Irrigation Returns'!$B$644:$P$930,12,FALSE)</f>
        <v>95.578203390207605</v>
      </c>
      <c r="M19" s="54">
        <f>VLOOKUP(($B16),'Irrigation Returns'!$B$644:$P$930,13,FALSE)</f>
        <v>23.612825012386779</v>
      </c>
      <c r="N19" s="54">
        <f>VLOOKUP(($B16),'Irrigation Returns'!$B$644:$P$930,14,FALSE)</f>
        <v>7.4135929800290921</v>
      </c>
      <c r="O19" s="110">
        <f>VLOOKUP(($B16),'Irrigation Returns'!$B$644:$P$930,15,FALSE)</f>
        <v>0</v>
      </c>
    </row>
    <row r="20" spans="2:15" ht="14.25">
      <c r="B20" s="14" t="s">
        <v>328</v>
      </c>
      <c r="C20" s="13" t="s">
        <v>180</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6.01 Import/Export</v>
      </c>
      <c r="C21" s="13"/>
      <c r="D21" s="190">
        <f>VLOOKUP($B16,ImportExport!$B$6:$O$68,3,FALSE)</f>
        <v>0</v>
      </c>
      <c r="E21" s="190">
        <f>VLOOKUP($B16,ImportExport!$B$6:$O$68,4,FALSE)</f>
        <v>0</v>
      </c>
      <c r="F21" s="190">
        <f>VLOOKUP($B16,ImportExport!$B$6:$O$68,5,FALSE)</f>
        <v>0</v>
      </c>
      <c r="G21" s="190">
        <f>VLOOKUP($B16,ImportExport!$B$6:$O$68,6,FALSE)</f>
        <v>0</v>
      </c>
      <c r="H21" s="190">
        <f>VLOOKUP($B16,ImportExport!$B$6:$O$68,7,FALSE)</f>
        <v>0</v>
      </c>
      <c r="I21" s="190">
        <f>VLOOKUP($B16,ImportExport!$B$6:$O$68,8,FALSE)</f>
        <v>0</v>
      </c>
      <c r="J21" s="190">
        <f>VLOOKUP($B16,ImportExport!$B$6:$O$68,9,FALSE)</f>
        <v>0</v>
      </c>
      <c r="K21" s="190">
        <f>VLOOKUP($B16,ImportExport!$B$6:$O$68,10,FALSE)</f>
        <v>0</v>
      </c>
      <c r="L21" s="190">
        <f>VLOOKUP($B16,ImportExport!$B$6:$O$68,11,FALSE)</f>
        <v>0</v>
      </c>
      <c r="M21" s="190">
        <f>VLOOKUP($B16,ImportExport!$B$6:$O$68,12,FALSE)</f>
        <v>0</v>
      </c>
      <c r="N21" s="190">
        <f>VLOOKUP($B16,ImportExport!$B$6:$O$68,13,FALSE)</f>
        <v>0</v>
      </c>
      <c r="O21" s="197">
        <f>VLOOKUP($B16,ImportExport!$B$6:$O$68,14,FALSE)</f>
        <v>0</v>
      </c>
    </row>
    <row r="22" spans="2:15" ht="15.75" thickBot="1">
      <c r="B22" s="18" t="str">
        <f>"Total "&amp; (B16)&amp;" Inflow"</f>
        <v>Total Node 6.01 Inflow</v>
      </c>
      <c r="C22" s="17"/>
      <c r="D22" s="25">
        <f>SUM(D18:D21)</f>
        <v>2041.0809917355368</v>
      </c>
      <c r="E22" s="25">
        <f t="shared" ref="E22:O22" si="4">SUM(E18:E21)</f>
        <v>2221.2892561983472</v>
      </c>
      <c r="F22" s="25">
        <f t="shared" si="4"/>
        <v>7039.5619834710742</v>
      </c>
      <c r="G22" s="25">
        <f t="shared" si="4"/>
        <v>8908.5123966942119</v>
      </c>
      <c r="H22" s="25">
        <f t="shared" si="4"/>
        <v>20265.944503668434</v>
      </c>
      <c r="I22" s="25">
        <f t="shared" si="4"/>
        <v>13494.176459368031</v>
      </c>
      <c r="J22" s="25">
        <f t="shared" si="4"/>
        <v>2487.5745574255789</v>
      </c>
      <c r="K22" s="25">
        <f t="shared" si="4"/>
        <v>1120.1816022805735</v>
      </c>
      <c r="L22" s="25">
        <f t="shared" si="4"/>
        <v>721.78481496045549</v>
      </c>
      <c r="M22" s="25">
        <f t="shared" si="4"/>
        <v>1018.405386995858</v>
      </c>
      <c r="N22" s="25">
        <f t="shared" si="4"/>
        <v>1907.1573946329218</v>
      </c>
      <c r="O22" s="26">
        <f t="shared" si="4"/>
        <v>1958.4570247933884</v>
      </c>
    </row>
    <row r="23" spans="2:15" ht="15">
      <c r="B23" s="19" t="s">
        <v>83</v>
      </c>
      <c r="C23" s="19"/>
      <c r="D23" s="21"/>
      <c r="E23" s="21"/>
      <c r="F23" s="21"/>
      <c r="G23" s="21"/>
      <c r="H23" s="21"/>
      <c r="I23" s="21"/>
      <c r="J23" s="21"/>
      <c r="K23" s="21"/>
      <c r="L23" s="21"/>
      <c r="M23" s="21"/>
      <c r="N23" s="21"/>
      <c r="O23" s="22"/>
    </row>
    <row r="24" spans="2:15" ht="14.25">
      <c r="B24" s="14" t="str">
        <f>+B16 &amp;" Diversions"</f>
        <v>Node 6.01 Diversions</v>
      </c>
      <c r="C24" s="14"/>
      <c r="D24" s="54">
        <f>VLOOKUP($B16,'Diversion Data'!$B$3:$O$227,3,FALSE)</f>
        <v>0</v>
      </c>
      <c r="E24" s="54">
        <f>VLOOKUP($B16,'Diversion Data'!$B$3:$O$227,4,FALSE)</f>
        <v>0</v>
      </c>
      <c r="F24" s="54">
        <f>VLOOKUP($B16,'Diversion Data'!$B$3:$O$227,5,FALSE)</f>
        <v>0</v>
      </c>
      <c r="G24" s="54">
        <f>VLOOKUP($B16,'Diversion Data'!$B$3:$O$227,6,FALSE)</f>
        <v>0</v>
      </c>
      <c r="H24" s="54">
        <f>VLOOKUP($B16,'Diversion Data'!$B$3:$O$227,7,FALSE)</f>
        <v>0</v>
      </c>
      <c r="I24" s="54">
        <f>VLOOKUP($B16,'Diversion Data'!$B$3:$O$227,8,FALSE)</f>
        <v>0</v>
      </c>
      <c r="J24" s="54">
        <f>VLOOKUP($B16,'Diversion Data'!$B$3:$O$227,9,FALSE)</f>
        <v>0</v>
      </c>
      <c r="K24" s="54">
        <f>VLOOKUP($B16,'Diversion Data'!$B$3:$O$227,10,FALSE)</f>
        <v>0</v>
      </c>
      <c r="L24" s="54">
        <f>VLOOKUP($B16,'Diversion Data'!$B$3:$O$227,11,FALSE)</f>
        <v>0</v>
      </c>
      <c r="M24" s="54">
        <f>VLOOKUP($B16,'Diversion Data'!$B$3:$O$227,12,FALSE)</f>
        <v>0</v>
      </c>
      <c r="N24" s="54">
        <f>VLOOKUP($B16,'Diversion Data'!$B$3:$O$227,13,FALSE)</f>
        <v>0</v>
      </c>
      <c r="O24" s="110">
        <f>VLOOKUP($B16,'Diversion Data'!$B$3:$O$227,14,FALSE)</f>
        <v>0</v>
      </c>
    </row>
    <row r="25" spans="2:15" ht="14.25">
      <c r="B25" s="14" t="str">
        <f>+B16 &amp;" Historic Target Release"</f>
        <v>Node 6.01 Historic Target Release</v>
      </c>
      <c r="C25" s="400"/>
      <c r="D25" s="398">
        <v>1073</v>
      </c>
      <c r="E25" s="239">
        <v>1019.7142857142857</v>
      </c>
      <c r="F25" s="239">
        <v>1156.2857142857142</v>
      </c>
      <c r="G25" s="239">
        <v>3145.7142857142858</v>
      </c>
      <c r="H25" s="239">
        <v>24891.428571428572</v>
      </c>
      <c r="I25" s="239">
        <v>38200</v>
      </c>
      <c r="J25" s="239">
        <v>5775.7142857142853</v>
      </c>
      <c r="K25" s="239">
        <v>1610</v>
      </c>
      <c r="L25" s="239">
        <v>986.14285714285711</v>
      </c>
      <c r="M25" s="239">
        <v>713.42857142857144</v>
      </c>
      <c r="N25" s="239">
        <v>685.28571428571433</v>
      </c>
      <c r="O25" s="240">
        <v>832.85714285714289</v>
      </c>
    </row>
    <row r="26" spans="2:15" ht="14.25">
      <c r="B26" s="14" t="str">
        <f>+B16 &amp;" Reservoir Evaporation"</f>
        <v>Node 6.01 Reservoir Evaporation</v>
      </c>
      <c r="C26" s="14"/>
      <c r="D26" s="54">
        <f>VLOOKUP($B16,Evaporation!$B$4:$O$5,3)</f>
        <v>36.384541666666671</v>
      </c>
      <c r="E26" s="54">
        <f>VLOOKUP($B16,Evaporation!$B$4:$O$5,4)</f>
        <v>32.43129166666666</v>
      </c>
      <c r="F26" s="54">
        <f>VLOOKUP($B16,Evaporation!$B$4:$O$5,5)</f>
        <v>87.959812499999998</v>
      </c>
      <c r="G26" s="54">
        <f>VLOOKUP($B16,Evaporation!$B$4:$O$5,6)</f>
        <v>357.32987500000007</v>
      </c>
      <c r="H26" s="54">
        <f>VLOOKUP($B16,Evaporation!$B$4:$O$5,7)</f>
        <v>493.3875625</v>
      </c>
      <c r="I26" s="54">
        <f>VLOOKUP($B16,Evaporation!$B$4:$O$5,8)</f>
        <v>718.72281250000003</v>
      </c>
      <c r="J26" s="54">
        <f>VLOOKUP($B16,Evaporation!$B$4:$O$5,9)</f>
        <v>849.61931250000009</v>
      </c>
      <c r="K26" s="54">
        <f>VLOOKUP($B16,Evaporation!$B$4:$O$5,10)</f>
        <v>683.61941666666655</v>
      </c>
      <c r="L26" s="54">
        <f>VLOOKUP($B16,Evaporation!$B$4:$O$5,11)</f>
        <v>425.19399999999996</v>
      </c>
      <c r="M26" s="54">
        <f>VLOOKUP($B16,Evaporation!$B$4:$O$5,12)</f>
        <v>201.65235416666664</v>
      </c>
      <c r="N26" s="54">
        <f>VLOOKUP($B16,Evaporation!$B$4:$O$5,13)</f>
        <v>58.456854166666695</v>
      </c>
      <c r="O26" s="110">
        <f>VLOOKUP($B16,Evaporation!$B$4:$O$5,14)</f>
        <v>41.143083333333387</v>
      </c>
    </row>
    <row r="27" spans="2:15" ht="15.75" thickBot="1">
      <c r="B27" s="24" t="str">
        <f>"Reservoir " &amp; (B16) &amp;" Total Outflow"</f>
        <v>Reservoir Node 6.01 Total Outflow</v>
      </c>
      <c r="C27" s="113"/>
      <c r="D27" s="27">
        <f t="shared" ref="D27:O27" si="5">SUM(D24:D26)</f>
        <v>1109.3845416666666</v>
      </c>
      <c r="E27" s="27">
        <f t="shared" si="5"/>
        <v>1052.1455773809523</v>
      </c>
      <c r="F27" s="27">
        <f t="shared" si="5"/>
        <v>1244.2455267857142</v>
      </c>
      <c r="G27" s="27">
        <f t="shared" si="5"/>
        <v>3503.0441607142857</v>
      </c>
      <c r="H27" s="27">
        <f t="shared" si="5"/>
        <v>25384.816133928573</v>
      </c>
      <c r="I27" s="27">
        <f t="shared" si="5"/>
        <v>38918.722812499997</v>
      </c>
      <c r="J27" s="27">
        <f t="shared" si="5"/>
        <v>6625.3335982142853</v>
      </c>
      <c r="K27" s="27">
        <f t="shared" si="5"/>
        <v>2293.6194166666664</v>
      </c>
      <c r="L27" s="27">
        <f t="shared" si="5"/>
        <v>1411.3368571428571</v>
      </c>
      <c r="M27" s="27">
        <f t="shared" si="5"/>
        <v>915.08092559523811</v>
      </c>
      <c r="N27" s="27">
        <f t="shared" si="5"/>
        <v>743.74256845238108</v>
      </c>
      <c r="O27" s="28">
        <f t="shared" si="5"/>
        <v>874.00022619047627</v>
      </c>
    </row>
    <row r="28" spans="2:15" ht="15">
      <c r="B28" s="9" t="s">
        <v>84</v>
      </c>
      <c r="C28" s="125"/>
      <c r="D28" s="126"/>
      <c r="E28" s="127"/>
      <c r="F28" s="127"/>
      <c r="G28" s="127"/>
      <c r="H28" s="127"/>
      <c r="I28" s="127"/>
      <c r="J28" s="127"/>
      <c r="K28" s="127"/>
      <c r="L28" s="127"/>
      <c r="M28" s="127"/>
      <c r="N28" s="127"/>
      <c r="O28" s="128"/>
    </row>
    <row r="29" spans="2:15" ht="14.25">
      <c r="B29" s="14"/>
      <c r="C29" s="114" t="s">
        <v>85</v>
      </c>
      <c r="D29" s="115">
        <f>+D22-D26-D34</f>
        <v>931.69645006887026</v>
      </c>
      <c r="E29" s="115">
        <f t="shared" ref="E29:O29" si="6">+E22-E26-E34</f>
        <v>1169.1436788173946</v>
      </c>
      <c r="F29" s="115">
        <f t="shared" si="6"/>
        <v>5795.3164566853593</v>
      </c>
      <c r="G29" s="115">
        <f t="shared" si="6"/>
        <v>5405.4682359799262</v>
      </c>
      <c r="H29" s="115">
        <f t="shared" si="6"/>
        <v>-5118.8716302601388</v>
      </c>
      <c r="I29" s="115">
        <f t="shared" si="6"/>
        <v>-25424.546353131969</v>
      </c>
      <c r="J29" s="115">
        <f t="shared" si="6"/>
        <v>-1658.2068381594399</v>
      </c>
      <c r="K29" s="115">
        <f t="shared" si="6"/>
        <v>0</v>
      </c>
      <c r="L29" s="115">
        <f t="shared" si="6"/>
        <v>0</v>
      </c>
      <c r="M29" s="115">
        <f t="shared" si="6"/>
        <v>103.32446140061984</v>
      </c>
      <c r="N29" s="115">
        <f t="shared" si="6"/>
        <v>1163.4148261805408</v>
      </c>
      <c r="O29" s="435">
        <f t="shared" si="6"/>
        <v>1084.4567986029122</v>
      </c>
    </row>
    <row r="30" spans="2:15" ht="14.25">
      <c r="B30" s="14"/>
      <c r="C30" s="114"/>
      <c r="D30" s="304"/>
      <c r="E30" s="304"/>
      <c r="F30" s="304"/>
      <c r="G30" s="304"/>
      <c r="H30" s="304"/>
      <c r="I30" s="304"/>
      <c r="J30" s="304"/>
      <c r="K30" s="135"/>
      <c r="L30" s="135"/>
      <c r="M30" s="304"/>
      <c r="N30" s="304"/>
      <c r="O30" s="305"/>
    </row>
    <row r="31" spans="2:15" ht="15">
      <c r="B31" s="14"/>
      <c r="C31" s="117" t="s">
        <v>86</v>
      </c>
      <c r="D31" s="138">
        <v>20500</v>
      </c>
      <c r="E31" s="118"/>
      <c r="F31" s="8" t="s">
        <v>87</v>
      </c>
      <c r="G31" s="121"/>
      <c r="H31" s="119"/>
      <c r="I31" s="137">
        <v>57300</v>
      </c>
      <c r="J31" s="403"/>
      <c r="K31" s="403"/>
      <c r="L31" s="403" t="s">
        <v>530</v>
      </c>
      <c r="M31" s="137">
        <v>1600</v>
      </c>
      <c r="N31" s="13"/>
      <c r="O31" s="116"/>
    </row>
    <row r="32" spans="2:15" ht="15">
      <c r="B32" s="112"/>
      <c r="C32" s="135"/>
      <c r="D32" s="135" t="s">
        <v>188</v>
      </c>
      <c r="E32" s="135"/>
      <c r="F32" s="135"/>
      <c r="G32" s="135"/>
      <c r="H32" s="135"/>
      <c r="I32" s="135"/>
      <c r="J32" s="118"/>
      <c r="K32" s="120"/>
      <c r="L32" s="120"/>
      <c r="M32" s="13"/>
      <c r="N32" s="13"/>
      <c r="O32" s="116"/>
    </row>
    <row r="33" spans="2:16" ht="14.25">
      <c r="B33" s="402" t="s">
        <v>529</v>
      </c>
      <c r="C33" s="135"/>
      <c r="D33" s="132">
        <f>IF(D31+D22-D27&lt;$M$31,$M$31,D31+D22-D27)</f>
        <v>21431.69645006887</v>
      </c>
      <c r="E33" s="132">
        <f>IF(D36+E22-E27&lt;$M$31,$M$31,D36+E22-E27)</f>
        <v>22600.840128886262</v>
      </c>
      <c r="F33" s="132">
        <f t="shared" ref="F33:O33" si="7">IF(E33+F22-F27&lt;$M$31,$M$31,E33+F22-F27-E35)</f>
        <v>28396.156585571622</v>
      </c>
      <c r="G33" s="132">
        <f t="shared" si="7"/>
        <v>33801.624821551552</v>
      </c>
      <c r="H33" s="132">
        <f t="shared" si="7"/>
        <v>28682.753191291413</v>
      </c>
      <c r="I33" s="132">
        <f t="shared" si="7"/>
        <v>3258.2068381594436</v>
      </c>
      <c r="J33" s="132">
        <f t="shared" si="7"/>
        <v>1600</v>
      </c>
      <c r="K33" s="132">
        <f t="shared" si="7"/>
        <v>1600</v>
      </c>
      <c r="L33" s="132">
        <f t="shared" si="7"/>
        <v>1600</v>
      </c>
      <c r="M33" s="132">
        <f t="shared" si="7"/>
        <v>1703.3244614006198</v>
      </c>
      <c r="N33" s="132">
        <f t="shared" si="7"/>
        <v>2866.7392875811606</v>
      </c>
      <c r="O33" s="404">
        <f t="shared" si="7"/>
        <v>3951.1960861840726</v>
      </c>
    </row>
    <row r="34" spans="2:16" ht="15">
      <c r="B34" s="133" t="str">
        <f>+B16&amp; " Actual Release"</f>
        <v>Node 6.01 Actual Release</v>
      </c>
      <c r="C34" s="401"/>
      <c r="D34" s="132">
        <f>IF(D31+D22-D26-$M$31&gt;D25,D25,D31+D22-D26-$M$31)</f>
        <v>1073</v>
      </c>
      <c r="E34" s="132">
        <f t="shared" ref="E34:O34" si="8">IF(D36+E22-E26-$M$31&gt;E25,E25,D36+E22-E26-$M$31)</f>
        <v>1019.7142857142857</v>
      </c>
      <c r="F34" s="132">
        <f t="shared" si="8"/>
        <v>1156.2857142857142</v>
      </c>
      <c r="G34" s="132">
        <f t="shared" si="8"/>
        <v>3145.7142857142858</v>
      </c>
      <c r="H34" s="132">
        <f t="shared" si="8"/>
        <v>24891.428571428572</v>
      </c>
      <c r="I34" s="132">
        <f t="shared" si="8"/>
        <v>38200</v>
      </c>
      <c r="J34" s="132">
        <f t="shared" si="8"/>
        <v>3296.1620830850188</v>
      </c>
      <c r="K34" s="132">
        <f t="shared" si="8"/>
        <v>436.56218561390688</v>
      </c>
      <c r="L34" s="132">
        <f t="shared" si="8"/>
        <v>296.59081496045565</v>
      </c>
      <c r="M34" s="132">
        <f t="shared" si="8"/>
        <v>713.42857142857144</v>
      </c>
      <c r="N34" s="132">
        <f t="shared" si="8"/>
        <v>685.28571428571433</v>
      </c>
      <c r="O34" s="404">
        <f t="shared" si="8"/>
        <v>832.85714285714289</v>
      </c>
    </row>
    <row r="35" spans="2:16" ht="14.25">
      <c r="B35" s="134" t="str">
        <f>+B16 &amp;" Spill"</f>
        <v>Node 6.01 Spill</v>
      </c>
      <c r="C35" s="136"/>
      <c r="D35" s="132">
        <f t="shared" ref="D35:O35" si="9">IF(D33&gt;$I$31,D33-$I$31,0)</f>
        <v>0</v>
      </c>
      <c r="E35" s="132">
        <f t="shared" si="9"/>
        <v>0</v>
      </c>
      <c r="F35" s="132">
        <f t="shared" si="9"/>
        <v>0</v>
      </c>
      <c r="G35" s="132">
        <f t="shared" si="9"/>
        <v>0</v>
      </c>
      <c r="H35" s="132">
        <f t="shared" si="9"/>
        <v>0</v>
      </c>
      <c r="I35" s="132">
        <f t="shared" si="9"/>
        <v>0</v>
      </c>
      <c r="J35" s="132">
        <f t="shared" si="9"/>
        <v>0</v>
      </c>
      <c r="K35" s="132">
        <f t="shared" si="9"/>
        <v>0</v>
      </c>
      <c r="L35" s="132">
        <f t="shared" si="9"/>
        <v>0</v>
      </c>
      <c r="M35" s="132">
        <f t="shared" si="9"/>
        <v>0</v>
      </c>
      <c r="N35" s="132">
        <f t="shared" si="9"/>
        <v>0</v>
      </c>
      <c r="O35" s="404">
        <f t="shared" si="9"/>
        <v>0</v>
      </c>
    </row>
    <row r="36" spans="2:16" ht="15.75" thickBot="1">
      <c r="B36" s="130" t="str">
        <f>+B16&amp; " End-of-Month Contents "</f>
        <v xml:space="preserve">Node 6.01 End-of-Month Contents </v>
      </c>
      <c r="C36" s="131"/>
      <c r="D36" s="27">
        <f>IF(D31+D22-D34-D26&gt;$I$31,$I$31,D31+D22-D34-D26)</f>
        <v>21431.69645006887</v>
      </c>
      <c r="E36" s="27">
        <f t="shared" ref="E36:O36" si="10">IF(D36+E22-E34-E26&gt;$I$31,$I$31,D36+E22-E34-E26)</f>
        <v>22600.840128886262</v>
      </c>
      <c r="F36" s="27">
        <f t="shared" si="10"/>
        <v>28396.156585571622</v>
      </c>
      <c r="G36" s="27">
        <f t="shared" si="10"/>
        <v>33801.624821551552</v>
      </c>
      <c r="H36" s="27">
        <f t="shared" si="10"/>
        <v>28682.753191291413</v>
      </c>
      <c r="I36" s="27">
        <f t="shared" si="10"/>
        <v>3258.2068381594399</v>
      </c>
      <c r="J36" s="27">
        <f t="shared" si="10"/>
        <v>1600</v>
      </c>
      <c r="K36" s="27">
        <f t="shared" si="10"/>
        <v>1600</v>
      </c>
      <c r="L36" s="27">
        <f t="shared" si="10"/>
        <v>1600</v>
      </c>
      <c r="M36" s="27">
        <f t="shared" si="10"/>
        <v>1703.3244614006198</v>
      </c>
      <c r="N36" s="27">
        <f t="shared" si="10"/>
        <v>2866.7392875811606</v>
      </c>
      <c r="O36" s="28">
        <f t="shared" si="10"/>
        <v>3951.1960861840726</v>
      </c>
      <c r="P36" s="241"/>
    </row>
    <row r="37" spans="2:16" ht="15.75" thickBot="1">
      <c r="B37" s="24" t="str">
        <f>(B16)&amp;" NET Flow (In - Out)"</f>
        <v>Node 6.01 NET Flow (In - Out)</v>
      </c>
      <c r="C37" s="131"/>
      <c r="D37" s="27">
        <f>+D34+D35</f>
        <v>1073</v>
      </c>
      <c r="E37" s="27">
        <f t="shared" ref="E37:O37" si="11">+E34+E35</f>
        <v>1019.7142857142857</v>
      </c>
      <c r="F37" s="27">
        <f t="shared" si="11"/>
        <v>1156.2857142857142</v>
      </c>
      <c r="G37" s="27">
        <f t="shared" si="11"/>
        <v>3145.7142857142858</v>
      </c>
      <c r="H37" s="27">
        <f t="shared" si="11"/>
        <v>24891.428571428572</v>
      </c>
      <c r="I37" s="27">
        <f t="shared" si="11"/>
        <v>38200</v>
      </c>
      <c r="J37" s="27">
        <f t="shared" si="11"/>
        <v>3296.1620830850188</v>
      </c>
      <c r="K37" s="27">
        <f t="shared" si="11"/>
        <v>436.56218561390688</v>
      </c>
      <c r="L37" s="27">
        <f t="shared" si="11"/>
        <v>296.59081496045565</v>
      </c>
      <c r="M37" s="27">
        <f t="shared" si="11"/>
        <v>713.42857142857144</v>
      </c>
      <c r="N37" s="27">
        <f t="shared" si="11"/>
        <v>685.28571428571433</v>
      </c>
      <c r="O37" s="28">
        <f t="shared" si="11"/>
        <v>832.85714285714289</v>
      </c>
    </row>
    <row r="38" spans="2:16" ht="14.25">
      <c r="B38" t="s">
        <v>534</v>
      </c>
      <c r="D38" s="242">
        <v>21316.666666666668</v>
      </c>
      <c r="E38" s="242">
        <v>23641.666666666668</v>
      </c>
      <c r="F38" s="242">
        <v>30035</v>
      </c>
      <c r="G38" s="242">
        <v>37880</v>
      </c>
      <c r="H38" s="242">
        <v>34756.666666666664</v>
      </c>
      <c r="I38" s="242">
        <v>11241.666666666666</v>
      </c>
      <c r="J38" s="242">
        <v>7608.333333333333</v>
      </c>
      <c r="K38" s="242">
        <v>6696.666666666667</v>
      </c>
      <c r="L38" s="242">
        <v>5940</v>
      </c>
      <c r="M38" s="242">
        <v>6150</v>
      </c>
      <c r="N38" s="242">
        <v>6580</v>
      </c>
      <c r="O38" s="242">
        <v>7285</v>
      </c>
      <c r="P38" s="241"/>
    </row>
    <row r="40" spans="2:16">
      <c r="D40" s="503"/>
      <c r="E40" s="503"/>
      <c r="F40" s="503"/>
      <c r="G40" s="503"/>
      <c r="H40" s="503"/>
      <c r="I40" s="503"/>
      <c r="J40" s="503"/>
      <c r="K40" s="503"/>
      <c r="L40" s="503"/>
      <c r="M40" s="503"/>
      <c r="N40" s="503"/>
      <c r="O40" s="503"/>
    </row>
    <row r="43" spans="2:16" ht="20.25">
      <c r="B43" s="285" t="s">
        <v>361</v>
      </c>
      <c r="C43" s="285"/>
      <c r="D43" s="285"/>
      <c r="E43" s="285"/>
      <c r="F43" s="285"/>
      <c r="G43" s="285"/>
      <c r="H43" s="285"/>
      <c r="I43" s="285"/>
      <c r="J43" s="285"/>
      <c r="K43" s="285"/>
      <c r="L43" s="285"/>
      <c r="M43" s="285"/>
      <c r="N43" s="285"/>
      <c r="O43" s="285"/>
    </row>
  </sheetData>
  <sheetProtection objects="1" scenarios="1"/>
  <mergeCells count="3">
    <mergeCell ref="T5:AE5"/>
    <mergeCell ref="A3:A14"/>
    <mergeCell ref="E1:P1"/>
  </mergeCells>
  <phoneticPr fontId="0" type="noConversion"/>
  <conditionalFormatting sqref="D14:O14">
    <cfRule type="cellIs" dxfId="8" priority="1" stopIfTrue="1" operator="lessThanOrEqual">
      <formula>0</formula>
    </cfRule>
  </conditionalFormatting>
  <conditionalFormatting sqref="D31">
    <cfRule type="cellIs" dxfId="7" priority="2" stopIfTrue="1" operator="lessThan">
      <formula>486</formula>
    </cfRule>
  </conditionalFormatting>
  <pageMargins left="0.75" right="0.75" top="1" bottom="1" header="0.5" footer="0.5"/>
  <pageSetup scale="65" fitToHeight="2" orientation="landscape" horizontalDpi="4294967292" verticalDpi="0" r:id="rId1"/>
  <headerFooter alignWithMargins="0">
    <oddHeader>&amp;C&amp;"Arial,Bold"&amp;12Bear River Spreadsheet Model
Dry Year Conditions</oddHeader>
    <oddFooter>&amp;L&amp;F &amp;A&amp;RAPPENDIX A (Page &amp;P of &amp;N)</oddFooter>
  </headerFooter>
  <legacyDrawing r:id="rId2"/>
</worksheet>
</file>

<file path=xl/worksheets/sheet10.xml><?xml version="1.0" encoding="utf-8"?>
<worksheet xmlns="http://schemas.openxmlformats.org/spreadsheetml/2006/main" xmlns:r="http://schemas.openxmlformats.org/officeDocument/2006/relationships">
  <sheetPr codeName="Sheet17">
    <pageSetUpPr autoPageBreaks="0"/>
  </sheetPr>
  <dimension ref="A1:AE68"/>
  <sheetViews>
    <sheetView showGridLines="0" zoomScale="75" zoomScaleNormal="75" workbookViewId="0">
      <pane ySplit="1" topLeftCell="A17" activePane="bottomLeft" state="frozen"/>
      <selection activeCell="B26" sqref="B26"/>
      <selection pane="bottomLeft" activeCell="O55" sqref="A55:O68"/>
    </sheetView>
  </sheetViews>
  <sheetFormatPr defaultRowHeight="12.75"/>
  <cols>
    <col min="1" max="1" width="2.28515625" customWidth="1"/>
    <col min="2" max="2" width="10.85546875" customWidth="1"/>
    <col min="3" max="3" width="25.28515625" customWidth="1"/>
    <col min="4" max="5" width="7.140625" customWidth="1"/>
    <col min="6" max="7" width="8.28515625" customWidth="1"/>
    <col min="8" max="15" width="9.42578125" customWidth="1"/>
  </cols>
  <sheetData>
    <row r="1" spans="1:31" ht="43.5" customHeight="1">
      <c r="A1" s="2"/>
      <c r="B1" s="3"/>
      <c r="C1" s="229"/>
      <c r="D1" s="664" t="s">
        <v>525</v>
      </c>
      <c r="E1" s="664"/>
      <c r="F1" s="664"/>
      <c r="G1" s="664"/>
      <c r="H1" s="664"/>
      <c r="I1" s="664"/>
      <c r="J1" s="664"/>
      <c r="K1" s="664"/>
      <c r="L1" s="664"/>
      <c r="M1" s="664"/>
      <c r="N1" s="664"/>
      <c r="O1" s="295"/>
    </row>
    <row r="3" spans="1:31" ht="16.5" thickBot="1">
      <c r="A3" s="658"/>
      <c r="B3" s="108" t="s">
        <v>121</v>
      </c>
      <c r="C3" s="109" t="str">
        <f>VLOOKUP(B3,NodeList!$D$4:$E$121,2,FALSE)</f>
        <v>USGS 10020300:  Bear R. bel res. nr Woodruff, UT</v>
      </c>
      <c r="D3" s="6"/>
      <c r="E3" s="6"/>
      <c r="F3" s="6"/>
      <c r="G3" s="6"/>
      <c r="H3" s="426"/>
      <c r="I3" s="426"/>
      <c r="J3" s="426"/>
      <c r="K3" s="426"/>
      <c r="L3" s="426"/>
      <c r="M3" s="426"/>
      <c r="N3" s="426"/>
      <c r="O3" s="434" t="s">
        <v>540</v>
      </c>
      <c r="P3" s="420"/>
      <c r="Q3" s="420"/>
      <c r="R3" s="420"/>
      <c r="S3" s="420"/>
    </row>
    <row r="4" spans="1:31" ht="18">
      <c r="A4" s="658"/>
      <c r="B4" s="9" t="s">
        <v>16</v>
      </c>
      <c r="C4" s="10"/>
      <c r="D4" s="11" t="s">
        <v>0</v>
      </c>
      <c r="E4" s="11" t="s">
        <v>1</v>
      </c>
      <c r="F4" s="11" t="s">
        <v>2</v>
      </c>
      <c r="G4" s="11" t="s">
        <v>3</v>
      </c>
      <c r="H4" s="11" t="s">
        <v>4</v>
      </c>
      <c r="I4" s="11" t="s">
        <v>5</v>
      </c>
      <c r="J4" s="11" t="s">
        <v>6</v>
      </c>
      <c r="K4" s="11" t="s">
        <v>7</v>
      </c>
      <c r="L4" s="11" t="s">
        <v>8</v>
      </c>
      <c r="M4" s="11" t="s">
        <v>9</v>
      </c>
      <c r="N4" s="11" t="s">
        <v>10</v>
      </c>
      <c r="O4" s="12" t="s">
        <v>11</v>
      </c>
      <c r="T4" s="664"/>
      <c r="U4" s="664"/>
      <c r="V4" s="664"/>
      <c r="W4" s="664"/>
      <c r="X4" s="664"/>
      <c r="Y4" s="664"/>
      <c r="Z4" s="664"/>
      <c r="AA4" s="664"/>
      <c r="AB4" s="664"/>
      <c r="AC4" s="664"/>
      <c r="AD4" s="664"/>
      <c r="AE4" s="664"/>
    </row>
    <row r="5" spans="1:31" ht="14.25">
      <c r="A5" s="658"/>
      <c r="B5" s="14" t="str">
        <f>+B3 &amp;" Node Inflow"</f>
        <v>Node 7.00 Node Inflow</v>
      </c>
      <c r="C5" s="13"/>
      <c r="D5" s="15">
        <f>+'Reach 6'!D37</f>
        <v>1073</v>
      </c>
      <c r="E5" s="15">
        <f>+'Reach 6'!E37</f>
        <v>1019.7142857142857</v>
      </c>
      <c r="F5" s="15">
        <f>+'Reach 6'!F37</f>
        <v>1156.2857142857142</v>
      </c>
      <c r="G5" s="15">
        <f>+'Reach 6'!G37</f>
        <v>3145.7142857142858</v>
      </c>
      <c r="H5" s="15">
        <f>+'Reach 6'!H37</f>
        <v>24891.428571428572</v>
      </c>
      <c r="I5" s="15">
        <f>+'Reach 6'!I37</f>
        <v>38200</v>
      </c>
      <c r="J5" s="15">
        <f>+'Reach 6'!J37</f>
        <v>3296.1620830850188</v>
      </c>
      <c r="K5" s="15">
        <f>+'Reach 6'!K37</f>
        <v>436.56218561390688</v>
      </c>
      <c r="L5" s="15">
        <f>+'Reach 6'!L37</f>
        <v>296.59081496045565</v>
      </c>
      <c r="M5" s="15">
        <f>+'Reach 6'!M37</f>
        <v>713.42857142857144</v>
      </c>
      <c r="N5" s="15">
        <f>+'Reach 6'!N37</f>
        <v>685.28571428571433</v>
      </c>
      <c r="O5" s="16">
        <f>+'Reach 6'!O37</f>
        <v>832.85714285714289</v>
      </c>
    </row>
    <row r="6" spans="1:31" ht="14.25">
      <c r="A6" s="658"/>
      <c r="B6" s="14" t="str">
        <f>+B3 &amp;" Irrigation Returns"</f>
        <v>Node 7.00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row>
    <row r="7" spans="1:31" ht="14.25">
      <c r="A7" s="658"/>
      <c r="B7" s="14" t="s">
        <v>25</v>
      </c>
      <c r="C7" s="13" t="s">
        <v>180</v>
      </c>
      <c r="D7" s="54">
        <f>VLOOKUP($B7,GainLoss!$B$5:$O$14,3,FALSE)</f>
        <v>417.38738181818167</v>
      </c>
      <c r="E7" s="54">
        <f>VLOOKUP($B7,GainLoss!$B$5:$O$14,4,FALSE)</f>
        <v>15.569476033057754</v>
      </c>
      <c r="F7" s="54">
        <f>VLOOKUP($B7,GainLoss!$B$5:$O$14,5,FALSE)</f>
        <v>1991.2845388429755</v>
      </c>
      <c r="G7" s="54">
        <f>VLOOKUP($B7,GainLoss!$B$5:$O$14,6,FALSE)</f>
        <v>782.75645867768617</v>
      </c>
      <c r="H7" s="54">
        <f>VLOOKUP($B7,GainLoss!$B$5:$O$14,7,FALSE)</f>
        <v>5653.6705762079591</v>
      </c>
      <c r="I7" s="54">
        <f>VLOOKUP($B7,GainLoss!$B$5:$O$14,8,FALSE)</f>
        <v>18847.315918223365</v>
      </c>
      <c r="J7" s="54">
        <f>VLOOKUP($B7,GainLoss!$B$5:$O$14,9,FALSE)</f>
        <v>6819.8256501590331</v>
      </c>
      <c r="K7" s="54">
        <f>VLOOKUP($B7,GainLoss!$B$5:$O$14,10,FALSE)</f>
        <v>2059.3441984239557</v>
      </c>
      <c r="L7" s="54">
        <f>VLOOKUP($B7,GainLoss!$B$5:$O$14,11,FALSE)</f>
        <v>1945.2580778266883</v>
      </c>
      <c r="M7" s="54">
        <f>VLOOKUP($B7,GainLoss!$B$5:$O$14,12,FALSE)</f>
        <v>546.54579958184695</v>
      </c>
      <c r="N7" s="54">
        <f>VLOOKUP($B7,GainLoss!$B$5:$O$14,13,FALSE)</f>
        <v>970.87761149108724</v>
      </c>
      <c r="O7" s="110">
        <f>VLOOKUP($B7,GainLoss!$B$5:$O$14,14,FALSE)</f>
        <v>667.91867272727268</v>
      </c>
    </row>
    <row r="8" spans="1:31" ht="14.25">
      <c r="A8" s="658"/>
      <c r="B8" s="14" t="str">
        <f>+B3 &amp;" Import/Export"</f>
        <v>Node 7.00 Import/Export</v>
      </c>
      <c r="C8" s="13"/>
      <c r="D8" s="190">
        <f>VLOOKUP($B3,ImportExport!$B$6:$O$68,3,FALSE)</f>
        <v>0</v>
      </c>
      <c r="E8" s="190">
        <f>VLOOKUP($B3,ImportExport!$B$6:$O$68,4,FALSE)</f>
        <v>0</v>
      </c>
      <c r="F8" s="190">
        <f>VLOOKUP($B3,ImportExport!$B$6:$O$68,5,FALSE)</f>
        <v>0</v>
      </c>
      <c r="G8" s="190">
        <f>VLOOKUP($B3,ImportExport!$B$6:$O$68,6,FALSE)</f>
        <v>0</v>
      </c>
      <c r="H8" s="190">
        <f>VLOOKUP($B3,ImportExport!$B$6:$O$68,7,FALSE)</f>
        <v>0</v>
      </c>
      <c r="I8" s="190">
        <f>VLOOKUP($B3,ImportExport!$B$6:$O$68,8,FALSE)</f>
        <v>0</v>
      </c>
      <c r="J8" s="190">
        <f>VLOOKUP($B3,ImportExport!$B$6:$O$68,9,FALSE)</f>
        <v>0</v>
      </c>
      <c r="K8" s="190">
        <f>VLOOKUP($B3,ImportExport!$B$6:$O$68,10,FALSE)</f>
        <v>0</v>
      </c>
      <c r="L8" s="190">
        <f>VLOOKUP($B3,ImportExport!$B$6:$O$68,11,FALSE)</f>
        <v>0</v>
      </c>
      <c r="M8" s="190">
        <f>VLOOKUP($B3,ImportExport!$B$6:$O$68,12,FALSE)</f>
        <v>0</v>
      </c>
      <c r="N8" s="190">
        <f>VLOOKUP($B3,ImportExport!$B$6:$O$68,13,FALSE)</f>
        <v>0</v>
      </c>
      <c r="O8" s="197">
        <f>VLOOKUP($B3,ImportExport!$B$6:$O$68,14,FALSE)</f>
        <v>0</v>
      </c>
    </row>
    <row r="9" spans="1:31" ht="15.75" thickBot="1">
      <c r="A9" s="658"/>
      <c r="B9" s="18" t="str">
        <f>"Total "&amp; (B3)&amp;" Inflow"</f>
        <v>Total Node 7.00 Inflow</v>
      </c>
      <c r="C9" s="17"/>
      <c r="D9" s="25">
        <f>SUM(D5:D8)</f>
        <v>1490.3873818181817</v>
      </c>
      <c r="E9" s="25">
        <f t="shared" ref="E9:O9" si="0">SUM(E5:E8)</f>
        <v>1035.2837617473433</v>
      </c>
      <c r="F9" s="25">
        <f t="shared" si="0"/>
        <v>3147.5702531286897</v>
      </c>
      <c r="G9" s="25">
        <f t="shared" si="0"/>
        <v>3928.4707443919719</v>
      </c>
      <c r="H9" s="25">
        <f t="shared" si="0"/>
        <v>30545.099147636531</v>
      </c>
      <c r="I9" s="25">
        <f t="shared" si="0"/>
        <v>57047.315918223365</v>
      </c>
      <c r="J9" s="25">
        <f t="shared" si="0"/>
        <v>10115.987733244052</v>
      </c>
      <c r="K9" s="25">
        <f t="shared" si="0"/>
        <v>2495.9063840378626</v>
      </c>
      <c r="L9" s="25">
        <f t="shared" si="0"/>
        <v>2241.848892787144</v>
      </c>
      <c r="M9" s="25">
        <f t="shared" si="0"/>
        <v>1259.9743710104185</v>
      </c>
      <c r="N9" s="25">
        <f t="shared" si="0"/>
        <v>1656.1633257768017</v>
      </c>
      <c r="O9" s="26">
        <f t="shared" si="0"/>
        <v>1500.7758155844156</v>
      </c>
    </row>
    <row r="10" spans="1:31" ht="15">
      <c r="A10" s="658"/>
      <c r="B10" s="19" t="s">
        <v>17</v>
      </c>
      <c r="C10" s="20"/>
      <c r="D10" s="282" t="str">
        <f>IF(((VLOOKUP($B3,'Diversion Data'!$B$3:$O$227,3,FALSE))-D12)&gt;0,"Short","")</f>
        <v/>
      </c>
      <c r="E10" s="282" t="str">
        <f>IF(((VLOOKUP($B3,'Diversion Data'!$B$3:$O$227,4,FALSE))-E12)&gt;0,"Short","")</f>
        <v/>
      </c>
      <c r="F10" s="282" t="str">
        <f>IF(((VLOOKUP($B3,'Diversion Data'!$B$3:$O$227,5,FALSE))-F12)&gt;0,"Short","")</f>
        <v/>
      </c>
      <c r="G10" s="282" t="str">
        <f>IF(((VLOOKUP($B3,'Diversion Data'!$B$3:$O$227,6,FALSE))-G12)&gt;0,"Short","")</f>
        <v/>
      </c>
      <c r="H10" s="282" t="str">
        <f>IF(((VLOOKUP($B3,'Diversion Data'!$B$3:$O$227,7,FALSE))-H12)&gt;0,"Short","")</f>
        <v/>
      </c>
      <c r="I10" s="282" t="str">
        <f>IF(((VLOOKUP($B3,'Diversion Data'!$B$3:$O$227,8,FALSE))-I12)&gt;0,"Short","")</f>
        <v/>
      </c>
      <c r="J10" s="282" t="str">
        <f>IF(((VLOOKUP($B3,'Diversion Data'!$B$3:$O$227,9,FALSE))-J12)&gt;0,"Short","")</f>
        <v/>
      </c>
      <c r="K10" s="282" t="str">
        <f>IF(((VLOOKUP($B3,'Diversion Data'!$B$3:$O$227,10,FALSE))-K12)&gt;0,"Short","")</f>
        <v/>
      </c>
      <c r="L10" s="282" t="str">
        <f>IF(((VLOOKUP($B3,'Diversion Data'!$B$3:$O$227,11,FALSE))-L12)&gt;0,"Short","")</f>
        <v/>
      </c>
      <c r="M10" s="282" t="str">
        <f>IF(((VLOOKUP($B3,'Diversion Data'!$B$3:$O$227,12,FALSE))-M12)&gt;0,"Short","")</f>
        <v/>
      </c>
      <c r="N10" s="282" t="str">
        <f>IF(((VLOOKUP($B3,'Diversion Data'!$B$3:$O$227,13,FALSE))-N12)&gt;0,"Short","")</f>
        <v/>
      </c>
      <c r="O10" s="283" t="str">
        <f>IF(((VLOOKUP($B3,'Diversion Data'!$B$3:$O$227,14,FALSE))-O12)&gt;0,"Short","")</f>
        <v/>
      </c>
    </row>
    <row r="11" spans="1:31" ht="14.25">
      <c r="A11" s="658"/>
      <c r="B11" s="14" t="s">
        <v>328</v>
      </c>
      <c r="C11" s="13" t="s">
        <v>181</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8">
        <f>VLOOKUP($B11,GainLoss!$B$19:$O$27,14,FALSE)</f>
        <v>0</v>
      </c>
    </row>
    <row r="12" spans="1:31" ht="14.25">
      <c r="A12" s="658"/>
      <c r="B12" s="14" t="str">
        <f>+B3 &amp;" Diversions"</f>
        <v>Node 7.00 Diversions</v>
      </c>
      <c r="C12" s="13"/>
      <c r="D12" s="54">
        <f>MIN(VLOOKUP($B3,'Diversion Data'!$B$3:$O$227,3,FALSE),(D9-D11))</f>
        <v>0</v>
      </c>
      <c r="E12" s="54">
        <f>MIN(VLOOKUP($B3,'Diversion Data'!$B$3:$O$227,4,FALSE),(E9-E11))</f>
        <v>0</v>
      </c>
      <c r="F12" s="54">
        <f>MIN(VLOOKUP($B3,'Diversion Data'!$B$3:$O$227,5,FALSE),(F9-F11))</f>
        <v>0</v>
      </c>
      <c r="G12" s="54">
        <f>MIN(VLOOKUP($B3,'Diversion Data'!$B$3:$O$227,6,FALSE),(G9-G11))</f>
        <v>0</v>
      </c>
      <c r="H12" s="54">
        <f>MIN(VLOOKUP($B3,'Diversion Data'!$B$3:$O$227,7,FALSE),(H9-H11))</f>
        <v>0</v>
      </c>
      <c r="I12" s="54">
        <f>MIN(VLOOKUP($B3,'Diversion Data'!$B$3:$O$227,8,FALSE),(I9-I11))</f>
        <v>0</v>
      </c>
      <c r="J12" s="54">
        <f>MIN(VLOOKUP($B3,'Diversion Data'!$B$3:$O$227,9,FALSE),(J9-J11))</f>
        <v>0</v>
      </c>
      <c r="K12" s="54">
        <f>MIN(VLOOKUP($B3,'Diversion Data'!$B$3:$O$227,10,FALSE),(K9-K11))</f>
        <v>0</v>
      </c>
      <c r="L12" s="54">
        <f>MIN(VLOOKUP($B3,'Diversion Data'!$B$3:$O$227,11,FALSE),(L9-L11))</f>
        <v>0</v>
      </c>
      <c r="M12" s="54">
        <f>MIN(VLOOKUP($B3,'Diversion Data'!$B$3:$O$227,12,FALSE),(M9-M11))</f>
        <v>0</v>
      </c>
      <c r="N12" s="54">
        <f>MIN(VLOOKUP($B3,'Diversion Data'!$B$3:$O$227,13,FALSE),(N9-N11))</f>
        <v>0</v>
      </c>
      <c r="O12" s="110">
        <f>MIN(VLOOKUP($B3,'Diversion Data'!$B$3:$O$227,14,FALSE),(O9-O11))</f>
        <v>0</v>
      </c>
    </row>
    <row r="13" spans="1:31" ht="15.75" thickBot="1">
      <c r="A13" s="658"/>
      <c r="B13" s="24" t="str">
        <f>"Total " &amp; (B3) &amp;" Outflow"</f>
        <v>Total Node 7.00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31" ht="15.75" thickBot="1">
      <c r="A14" s="658"/>
      <c r="B14" s="24" t="str">
        <f>(B3)&amp;" NET Flow (In - Out)"</f>
        <v>Node 7.00 NET Flow (In - Out)</v>
      </c>
      <c r="C14" s="23"/>
      <c r="D14" s="193">
        <f t="shared" ref="D14:O14" si="2">MAX(D9-D13,0)</f>
        <v>1490.3873818181817</v>
      </c>
      <c r="E14" s="193">
        <f t="shared" si="2"/>
        <v>1035.2837617473433</v>
      </c>
      <c r="F14" s="193">
        <f t="shared" si="2"/>
        <v>3147.5702531286897</v>
      </c>
      <c r="G14" s="193">
        <f t="shared" si="2"/>
        <v>3928.4707443919719</v>
      </c>
      <c r="H14" s="193">
        <f t="shared" si="2"/>
        <v>30545.099147636531</v>
      </c>
      <c r="I14" s="193">
        <f t="shared" si="2"/>
        <v>57047.315918223365</v>
      </c>
      <c r="J14" s="193">
        <f t="shared" si="2"/>
        <v>10115.987733244052</v>
      </c>
      <c r="K14" s="193">
        <f t="shared" si="2"/>
        <v>2495.9063840378626</v>
      </c>
      <c r="L14" s="193">
        <f t="shared" si="2"/>
        <v>2241.848892787144</v>
      </c>
      <c r="M14" s="193">
        <f t="shared" si="2"/>
        <v>1259.9743710104185</v>
      </c>
      <c r="N14" s="193">
        <f t="shared" si="2"/>
        <v>1656.1633257768017</v>
      </c>
      <c r="O14" s="200">
        <f t="shared" si="2"/>
        <v>1500.7758155844156</v>
      </c>
    </row>
    <row r="16" spans="1:31" ht="15.75" thickBot="1">
      <c r="B16" s="108" t="s">
        <v>230</v>
      </c>
      <c r="C16" s="109" t="str">
        <f>VLOOKUP(B16,NodeList!$D$4:$E$121,2,FALSE)</f>
        <v>Aggregate Utah Diversions</v>
      </c>
      <c r="D16" s="6"/>
      <c r="E16" s="6"/>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7.03 Node Inflow</v>
      </c>
      <c r="C18" s="13"/>
      <c r="D18" s="15">
        <f>+D14</f>
        <v>1490.3873818181817</v>
      </c>
      <c r="E18" s="15">
        <f t="shared" ref="E18:O18" si="3">+E14</f>
        <v>1035.2837617473433</v>
      </c>
      <c r="F18" s="15">
        <f t="shared" si="3"/>
        <v>3147.5702531286897</v>
      </c>
      <c r="G18" s="15">
        <f t="shared" si="3"/>
        <v>3928.4707443919719</v>
      </c>
      <c r="H18" s="15">
        <f t="shared" si="3"/>
        <v>30545.099147636531</v>
      </c>
      <c r="I18" s="15">
        <f t="shared" si="3"/>
        <v>57047.315918223365</v>
      </c>
      <c r="J18" s="15">
        <f t="shared" si="3"/>
        <v>10115.987733244052</v>
      </c>
      <c r="K18" s="15">
        <f t="shared" si="3"/>
        <v>2495.9063840378626</v>
      </c>
      <c r="L18" s="15">
        <f t="shared" si="3"/>
        <v>2241.848892787144</v>
      </c>
      <c r="M18" s="15">
        <f t="shared" si="3"/>
        <v>1259.9743710104185</v>
      </c>
      <c r="N18" s="15">
        <f t="shared" si="3"/>
        <v>1656.1633257768017</v>
      </c>
      <c r="O18" s="15">
        <f t="shared" si="3"/>
        <v>1500.7758155844156</v>
      </c>
    </row>
    <row r="19" spans="2:15" ht="14.25">
      <c r="B19" s="14" t="str">
        <f>+B16 &amp;" Irrigation Returns"</f>
        <v>Node 7.03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0</v>
      </c>
      <c r="I19" s="54">
        <f>VLOOKUP(($B16),'Irrigation Returns'!$B$644:$P$930,9,FALSE)</f>
        <v>0</v>
      </c>
      <c r="J19" s="54">
        <f>VLOOKUP(($B16),'Irrigation Returns'!$B$644:$P$930,10,FALSE)</f>
        <v>0</v>
      </c>
      <c r="K19" s="54">
        <f>VLOOKUP(($B16),'Irrigation Returns'!$B$644:$P$930,11,FALSE)</f>
        <v>0</v>
      </c>
      <c r="L19" s="54">
        <f>VLOOKUP(($B16),'Irrigation Returns'!$B$644:$P$930,12,FALSE)</f>
        <v>0</v>
      </c>
      <c r="M19" s="54">
        <f>VLOOKUP(($B16),'Irrigation Returns'!$B$644:$P$930,13,FALSE)</f>
        <v>0</v>
      </c>
      <c r="N19" s="54">
        <f>VLOOKUP(($B16),'Irrigation Returns'!$B$644:$P$930,14,FALSE)</f>
        <v>0</v>
      </c>
      <c r="O19" s="110">
        <f>VLOOKUP(($B16),'Irrigation Returns'!$B$644:$P$930,15,FALSE)</f>
        <v>0</v>
      </c>
    </row>
    <row r="20" spans="2:15" ht="14.25">
      <c r="B20" s="14" t="s">
        <v>328</v>
      </c>
      <c r="C20" s="13" t="s">
        <v>180</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7.03 Import/Export</v>
      </c>
      <c r="C21" s="13"/>
      <c r="D21" s="190">
        <f>VLOOKUP($B16,ImportExport!$B$6:$O$68,3,FALSE)</f>
        <v>0</v>
      </c>
      <c r="E21" s="190">
        <f>VLOOKUP($B16,ImportExport!$B$6:$O$68,4,FALSE)</f>
        <v>0</v>
      </c>
      <c r="F21" s="190">
        <f>VLOOKUP($B16,ImportExport!$B$6:$O$68,5,FALSE)</f>
        <v>0</v>
      </c>
      <c r="G21" s="190">
        <f>VLOOKUP($B16,ImportExport!$B$6:$O$68,6,FALSE)</f>
        <v>0</v>
      </c>
      <c r="H21" s="190">
        <f>VLOOKUP($B16,ImportExport!$B$6:$O$68,7,FALSE)</f>
        <v>0</v>
      </c>
      <c r="I21" s="190">
        <f>VLOOKUP($B16,ImportExport!$B$6:$O$68,8,FALSE)</f>
        <v>0</v>
      </c>
      <c r="J21" s="190">
        <f>VLOOKUP($B16,ImportExport!$B$6:$O$68,9,FALSE)</f>
        <v>0</v>
      </c>
      <c r="K21" s="190">
        <f>VLOOKUP($B16,ImportExport!$B$6:$O$68,10,FALSE)</f>
        <v>0</v>
      </c>
      <c r="L21" s="190">
        <f>VLOOKUP($B16,ImportExport!$B$6:$O$68,11,FALSE)</f>
        <v>0</v>
      </c>
      <c r="M21" s="190">
        <f>VLOOKUP($B16,ImportExport!$B$6:$O$68,12,FALSE)</f>
        <v>0</v>
      </c>
      <c r="N21" s="190">
        <f>VLOOKUP($B16,ImportExport!$B$6:$O$68,13,FALSE)</f>
        <v>0</v>
      </c>
      <c r="O21" s="197">
        <f>VLOOKUP($B16,ImportExport!$B$6:$O$68,14,FALSE)</f>
        <v>0</v>
      </c>
    </row>
    <row r="22" spans="2:15" ht="15.75" thickBot="1">
      <c r="B22" s="18" t="str">
        <f>"Total "&amp; (B16)&amp;" Inflow"</f>
        <v>Total Node 7.03 Inflow</v>
      </c>
      <c r="C22" s="17"/>
      <c r="D22" s="25">
        <f t="shared" ref="D22:O22" si="4">SUM(D18:D21)</f>
        <v>1490.3873818181817</v>
      </c>
      <c r="E22" s="25">
        <f t="shared" si="4"/>
        <v>1035.2837617473433</v>
      </c>
      <c r="F22" s="25">
        <f t="shared" si="4"/>
        <v>3147.5702531286897</v>
      </c>
      <c r="G22" s="25">
        <f t="shared" si="4"/>
        <v>3928.4707443919719</v>
      </c>
      <c r="H22" s="25">
        <f t="shared" si="4"/>
        <v>30545.099147636531</v>
      </c>
      <c r="I22" s="25">
        <f t="shared" si="4"/>
        <v>57047.315918223365</v>
      </c>
      <c r="J22" s="25">
        <f t="shared" si="4"/>
        <v>10115.987733244052</v>
      </c>
      <c r="K22" s="25">
        <f t="shared" si="4"/>
        <v>2495.9063840378626</v>
      </c>
      <c r="L22" s="25">
        <f t="shared" si="4"/>
        <v>2241.848892787144</v>
      </c>
      <c r="M22" s="25">
        <f t="shared" si="4"/>
        <v>1259.9743710104185</v>
      </c>
      <c r="N22" s="25">
        <f t="shared" si="4"/>
        <v>1656.1633257768017</v>
      </c>
      <c r="O22" s="26">
        <f t="shared" si="4"/>
        <v>1500.7758155844156</v>
      </c>
    </row>
    <row r="23" spans="2:15" ht="15">
      <c r="B23" s="19" t="s">
        <v>17</v>
      </c>
      <c r="C23" s="20"/>
      <c r="D23" s="282" t="str">
        <f>IF(((VLOOKUP($B16,'Diversion Data'!$B$3:$O$227,3,FALSE))-D25)&gt;0,"Short","")</f>
        <v/>
      </c>
      <c r="E23" s="282" t="str">
        <f>IF(((VLOOKUP($B16,'Diversion Data'!$B$3:$O$227,4,FALSE))-E25)&gt;0,"Short","")</f>
        <v/>
      </c>
      <c r="F23" s="282" t="str">
        <f>IF(((VLOOKUP($B16,'Diversion Data'!$B$3:$O$227,5,FALSE))-F25)&gt;0,"Short","")</f>
        <v/>
      </c>
      <c r="G23" s="282" t="str">
        <f>IF(((VLOOKUP($B16,'Diversion Data'!$B$3:$O$227,6,FALSE))-G25)&gt;0,"Short","")</f>
        <v/>
      </c>
      <c r="H23" s="282" t="str">
        <f>IF(((VLOOKUP($B16,'Diversion Data'!$B$3:$O$227,7,FALSE))-H25)&gt;0,"Short","")</f>
        <v/>
      </c>
      <c r="I23" s="282" t="str">
        <f>IF(((VLOOKUP($B16,'Diversion Data'!$B$3:$O$227,8,FALSE))-I25)&gt;0,"Short","")</f>
        <v/>
      </c>
      <c r="J23" s="282" t="str">
        <f>IF(((VLOOKUP($B16,'Diversion Data'!$B$3:$O$227,9,FALSE))-J25)&gt;0,"Short","")</f>
        <v/>
      </c>
      <c r="K23" s="282" t="str">
        <f>IF(((VLOOKUP($B16,'Diversion Data'!$B$3:$O$227,10,FALSE))-K25)&gt;0,"Short","")</f>
        <v>Short</v>
      </c>
      <c r="L23" s="282" t="str">
        <f>IF(((VLOOKUP($B16,'Diversion Data'!$B$3:$O$227,11,FALSE))-L25)&gt;0,"Short","")</f>
        <v>Short</v>
      </c>
      <c r="M23" s="282" t="str">
        <f>IF(((VLOOKUP($B16,'Diversion Data'!$B$3:$O$227,12,FALSE))-M25)&gt;0,"Short","")</f>
        <v/>
      </c>
      <c r="N23" s="282" t="str">
        <f>IF(((VLOOKUP($B16,'Diversion Data'!$B$3:$O$227,13,FALSE))-N25)&gt;0,"Short","")</f>
        <v/>
      </c>
      <c r="O23" s="283" t="str">
        <f>IF(((VLOOKUP($B16,'Diversion Data'!$B$3:$O$227,14,FALSE))-O25)&gt;0,"Short","")</f>
        <v/>
      </c>
    </row>
    <row r="24" spans="2:15" ht="14.25">
      <c r="B24" s="14" t="s">
        <v>328</v>
      </c>
      <c r="C24" s="13" t="s">
        <v>181</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8">
        <f>VLOOKUP($B24,GainLoss!$B$19:$O$27,14,FALSE)</f>
        <v>0</v>
      </c>
    </row>
    <row r="25" spans="2:15" ht="14.25">
      <c r="B25" s="14" t="str">
        <f>+B16 &amp;" Diversions"</f>
        <v>Node 7.03 Diversions</v>
      </c>
      <c r="C25" s="13"/>
      <c r="D25" s="54">
        <f>MIN(VLOOKUP($B16,'Diversion Data'!$B$3:$O$227,3,FALSE),(D22-D24))</f>
        <v>0</v>
      </c>
      <c r="E25" s="54">
        <f>MIN(VLOOKUP($B16,'Diversion Data'!$B$3:$O$227,4,FALSE),(E22-E24))</f>
        <v>0</v>
      </c>
      <c r="F25" s="54">
        <f>MIN(VLOOKUP($B16,'Diversion Data'!$B$3:$O$227,5,FALSE),(F22-F24))</f>
        <v>0</v>
      </c>
      <c r="G25" s="54">
        <f>MIN(VLOOKUP($B16,'Diversion Data'!$B$3:$O$227,6,FALSE),(G22-G24))</f>
        <v>0</v>
      </c>
      <c r="H25" s="54">
        <f>MIN(VLOOKUP($B16,'Diversion Data'!$B$3:$O$227,7,FALSE),(H22-H24))</f>
        <v>19706.331893247167</v>
      </c>
      <c r="I25" s="54">
        <f>MIN(VLOOKUP($B16,'Diversion Data'!$B$3:$O$227,8,FALSE),(I22-I24))</f>
        <v>43876.311703128056</v>
      </c>
      <c r="J25" s="54">
        <f>MIN(VLOOKUP($B16,'Diversion Data'!$B$3:$O$227,9,FALSE),(J22-J24))</f>
        <v>8753.5195151369044</v>
      </c>
      <c r="K25" s="54">
        <f>MIN(VLOOKUP($B16,'Diversion Data'!$B$3:$O$227,10,FALSE),(K22-K24))</f>
        <v>2495.9063840378626</v>
      </c>
      <c r="L25" s="54">
        <f>MIN(VLOOKUP($B16,'Diversion Data'!$B$3:$O$227,11,FALSE),(L22-L24))</f>
        <v>2241.848892787144</v>
      </c>
      <c r="M25" s="54">
        <f>MIN(VLOOKUP($B16,'Diversion Data'!$B$3:$O$227,12,FALSE),(M22-M24))</f>
        <v>0</v>
      </c>
      <c r="N25" s="54">
        <f>MIN(VLOOKUP($B16,'Diversion Data'!$B$3:$O$227,13,FALSE),(N22-N24))</f>
        <v>0</v>
      </c>
      <c r="O25" s="110">
        <f>MIN(VLOOKUP($B16,'Diversion Data'!$B$3:$O$227,14,FALSE),(O22-O24))</f>
        <v>0</v>
      </c>
    </row>
    <row r="26" spans="2:15" ht="15.75" thickBot="1">
      <c r="B26" s="24" t="str">
        <f>"Total " &amp; (B16) &amp;" Outflow"</f>
        <v>Total Node 7.03 Outflow</v>
      </c>
      <c r="C26" s="23"/>
      <c r="D26" s="27">
        <f t="shared" ref="D26:O26" si="5">SUM(D24:D25)</f>
        <v>0</v>
      </c>
      <c r="E26" s="27">
        <f t="shared" si="5"/>
        <v>0</v>
      </c>
      <c r="F26" s="27">
        <f t="shared" si="5"/>
        <v>0</v>
      </c>
      <c r="G26" s="27">
        <f t="shared" si="5"/>
        <v>0</v>
      </c>
      <c r="H26" s="27">
        <f t="shared" si="5"/>
        <v>19706.331893247167</v>
      </c>
      <c r="I26" s="27">
        <f t="shared" si="5"/>
        <v>43876.311703128056</v>
      </c>
      <c r="J26" s="27">
        <f t="shared" si="5"/>
        <v>8753.5195151369044</v>
      </c>
      <c r="K26" s="27">
        <f t="shared" si="5"/>
        <v>2495.9063840378626</v>
      </c>
      <c r="L26" s="27">
        <f t="shared" si="5"/>
        <v>2241.848892787144</v>
      </c>
      <c r="M26" s="27">
        <f t="shared" si="5"/>
        <v>0</v>
      </c>
      <c r="N26" s="27">
        <f t="shared" si="5"/>
        <v>0</v>
      </c>
      <c r="O26" s="28">
        <f t="shared" si="5"/>
        <v>0</v>
      </c>
    </row>
    <row r="27" spans="2:15" ht="15.75" thickBot="1">
      <c r="B27" s="24" t="str">
        <f>(B16)&amp;" NET Flow (In - Out)"</f>
        <v>Node 7.03 NET Flow (In - Out)</v>
      </c>
      <c r="C27" s="23"/>
      <c r="D27" s="193">
        <f t="shared" ref="D27:O27" si="6">MAX(D22-D26,0)</f>
        <v>1490.3873818181817</v>
      </c>
      <c r="E27" s="193">
        <f t="shared" si="6"/>
        <v>1035.2837617473433</v>
      </c>
      <c r="F27" s="193">
        <f t="shared" si="6"/>
        <v>3147.5702531286897</v>
      </c>
      <c r="G27" s="193">
        <f t="shared" si="6"/>
        <v>3928.4707443919719</v>
      </c>
      <c r="H27" s="193">
        <f t="shared" si="6"/>
        <v>10838.767254389364</v>
      </c>
      <c r="I27" s="193">
        <f t="shared" si="6"/>
        <v>13171.004215095309</v>
      </c>
      <c r="J27" s="193">
        <f t="shared" si="6"/>
        <v>1362.4682181071475</v>
      </c>
      <c r="K27" s="193">
        <f t="shared" si="6"/>
        <v>0</v>
      </c>
      <c r="L27" s="193">
        <f t="shared" si="6"/>
        <v>0</v>
      </c>
      <c r="M27" s="193">
        <f t="shared" si="6"/>
        <v>1259.9743710104185</v>
      </c>
      <c r="N27" s="193">
        <f t="shared" si="6"/>
        <v>1656.1633257768017</v>
      </c>
      <c r="O27" s="200">
        <f t="shared" si="6"/>
        <v>1500.7758155844156</v>
      </c>
    </row>
    <row r="28" spans="2:15">
      <c r="D28" s="52"/>
      <c r="E28" s="52"/>
      <c r="F28" s="52"/>
      <c r="G28" s="52"/>
      <c r="H28" s="52"/>
      <c r="I28" s="52"/>
      <c r="J28" s="52"/>
      <c r="K28" s="52"/>
      <c r="L28" s="52"/>
      <c r="M28" s="52"/>
      <c r="N28" s="52"/>
      <c r="O28" s="52"/>
    </row>
    <row r="29" spans="2:15" ht="15.75" thickBot="1">
      <c r="B29" s="108" t="s">
        <v>139</v>
      </c>
      <c r="C29" s="109" t="str">
        <f>VLOOKUP(B29,NodeList!$D$4:$E$121,2,FALSE)</f>
        <v>Francis Lee</v>
      </c>
      <c r="D29" s="405"/>
      <c r="E29" s="405"/>
      <c r="F29" s="405"/>
      <c r="G29" s="405"/>
      <c r="H29" s="405"/>
      <c r="I29" s="405"/>
      <c r="J29" s="405"/>
      <c r="K29" s="405"/>
      <c r="L29" s="405"/>
      <c r="M29" s="405"/>
      <c r="N29" s="405"/>
      <c r="O29" s="405"/>
    </row>
    <row r="30" spans="2:15" ht="15">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2:15" ht="14.25">
      <c r="B31" s="14" t="str">
        <f>+B29 &amp;" Node Inflow"</f>
        <v>Node 7.01 Node Inflow</v>
      </c>
      <c r="C31" s="13"/>
      <c r="D31" s="15">
        <f>+D27</f>
        <v>1490.3873818181817</v>
      </c>
      <c r="E31" s="15">
        <f t="shared" ref="E31:O31" si="7">+E27</f>
        <v>1035.2837617473433</v>
      </c>
      <c r="F31" s="15">
        <f t="shared" si="7"/>
        <v>3147.5702531286897</v>
      </c>
      <c r="G31" s="15">
        <f t="shared" si="7"/>
        <v>3928.4707443919719</v>
      </c>
      <c r="H31" s="15">
        <f t="shared" si="7"/>
        <v>10838.767254389364</v>
      </c>
      <c r="I31" s="15">
        <f t="shared" si="7"/>
        <v>13171.004215095309</v>
      </c>
      <c r="J31" s="15">
        <f t="shared" si="7"/>
        <v>1362.4682181071475</v>
      </c>
      <c r="K31" s="15">
        <f t="shared" si="7"/>
        <v>0</v>
      </c>
      <c r="L31" s="15">
        <f t="shared" si="7"/>
        <v>0</v>
      </c>
      <c r="M31" s="15">
        <f t="shared" si="7"/>
        <v>1259.9743710104185</v>
      </c>
      <c r="N31" s="15">
        <f t="shared" si="7"/>
        <v>1656.1633257768017</v>
      </c>
      <c r="O31" s="15">
        <f t="shared" si="7"/>
        <v>1500.7758155844156</v>
      </c>
    </row>
    <row r="32" spans="2:15" ht="14.25">
      <c r="B32" s="14" t="str">
        <f>+B29 &amp;" Irrigation Returns"</f>
        <v>Node 7.01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0</v>
      </c>
      <c r="I32" s="54">
        <f>VLOOKUP(($B29),'Irrigation Returns'!$B$644:$P$930,9,FALSE)</f>
        <v>0</v>
      </c>
      <c r="J32" s="54">
        <f>VLOOKUP(($B29),'Irrigation Returns'!$B$644:$P$930,10,FALSE)</f>
        <v>0</v>
      </c>
      <c r="K32" s="54">
        <f>VLOOKUP(($B29),'Irrigation Returns'!$B$644:$P$930,11,FALSE)</f>
        <v>0</v>
      </c>
      <c r="L32" s="54">
        <f>VLOOKUP(($B29),'Irrigation Returns'!$B$644:$P$930,12,FALSE)</f>
        <v>0</v>
      </c>
      <c r="M32" s="54">
        <f>VLOOKUP(($B29),'Irrigation Returns'!$B$644:$P$930,13,FALSE)</f>
        <v>0</v>
      </c>
      <c r="N32" s="54">
        <f>VLOOKUP(($B29),'Irrigation Returns'!$B$644:$P$930,14,FALSE)</f>
        <v>0</v>
      </c>
      <c r="O32" s="110">
        <f>VLOOKUP(($B29),'Irrigation Returns'!$B$644:$P$930,15,FALSE)</f>
        <v>0</v>
      </c>
    </row>
    <row r="33" spans="2:15" ht="14.25">
      <c r="B33" s="14" t="s">
        <v>328</v>
      </c>
      <c r="C33" s="13" t="s">
        <v>180</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2:15" ht="14.25">
      <c r="B34" s="14" t="str">
        <f>+B29 &amp;" Import/Export"</f>
        <v>Node 7.01 Import/Export</v>
      </c>
      <c r="C34" s="13"/>
      <c r="D34" s="190">
        <f>VLOOKUP($B29,ImportExport!$B$6:$O$68,3,FALSE)</f>
        <v>0</v>
      </c>
      <c r="E34" s="190">
        <f>VLOOKUP($B29,ImportExport!$B$6:$O$68,4,FALSE)</f>
        <v>0</v>
      </c>
      <c r="F34" s="190">
        <f>VLOOKUP($B29,ImportExport!$B$6:$O$68,5,FALSE)</f>
        <v>0</v>
      </c>
      <c r="G34" s="190">
        <f>VLOOKUP($B29,ImportExport!$B$6:$O$68,6,FALSE)</f>
        <v>0</v>
      </c>
      <c r="H34" s="190">
        <f>VLOOKUP($B29,ImportExport!$B$6:$O$68,7,FALSE)</f>
        <v>0</v>
      </c>
      <c r="I34" s="190">
        <f>VLOOKUP($B29,ImportExport!$B$6:$O$68,8,FALSE)</f>
        <v>0</v>
      </c>
      <c r="J34" s="190">
        <f>VLOOKUP($B29,ImportExport!$B$6:$O$68,9,FALSE)</f>
        <v>0</v>
      </c>
      <c r="K34" s="190">
        <f>VLOOKUP($B29,ImportExport!$B$6:$O$68,10,FALSE)</f>
        <v>0</v>
      </c>
      <c r="L34" s="190">
        <f>VLOOKUP($B29,ImportExport!$B$6:$O$68,11,FALSE)</f>
        <v>0</v>
      </c>
      <c r="M34" s="190">
        <f>VLOOKUP($B29,ImportExport!$B$6:$O$68,12,FALSE)</f>
        <v>0</v>
      </c>
      <c r="N34" s="190">
        <f>VLOOKUP($B29,ImportExport!$B$6:$O$68,13,FALSE)</f>
        <v>0</v>
      </c>
      <c r="O34" s="197">
        <f>VLOOKUP($B29,ImportExport!$B$6:$O$68,14,FALSE)</f>
        <v>0</v>
      </c>
    </row>
    <row r="35" spans="2:15" ht="15.75" thickBot="1">
      <c r="B35" s="18" t="str">
        <f>"Total "&amp; (B29)&amp;" Inflow"</f>
        <v>Total Node 7.01 Inflow</v>
      </c>
      <c r="C35" s="17"/>
      <c r="D35" s="25">
        <f t="shared" ref="D35:O35" si="8">SUM(D31:D34)</f>
        <v>1490.3873818181817</v>
      </c>
      <c r="E35" s="25">
        <f t="shared" si="8"/>
        <v>1035.2837617473433</v>
      </c>
      <c r="F35" s="25">
        <f t="shared" si="8"/>
        <v>3147.5702531286897</v>
      </c>
      <c r="G35" s="25">
        <f t="shared" si="8"/>
        <v>3928.4707443919719</v>
      </c>
      <c r="H35" s="25">
        <f t="shared" si="8"/>
        <v>10838.767254389364</v>
      </c>
      <c r="I35" s="25">
        <f t="shared" si="8"/>
        <v>13171.004215095309</v>
      </c>
      <c r="J35" s="25">
        <f t="shared" si="8"/>
        <v>1362.4682181071475</v>
      </c>
      <c r="K35" s="25">
        <f t="shared" si="8"/>
        <v>0</v>
      </c>
      <c r="L35" s="25">
        <f t="shared" si="8"/>
        <v>0</v>
      </c>
      <c r="M35" s="25">
        <f t="shared" si="8"/>
        <v>1259.9743710104185</v>
      </c>
      <c r="N35" s="25">
        <f t="shared" si="8"/>
        <v>1656.1633257768017</v>
      </c>
      <c r="O35" s="26">
        <f t="shared" si="8"/>
        <v>1500.7758155844156</v>
      </c>
    </row>
    <row r="36" spans="2:15" ht="15">
      <c r="B36" s="19" t="s">
        <v>17</v>
      </c>
      <c r="C36" s="20"/>
      <c r="D36" s="282" t="str">
        <f>IF(((VLOOKUP($B29,'Diversion Data'!$B$3:$O$227,3,FALSE))-D38)&gt;0,"Short","")</f>
        <v/>
      </c>
      <c r="E36" s="282" t="str">
        <f>IF(((VLOOKUP($B29,'Diversion Data'!$B$3:$O$227,4,FALSE))-E38)&gt;0,"Short","")</f>
        <v/>
      </c>
      <c r="F36" s="282" t="str">
        <f>IF(((VLOOKUP($B29,'Diversion Data'!$B$3:$O$227,5,FALSE))-F38)&gt;0,"Short","")</f>
        <v/>
      </c>
      <c r="G36" s="282" t="str">
        <f>IF(((VLOOKUP($B29,'Diversion Data'!$B$3:$O$227,6,FALSE))-G38)&gt;0,"Short","")</f>
        <v/>
      </c>
      <c r="H36" s="282" t="str">
        <f>IF(((VLOOKUP($B29,'Diversion Data'!$B$3:$O$227,7,FALSE))-H38)&gt;0,"Short","")</f>
        <v/>
      </c>
      <c r="I36" s="282" t="str">
        <f>IF(((VLOOKUP($B29,'Diversion Data'!$B$3:$O$227,8,FALSE))-I38)&gt;0,"Short","")</f>
        <v/>
      </c>
      <c r="J36" s="282" t="str">
        <f>IF(((VLOOKUP($B29,'Diversion Data'!$B$3:$O$227,9,FALSE))-J38)&gt;0,"Short","")</f>
        <v/>
      </c>
      <c r="K36" s="282" t="str">
        <f>IF(((VLOOKUP($B29,'Diversion Data'!$B$3:$O$227,10,FALSE))-K38)&gt;0,"Short","")</f>
        <v>Short</v>
      </c>
      <c r="L36" s="282" t="str">
        <f>IF(((VLOOKUP($B29,'Diversion Data'!$B$3:$O$227,11,FALSE))-L38)&gt;0,"Short","")</f>
        <v>Short</v>
      </c>
      <c r="M36" s="282" t="str">
        <f>IF(((VLOOKUP($B29,'Diversion Data'!$B$3:$O$227,12,FALSE))-M38)&gt;0,"Short","")</f>
        <v/>
      </c>
      <c r="N36" s="282" t="str">
        <f>IF(((VLOOKUP($B29,'Diversion Data'!$B$3:$O$227,13,FALSE))-N38)&gt;0,"Short","")</f>
        <v/>
      </c>
      <c r="O36" s="283" t="str">
        <f>IF(((VLOOKUP($B29,'Diversion Data'!$B$3:$O$227,14,FALSE))-O38)&gt;0,"Short","")</f>
        <v/>
      </c>
    </row>
    <row r="37" spans="2:15" ht="14.25">
      <c r="B37" s="14" t="s">
        <v>328</v>
      </c>
      <c r="C37" s="13" t="s">
        <v>181</v>
      </c>
      <c r="D37" s="171">
        <f>VLOOKUP($B37,GainLoss!$B$19:$O$27,3,FALSE)</f>
        <v>0</v>
      </c>
      <c r="E37" s="171">
        <f>VLOOKUP($B37,GainLoss!$B$19:$O$27,4,FALSE)</f>
        <v>0</v>
      </c>
      <c r="F37" s="171">
        <f>VLOOKUP($B37,GainLoss!$B$19:$O$27,5,FALSE)</f>
        <v>0</v>
      </c>
      <c r="G37" s="171">
        <f>VLOOKUP($B37,GainLoss!$B$19:$O$27,6,FALSE)</f>
        <v>0</v>
      </c>
      <c r="H37" s="171">
        <f>VLOOKUP($B37,GainLoss!$B$19:$O$27,7,FALSE)</f>
        <v>0</v>
      </c>
      <c r="I37" s="171">
        <f>VLOOKUP($B37,GainLoss!$B$19:$O$27,8,FALSE)</f>
        <v>0</v>
      </c>
      <c r="J37" s="171">
        <f>VLOOKUP($B37,GainLoss!$B$19:$O$27,9,FALSE)</f>
        <v>0</v>
      </c>
      <c r="K37" s="171">
        <f>VLOOKUP($B37,GainLoss!$B$19:$O$27,10,FALSE)</f>
        <v>0</v>
      </c>
      <c r="L37" s="171">
        <f>VLOOKUP($B37,GainLoss!$B$19:$O$27,11,FALSE)</f>
        <v>0</v>
      </c>
      <c r="M37" s="171">
        <f>VLOOKUP($B37,GainLoss!$B$19:$O$27,12,FALSE)</f>
        <v>0</v>
      </c>
      <c r="N37" s="171">
        <f>VLOOKUP($B37,GainLoss!$B$19:$O$27,13,FALSE)</f>
        <v>0</v>
      </c>
      <c r="O37" s="198">
        <f>VLOOKUP($B37,GainLoss!$B$19:$O$27,14,FALSE)</f>
        <v>0</v>
      </c>
    </row>
    <row r="38" spans="2:15" ht="14.25">
      <c r="B38" s="14" t="str">
        <f>+B29 &amp;" Diversions"</f>
        <v>Node 7.01 Diversions</v>
      </c>
      <c r="C38" s="13"/>
      <c r="D38" s="54">
        <f>MIN(VLOOKUP($B29,'Diversion Data'!$B$3:$O$227,3,FALSE),(D35-D37))</f>
        <v>0</v>
      </c>
      <c r="E38" s="54">
        <f>MIN(VLOOKUP($B29,'Diversion Data'!$B$3:$O$227,4,FALSE),(E35-E37))</f>
        <v>0</v>
      </c>
      <c r="F38" s="54">
        <f>MIN(VLOOKUP($B29,'Diversion Data'!$B$3:$O$227,5,FALSE),(F35-F37))</f>
        <v>0</v>
      </c>
      <c r="G38" s="54">
        <f>MIN(VLOOKUP($B29,'Diversion Data'!$B$3:$O$227,6,FALSE),(G35-G37))</f>
        <v>0</v>
      </c>
      <c r="H38" s="54">
        <f>MIN(VLOOKUP($B29,'Diversion Data'!$B$3:$O$227,7,FALSE),(H35-H37))</f>
        <v>1696.9185986308885</v>
      </c>
      <c r="I38" s="54">
        <f>MIN(VLOOKUP($B29,'Diversion Data'!$B$3:$O$227,8,FALSE),(I35-I37))</f>
        <v>2704.1690100903925</v>
      </c>
      <c r="J38" s="54">
        <f>MIN(VLOOKUP($B29,'Diversion Data'!$B$3:$O$227,9,FALSE),(J35-J37))</f>
        <v>611.4063159835124</v>
      </c>
      <c r="K38" s="54">
        <f>MIN(VLOOKUP($B29,'Diversion Data'!$B$3:$O$227,10,FALSE),(K35-K37))</f>
        <v>0</v>
      </c>
      <c r="L38" s="54">
        <f>MIN(VLOOKUP($B29,'Diversion Data'!$B$3:$O$227,11,FALSE),(L35-L37))</f>
        <v>0</v>
      </c>
      <c r="M38" s="54">
        <f>MIN(VLOOKUP($B29,'Diversion Data'!$B$3:$O$227,12,FALSE),(M35-M37))</f>
        <v>0</v>
      </c>
      <c r="N38" s="54">
        <f>MIN(VLOOKUP($B29,'Diversion Data'!$B$3:$O$227,13,FALSE),(N35-N37))</f>
        <v>0</v>
      </c>
      <c r="O38" s="110">
        <f>MIN(VLOOKUP($B29,'Diversion Data'!$B$3:$O$227,14,FALSE),(O35-O37))</f>
        <v>0</v>
      </c>
    </row>
    <row r="39" spans="2:15" ht="15.75" thickBot="1">
      <c r="B39" s="24" t="str">
        <f>"Total " &amp; (B29) &amp;" Outflow"</f>
        <v>Total Node 7.01 Outflow</v>
      </c>
      <c r="C39" s="23"/>
      <c r="D39" s="27">
        <f t="shared" ref="D39:O39" si="9">SUM(D37:D38)</f>
        <v>0</v>
      </c>
      <c r="E39" s="27">
        <f t="shared" si="9"/>
        <v>0</v>
      </c>
      <c r="F39" s="27">
        <f t="shared" si="9"/>
        <v>0</v>
      </c>
      <c r="G39" s="27">
        <f t="shared" si="9"/>
        <v>0</v>
      </c>
      <c r="H39" s="27">
        <f t="shared" si="9"/>
        <v>1696.9185986308885</v>
      </c>
      <c r="I39" s="27">
        <f t="shared" si="9"/>
        <v>2704.1690100903925</v>
      </c>
      <c r="J39" s="27">
        <f t="shared" si="9"/>
        <v>611.4063159835124</v>
      </c>
      <c r="K39" s="27">
        <f t="shared" si="9"/>
        <v>0</v>
      </c>
      <c r="L39" s="27">
        <f t="shared" si="9"/>
        <v>0</v>
      </c>
      <c r="M39" s="27">
        <f t="shared" si="9"/>
        <v>0</v>
      </c>
      <c r="N39" s="27">
        <f t="shared" si="9"/>
        <v>0</v>
      </c>
      <c r="O39" s="28">
        <f t="shared" si="9"/>
        <v>0</v>
      </c>
    </row>
    <row r="40" spans="2:15" ht="15.75" thickBot="1">
      <c r="B40" s="24" t="str">
        <f>(B29)&amp;" NET Flow (In - Out)"</f>
        <v>Node 7.01 NET Flow (In - Out)</v>
      </c>
      <c r="C40" s="23"/>
      <c r="D40" s="193">
        <f t="shared" ref="D40:O40" si="10">MAX(D35-D39,0)</f>
        <v>1490.3873818181817</v>
      </c>
      <c r="E40" s="193">
        <f t="shared" si="10"/>
        <v>1035.2837617473433</v>
      </c>
      <c r="F40" s="193">
        <f t="shared" si="10"/>
        <v>3147.5702531286897</v>
      </c>
      <c r="G40" s="193">
        <f t="shared" si="10"/>
        <v>3928.4707443919719</v>
      </c>
      <c r="H40" s="193">
        <f t="shared" si="10"/>
        <v>9141.8486557584765</v>
      </c>
      <c r="I40" s="193">
        <f t="shared" si="10"/>
        <v>10466.835205004916</v>
      </c>
      <c r="J40" s="193">
        <f t="shared" si="10"/>
        <v>751.06190212363515</v>
      </c>
      <c r="K40" s="193">
        <f t="shared" si="10"/>
        <v>0</v>
      </c>
      <c r="L40" s="193">
        <f t="shared" si="10"/>
        <v>0</v>
      </c>
      <c r="M40" s="193">
        <f t="shared" si="10"/>
        <v>1259.9743710104185</v>
      </c>
      <c r="N40" s="193">
        <f t="shared" si="10"/>
        <v>1656.1633257768017</v>
      </c>
      <c r="O40" s="200">
        <f t="shared" si="10"/>
        <v>1500.7758155844156</v>
      </c>
    </row>
    <row r="42" spans="2:15" ht="15.75" thickBot="1">
      <c r="B42" s="108" t="s">
        <v>130</v>
      </c>
      <c r="C42" s="109" t="str">
        <f>VLOOKUP(B42,NodeList!$D$4:$E$121,2,FALSE)</f>
        <v>Bear River Canal</v>
      </c>
      <c r="D42" s="6"/>
      <c r="E42" s="6"/>
      <c r="F42" s="6"/>
      <c r="G42" s="6"/>
      <c r="H42" s="7"/>
      <c r="I42" s="7"/>
      <c r="J42" s="7"/>
      <c r="K42" s="7"/>
      <c r="L42" s="7"/>
      <c r="M42" s="7"/>
      <c r="N42" s="7"/>
      <c r="O42" s="7"/>
    </row>
    <row r="43" spans="2:15" ht="15">
      <c r="B43" s="9" t="s">
        <v>16</v>
      </c>
      <c r="C43" s="10"/>
      <c r="D43" s="11" t="s">
        <v>0</v>
      </c>
      <c r="E43" s="11" t="s">
        <v>1</v>
      </c>
      <c r="F43" s="11" t="s">
        <v>2</v>
      </c>
      <c r="G43" s="11" t="s">
        <v>3</v>
      </c>
      <c r="H43" s="11" t="s">
        <v>4</v>
      </c>
      <c r="I43" s="11" t="s">
        <v>5</v>
      </c>
      <c r="J43" s="11" t="s">
        <v>6</v>
      </c>
      <c r="K43" s="11" t="s">
        <v>7</v>
      </c>
      <c r="L43" s="11" t="s">
        <v>8</v>
      </c>
      <c r="M43" s="11" t="s">
        <v>9</v>
      </c>
      <c r="N43" s="11" t="s">
        <v>10</v>
      </c>
      <c r="O43" s="12" t="s">
        <v>11</v>
      </c>
    </row>
    <row r="44" spans="2:15" ht="14.25">
      <c r="B44" s="14" t="str">
        <f>+B42 &amp;" Node Inflow"</f>
        <v>Node 7.02 Node Inflow</v>
      </c>
      <c r="C44" s="13"/>
      <c r="D44" s="15">
        <f>+D40</f>
        <v>1490.3873818181817</v>
      </c>
      <c r="E44" s="15">
        <f t="shared" ref="E44:O44" si="11">+E40</f>
        <v>1035.2837617473433</v>
      </c>
      <c r="F44" s="15">
        <f t="shared" si="11"/>
        <v>3147.5702531286897</v>
      </c>
      <c r="G44" s="15">
        <f t="shared" si="11"/>
        <v>3928.4707443919719</v>
      </c>
      <c r="H44" s="15">
        <f t="shared" si="11"/>
        <v>9141.8486557584765</v>
      </c>
      <c r="I44" s="15">
        <f t="shared" si="11"/>
        <v>10466.835205004916</v>
      </c>
      <c r="J44" s="15">
        <f t="shared" si="11"/>
        <v>751.06190212363515</v>
      </c>
      <c r="K44" s="15">
        <f t="shared" si="11"/>
        <v>0</v>
      </c>
      <c r="L44" s="15">
        <f t="shared" si="11"/>
        <v>0</v>
      </c>
      <c r="M44" s="15">
        <f t="shared" si="11"/>
        <v>1259.9743710104185</v>
      </c>
      <c r="N44" s="15">
        <f t="shared" si="11"/>
        <v>1656.1633257768017</v>
      </c>
      <c r="O44" s="16">
        <f t="shared" si="11"/>
        <v>1500.7758155844156</v>
      </c>
    </row>
    <row r="45" spans="2:15" ht="14.25">
      <c r="B45" s="14" t="str">
        <f>+B42 &amp;" Irrigation Returns"</f>
        <v>Node 7.02 Irrigation Returns</v>
      </c>
      <c r="C45" s="13"/>
      <c r="D45" s="54">
        <f>VLOOKUP(($B42),'Irrigation Returns'!$B$644:$P$930,4,FALSE)</f>
        <v>0</v>
      </c>
      <c r="E45" s="54">
        <f>VLOOKUP(($B42),'Irrigation Returns'!$B$644:$P$930,5,FALSE)</f>
        <v>0</v>
      </c>
      <c r="F45" s="54">
        <f>VLOOKUP(($B42),'Irrigation Returns'!$B$644:$P$930,6,FALSE)</f>
        <v>0</v>
      </c>
      <c r="G45" s="54">
        <f>VLOOKUP(($B42),'Irrigation Returns'!$B$644:$P$930,7,FALSE)</f>
        <v>0</v>
      </c>
      <c r="H45" s="54">
        <f>VLOOKUP(($B42),'Irrigation Returns'!$B$644:$P$930,8,FALSE)</f>
        <v>0</v>
      </c>
      <c r="I45" s="54">
        <f>VLOOKUP(($B42),'Irrigation Returns'!$B$644:$P$930,9,FALSE)</f>
        <v>0</v>
      </c>
      <c r="J45" s="54">
        <f>VLOOKUP(($B42),'Irrigation Returns'!$B$644:$P$930,10,FALSE)</f>
        <v>0</v>
      </c>
      <c r="K45" s="54">
        <f>VLOOKUP(($B42),'Irrigation Returns'!$B$644:$P$930,11,FALSE)</f>
        <v>0</v>
      </c>
      <c r="L45" s="54">
        <f>VLOOKUP(($B42),'Irrigation Returns'!$B$644:$P$930,12,FALSE)</f>
        <v>0</v>
      </c>
      <c r="M45" s="54">
        <f>VLOOKUP(($B42),'Irrigation Returns'!$B$644:$P$930,13,FALSE)</f>
        <v>0</v>
      </c>
      <c r="N45" s="54">
        <f>VLOOKUP(($B42),'Irrigation Returns'!$B$644:$P$930,14,FALSE)</f>
        <v>0</v>
      </c>
      <c r="O45" s="110">
        <f>VLOOKUP(($B42),'Irrigation Returns'!$B$644:$P$930,15,FALSE)</f>
        <v>0</v>
      </c>
    </row>
    <row r="46" spans="2:15" ht="14.25">
      <c r="B46" s="14" t="s">
        <v>328</v>
      </c>
      <c r="C46" s="13" t="s">
        <v>180</v>
      </c>
      <c r="D46" s="54">
        <f>VLOOKUP($B46,GainLoss!$B$5:$O$14,3,FALSE)</f>
        <v>0</v>
      </c>
      <c r="E46" s="54">
        <f>VLOOKUP($B46,GainLoss!$B$5:$O$14,4,FALSE)</f>
        <v>0</v>
      </c>
      <c r="F46" s="54">
        <f>VLOOKUP($B46,GainLoss!$B$5:$O$14,5,FALSE)</f>
        <v>0</v>
      </c>
      <c r="G46" s="54">
        <f>VLOOKUP($B46,GainLoss!$B$5:$O$14,6,FALSE)</f>
        <v>0</v>
      </c>
      <c r="H46" s="54">
        <f>VLOOKUP($B46,GainLoss!$B$5:$O$14,7,FALSE)</f>
        <v>0</v>
      </c>
      <c r="I46" s="54">
        <f>VLOOKUP($B46,GainLoss!$B$5:$O$14,8,FALSE)</f>
        <v>0</v>
      </c>
      <c r="J46" s="54">
        <f>VLOOKUP($B46,GainLoss!$B$5:$O$14,9,FALSE)</f>
        <v>0</v>
      </c>
      <c r="K46" s="54">
        <f>VLOOKUP($B46,GainLoss!$B$5:$O$14,10,FALSE)</f>
        <v>0</v>
      </c>
      <c r="L46" s="54">
        <f>VLOOKUP($B46,GainLoss!$B$5:$O$14,11,FALSE)</f>
        <v>0</v>
      </c>
      <c r="M46" s="54">
        <f>VLOOKUP($B46,GainLoss!$B$5:$O$14,12,FALSE)</f>
        <v>0</v>
      </c>
      <c r="N46" s="54">
        <f>VLOOKUP($B46,GainLoss!$B$5:$O$14,13,FALSE)</f>
        <v>0</v>
      </c>
      <c r="O46" s="110">
        <f>VLOOKUP($B46,GainLoss!$B$5:$O$14,14,FALSE)</f>
        <v>0</v>
      </c>
    </row>
    <row r="47" spans="2:15" ht="14.25">
      <c r="B47" s="14" t="str">
        <f>+B42 &amp;" Import/Export"</f>
        <v>Node 7.02 Import/Export</v>
      </c>
      <c r="C47" s="13"/>
      <c r="D47" s="190">
        <f>VLOOKUP($B42,ImportExport!$B$6:$O$68,3,FALSE)</f>
        <v>0</v>
      </c>
      <c r="E47" s="190">
        <f>VLOOKUP($B42,ImportExport!$B$6:$O$68,4,FALSE)</f>
        <v>0</v>
      </c>
      <c r="F47" s="190">
        <f>VLOOKUP($B42,ImportExport!$B$6:$O$68,5,FALSE)</f>
        <v>0</v>
      </c>
      <c r="G47" s="190">
        <f>VLOOKUP($B42,ImportExport!$B$6:$O$68,6,FALSE)</f>
        <v>0</v>
      </c>
      <c r="H47" s="190">
        <f>VLOOKUP($B42,ImportExport!$B$6:$O$68,7,FALSE)</f>
        <v>0</v>
      </c>
      <c r="I47" s="190">
        <f>VLOOKUP($B42,ImportExport!$B$6:$O$68,8,FALSE)</f>
        <v>0</v>
      </c>
      <c r="J47" s="190">
        <f>VLOOKUP($B42,ImportExport!$B$6:$O$68,9,FALSE)</f>
        <v>0</v>
      </c>
      <c r="K47" s="190">
        <f>VLOOKUP($B42,ImportExport!$B$6:$O$68,10,FALSE)</f>
        <v>0</v>
      </c>
      <c r="L47" s="190">
        <f>VLOOKUP($B42,ImportExport!$B$6:$O$68,11,FALSE)</f>
        <v>0</v>
      </c>
      <c r="M47" s="190">
        <f>VLOOKUP($B42,ImportExport!$B$6:$O$68,12,FALSE)</f>
        <v>0</v>
      </c>
      <c r="N47" s="190">
        <f>VLOOKUP($B42,ImportExport!$B$6:$O$68,13,FALSE)</f>
        <v>0</v>
      </c>
      <c r="O47" s="197">
        <f>VLOOKUP($B42,ImportExport!$B$6:$O$68,14,FALSE)</f>
        <v>0</v>
      </c>
    </row>
    <row r="48" spans="2:15" ht="15.75" thickBot="1">
      <c r="B48" s="18" t="str">
        <f>"Total "&amp; (B42)&amp;" Inflow"</f>
        <v>Total Node 7.02 Inflow</v>
      </c>
      <c r="C48" s="17"/>
      <c r="D48" s="25">
        <f t="shared" ref="D48:O48" si="12">SUM(D44:D47)</f>
        <v>1490.3873818181817</v>
      </c>
      <c r="E48" s="25">
        <f t="shared" si="12"/>
        <v>1035.2837617473433</v>
      </c>
      <c r="F48" s="25">
        <f t="shared" si="12"/>
        <v>3147.5702531286897</v>
      </c>
      <c r="G48" s="25">
        <f t="shared" si="12"/>
        <v>3928.4707443919719</v>
      </c>
      <c r="H48" s="25">
        <f t="shared" si="12"/>
        <v>9141.8486557584765</v>
      </c>
      <c r="I48" s="25">
        <f t="shared" si="12"/>
        <v>10466.835205004916</v>
      </c>
      <c r="J48" s="25">
        <f t="shared" si="12"/>
        <v>751.06190212363515</v>
      </c>
      <c r="K48" s="25">
        <f t="shared" si="12"/>
        <v>0</v>
      </c>
      <c r="L48" s="25">
        <f t="shared" si="12"/>
        <v>0</v>
      </c>
      <c r="M48" s="25">
        <f t="shared" si="12"/>
        <v>1259.9743710104185</v>
      </c>
      <c r="N48" s="25">
        <f t="shared" si="12"/>
        <v>1656.1633257768017</v>
      </c>
      <c r="O48" s="26">
        <f t="shared" si="12"/>
        <v>1500.7758155844156</v>
      </c>
    </row>
    <row r="49" spans="2:15" ht="15">
      <c r="B49" s="19" t="s">
        <v>17</v>
      </c>
      <c r="C49" s="20"/>
      <c r="D49" s="282" t="str">
        <f>IF(((VLOOKUP($B42,'Diversion Data'!$B$3:$O$227,3,FALSE))-D51)&gt;0,"Short","")</f>
        <v/>
      </c>
      <c r="E49" s="282" t="str">
        <f>IF(((VLOOKUP($B42,'Diversion Data'!$B$3:$O$227,4,FALSE))-E51)&gt;0,"Short","")</f>
        <v/>
      </c>
      <c r="F49" s="282" t="str">
        <f>IF(((VLOOKUP($B42,'Diversion Data'!$B$3:$O$227,5,FALSE))-F51)&gt;0,"Short","")</f>
        <v/>
      </c>
      <c r="G49" s="282" t="str">
        <f>IF(((VLOOKUP($B42,'Diversion Data'!$B$3:$O$227,6,FALSE))-G51)&gt;0,"Short","")</f>
        <v/>
      </c>
      <c r="H49" s="282" t="str">
        <f>IF(((VLOOKUP($B42,'Diversion Data'!$B$3:$O$227,7,FALSE))-H51)&gt;0,"Short","")</f>
        <v/>
      </c>
      <c r="I49" s="282" t="str">
        <f>IF(((VLOOKUP($B42,'Diversion Data'!$B$3:$O$227,8,FALSE))-I51)&gt;0,"Short","")</f>
        <v/>
      </c>
      <c r="J49" s="282" t="str">
        <f>IF(((VLOOKUP($B42,'Diversion Data'!$B$3:$O$227,9,FALSE))-J51)&gt;0,"Short","")</f>
        <v>Short</v>
      </c>
      <c r="K49" s="282" t="str">
        <f>IF(((VLOOKUP($B42,'Diversion Data'!$B$3:$O$227,10,FALSE))-K51)&gt;0,"Short","")</f>
        <v>Short</v>
      </c>
      <c r="L49" s="282" t="str">
        <f>IF(((VLOOKUP($B42,'Diversion Data'!$B$3:$O$227,11,FALSE))-L51)&gt;0,"Short","")</f>
        <v>Short</v>
      </c>
      <c r="M49" s="282" t="str">
        <f>IF(((VLOOKUP($B42,'Diversion Data'!$B$3:$O$227,12,FALSE))-M51)&gt;0,"Short","")</f>
        <v/>
      </c>
      <c r="N49" s="282" t="str">
        <f>IF(((VLOOKUP($B42,'Diversion Data'!$B$3:$O$227,13,FALSE))-N51)&gt;0,"Short","")</f>
        <v/>
      </c>
      <c r="O49" s="283" t="str">
        <f>IF(((VLOOKUP($B42,'Diversion Data'!$B$3:$O$227,14,FALSE))-O51)&gt;0,"Short","")</f>
        <v/>
      </c>
    </row>
    <row r="50" spans="2:15" ht="14.25">
      <c r="B50" s="14" t="s">
        <v>328</v>
      </c>
      <c r="C50" s="13" t="s">
        <v>181</v>
      </c>
      <c r="D50" s="171">
        <f>VLOOKUP($B50,GainLoss!$B$19:$O$27,3,FALSE)</f>
        <v>0</v>
      </c>
      <c r="E50" s="171">
        <f>VLOOKUP($B50,GainLoss!$B$19:$O$27,4,FALSE)</f>
        <v>0</v>
      </c>
      <c r="F50" s="171">
        <f>VLOOKUP($B50,GainLoss!$B$19:$O$27,5,FALSE)</f>
        <v>0</v>
      </c>
      <c r="G50" s="171">
        <f>VLOOKUP($B50,GainLoss!$B$19:$O$27,6,FALSE)</f>
        <v>0</v>
      </c>
      <c r="H50" s="171">
        <f>VLOOKUP($B50,GainLoss!$B$19:$O$27,7,FALSE)</f>
        <v>0</v>
      </c>
      <c r="I50" s="171">
        <f>VLOOKUP($B50,GainLoss!$B$19:$O$27,8,FALSE)</f>
        <v>0</v>
      </c>
      <c r="J50" s="171">
        <f>VLOOKUP($B50,GainLoss!$B$19:$O$27,9,FALSE)</f>
        <v>0</v>
      </c>
      <c r="K50" s="171">
        <f>VLOOKUP($B50,GainLoss!$B$19:$O$27,10,FALSE)</f>
        <v>0</v>
      </c>
      <c r="L50" s="171">
        <f>VLOOKUP($B50,GainLoss!$B$19:$O$27,11,FALSE)</f>
        <v>0</v>
      </c>
      <c r="M50" s="171">
        <f>VLOOKUP($B50,GainLoss!$B$19:$O$27,12,FALSE)</f>
        <v>0</v>
      </c>
      <c r="N50" s="171">
        <f>VLOOKUP($B50,GainLoss!$B$19:$O$27,13,FALSE)</f>
        <v>0</v>
      </c>
      <c r="O50" s="198">
        <f>VLOOKUP($B50,GainLoss!$B$19:$O$27,14,FALSE)</f>
        <v>0</v>
      </c>
    </row>
    <row r="51" spans="2:15" ht="14.25">
      <c r="B51" s="14" t="str">
        <f>+B42 &amp;" Diversions"</f>
        <v>Node 7.02 Diversions</v>
      </c>
      <c r="C51" s="13"/>
      <c r="D51" s="54">
        <f>MIN(VLOOKUP($B42,'Diversion Data'!$B$3:$O$227,3,FALSE),(D48-D50))</f>
        <v>0</v>
      </c>
      <c r="E51" s="54">
        <f>MIN(VLOOKUP($B42,'Diversion Data'!$B$3:$O$227,4,FALSE),(E48-E50))</f>
        <v>0</v>
      </c>
      <c r="F51" s="54">
        <f>MIN(VLOOKUP($B42,'Diversion Data'!$B$3:$O$227,5,FALSE),(F48-F50))</f>
        <v>0</v>
      </c>
      <c r="G51" s="54">
        <f>MIN(VLOOKUP($B42,'Diversion Data'!$B$3:$O$227,6,FALSE),(G48-G50))</f>
        <v>0</v>
      </c>
      <c r="H51" s="54">
        <f>MIN(VLOOKUP($B42,'Diversion Data'!$B$3:$O$227,7,FALSE),(H48-H50))</f>
        <v>1965.6305462113635</v>
      </c>
      <c r="I51" s="54">
        <f>MIN(VLOOKUP($B42,'Diversion Data'!$B$3:$O$227,8,FALSE),(I48-I50))</f>
        <v>3298.0788354802685</v>
      </c>
      <c r="J51" s="54">
        <f>MIN(VLOOKUP($B42,'Diversion Data'!$B$3:$O$227,9,FALSE),(J48-J50))</f>
        <v>751.06190212363515</v>
      </c>
      <c r="K51" s="54">
        <f>MIN(VLOOKUP($B42,'Diversion Data'!$B$3:$O$227,10,FALSE),(K48-K50))</f>
        <v>0</v>
      </c>
      <c r="L51" s="54">
        <f>MIN(VLOOKUP($B42,'Diversion Data'!$B$3:$O$227,11,FALSE),(L48-L50))</f>
        <v>0</v>
      </c>
      <c r="M51" s="54">
        <f>MIN(VLOOKUP($B42,'Diversion Data'!$B$3:$O$227,12,FALSE),(M48-M50))</f>
        <v>0</v>
      </c>
      <c r="N51" s="54">
        <f>MIN(VLOOKUP($B42,'Diversion Data'!$B$3:$O$227,13,FALSE),(N48-N50))</f>
        <v>0</v>
      </c>
      <c r="O51" s="110">
        <f>MIN(VLOOKUP($B42,'Diversion Data'!$B$3:$O$227,14,FALSE),(O48-O50))</f>
        <v>0</v>
      </c>
    </row>
    <row r="52" spans="2:15" ht="15.75" thickBot="1">
      <c r="B52" s="24" t="str">
        <f>"Total " &amp; (B42) &amp;" Outflow"</f>
        <v>Total Node 7.02 Outflow</v>
      </c>
      <c r="C52" s="23"/>
      <c r="D52" s="27">
        <f t="shared" ref="D52:O52" si="13">SUM(D50:D51)</f>
        <v>0</v>
      </c>
      <c r="E52" s="27">
        <f t="shared" si="13"/>
        <v>0</v>
      </c>
      <c r="F52" s="27">
        <f t="shared" si="13"/>
        <v>0</v>
      </c>
      <c r="G52" s="27">
        <f t="shared" si="13"/>
        <v>0</v>
      </c>
      <c r="H52" s="27">
        <f t="shared" si="13"/>
        <v>1965.6305462113635</v>
      </c>
      <c r="I52" s="27">
        <f t="shared" si="13"/>
        <v>3298.0788354802685</v>
      </c>
      <c r="J52" s="27">
        <f t="shared" si="13"/>
        <v>751.06190212363515</v>
      </c>
      <c r="K52" s="27">
        <f t="shared" si="13"/>
        <v>0</v>
      </c>
      <c r="L52" s="27">
        <f t="shared" si="13"/>
        <v>0</v>
      </c>
      <c r="M52" s="27">
        <f t="shared" si="13"/>
        <v>0</v>
      </c>
      <c r="N52" s="27">
        <f t="shared" si="13"/>
        <v>0</v>
      </c>
      <c r="O52" s="28">
        <f t="shared" si="13"/>
        <v>0</v>
      </c>
    </row>
    <row r="53" spans="2:15" ht="15.75" thickBot="1">
      <c r="B53" s="24" t="str">
        <f>(B42)&amp;" NET Flow (In - Out)"</f>
        <v>Node 7.02 NET Flow (In - Out)</v>
      </c>
      <c r="C53" s="23"/>
      <c r="D53" s="193">
        <f t="shared" ref="D53:O53" si="14">MAX(D48-D52,0)</f>
        <v>1490.3873818181817</v>
      </c>
      <c r="E53" s="193">
        <f t="shared" si="14"/>
        <v>1035.2837617473433</v>
      </c>
      <c r="F53" s="193">
        <f t="shared" si="14"/>
        <v>3147.5702531286897</v>
      </c>
      <c r="G53" s="193">
        <f t="shared" si="14"/>
        <v>3928.4707443919719</v>
      </c>
      <c r="H53" s="193">
        <f t="shared" si="14"/>
        <v>7176.2181095471133</v>
      </c>
      <c r="I53" s="193">
        <f t="shared" si="14"/>
        <v>7168.7563695246481</v>
      </c>
      <c r="J53" s="193">
        <f t="shared" si="14"/>
        <v>0</v>
      </c>
      <c r="K53" s="193">
        <f t="shared" si="14"/>
        <v>0</v>
      </c>
      <c r="L53" s="193">
        <f t="shared" si="14"/>
        <v>0</v>
      </c>
      <c r="M53" s="193">
        <f t="shared" si="14"/>
        <v>1259.9743710104185</v>
      </c>
      <c r="N53" s="193">
        <f t="shared" si="14"/>
        <v>1656.1633257768017</v>
      </c>
      <c r="O53" s="200">
        <f t="shared" si="14"/>
        <v>1500.7758155844156</v>
      </c>
    </row>
    <row r="55" spans="2:15" ht="15.75" thickBot="1">
      <c r="B55" s="108" t="s">
        <v>556</v>
      </c>
      <c r="C55" s="109" t="str">
        <f>VLOOKUP(B55,NodeList!$D$4:$E$121,2,FALSE)</f>
        <v>Partial Returns from Aggregate Utah Diversions</v>
      </c>
      <c r="D55" s="6"/>
      <c r="E55" s="6"/>
      <c r="F55" s="6"/>
      <c r="G55" s="6"/>
      <c r="H55" s="7"/>
      <c r="I55" s="7"/>
      <c r="J55" s="7"/>
      <c r="K55" s="7"/>
      <c r="L55" s="7"/>
      <c r="M55" s="7"/>
      <c r="N55" s="7"/>
      <c r="O55" s="7"/>
    </row>
    <row r="56" spans="2:15" ht="15">
      <c r="B56" s="9" t="s">
        <v>16</v>
      </c>
      <c r="C56" s="10"/>
      <c r="D56" s="11" t="s">
        <v>0</v>
      </c>
      <c r="E56" s="11" t="s">
        <v>1</v>
      </c>
      <c r="F56" s="11" t="s">
        <v>2</v>
      </c>
      <c r="G56" s="11" t="s">
        <v>3</v>
      </c>
      <c r="H56" s="11" t="s">
        <v>4</v>
      </c>
      <c r="I56" s="11" t="s">
        <v>5</v>
      </c>
      <c r="J56" s="11" t="s">
        <v>6</v>
      </c>
      <c r="K56" s="11" t="s">
        <v>7</v>
      </c>
      <c r="L56" s="11" t="s">
        <v>8</v>
      </c>
      <c r="M56" s="11" t="s">
        <v>9</v>
      </c>
      <c r="N56" s="11" t="s">
        <v>10</v>
      </c>
      <c r="O56" s="12" t="s">
        <v>11</v>
      </c>
    </row>
    <row r="57" spans="2:15" ht="14.25">
      <c r="B57" s="14" t="str">
        <f>+B55 &amp;" Node Inflow"</f>
        <v>Node 7.04 Node Inflow</v>
      </c>
      <c r="C57" s="13"/>
      <c r="D57" s="15">
        <f>+D53</f>
        <v>1490.3873818181817</v>
      </c>
      <c r="E57" s="15">
        <f t="shared" ref="E57:O57" si="15">+E53</f>
        <v>1035.2837617473433</v>
      </c>
      <c r="F57" s="15">
        <f t="shared" si="15"/>
        <v>3147.5702531286897</v>
      </c>
      <c r="G57" s="15">
        <f t="shared" si="15"/>
        <v>3928.4707443919719</v>
      </c>
      <c r="H57" s="15">
        <f t="shared" si="15"/>
        <v>7176.2181095471133</v>
      </c>
      <c r="I57" s="504">
        <f t="shared" si="15"/>
        <v>7168.7563695246481</v>
      </c>
      <c r="J57" s="15">
        <f t="shared" si="15"/>
        <v>0</v>
      </c>
      <c r="K57" s="15">
        <f t="shared" si="15"/>
        <v>0</v>
      </c>
      <c r="L57" s="15">
        <f t="shared" si="15"/>
        <v>0</v>
      </c>
      <c r="M57" s="15">
        <f t="shared" si="15"/>
        <v>1259.9743710104185</v>
      </c>
      <c r="N57" s="15">
        <f t="shared" si="15"/>
        <v>1656.1633257768017</v>
      </c>
      <c r="O57" s="15">
        <f t="shared" si="15"/>
        <v>1500.7758155844156</v>
      </c>
    </row>
    <row r="58" spans="2:15" ht="14.25">
      <c r="B58" s="14" t="str">
        <f>+B55 &amp;" Irrigation Returns"</f>
        <v>Node 7.04 Irrigation Returns</v>
      </c>
      <c r="C58" s="13"/>
      <c r="D58" s="54">
        <f>VLOOKUP(($B55),'Irrigation Returns'!$B$644:$P$930,4,FALSE)</f>
        <v>0</v>
      </c>
      <c r="E58" s="54">
        <f>VLOOKUP(($B55),'Irrigation Returns'!$B$644:$P$930,5,FALSE)</f>
        <v>0</v>
      </c>
      <c r="F58" s="54">
        <f>VLOOKUP(($B55),'Irrigation Returns'!$B$644:$P$930,6,FALSE)</f>
        <v>0</v>
      </c>
      <c r="G58" s="54">
        <f>VLOOKUP(($B55),'Irrigation Returns'!$B$644:$P$930,7,FALSE)</f>
        <v>0</v>
      </c>
      <c r="H58" s="54">
        <f>VLOOKUP(($B55),'Irrigation Returns'!$B$644:$P$930,8,FALSE)</f>
        <v>2414.0256569227777</v>
      </c>
      <c r="I58" s="505">
        <f>VLOOKUP(($B55),'Irrigation Returns'!$B$644:$P$930,9,FALSE)</f>
        <v>6064.5697998968371</v>
      </c>
      <c r="J58" s="54">
        <f>VLOOKUP(($B55),'Irrigation Returns'!$B$644:$P$930,10,FALSE)</f>
        <v>2952.8378583455778</v>
      </c>
      <c r="K58" s="54">
        <f>VLOOKUP(($B55),'Irrigation Returns'!$B$644:$P$930,11,FALSE)</f>
        <v>1513.4141751905449</v>
      </c>
      <c r="L58" s="54">
        <f>VLOOKUP(($B55),'Irrigation Returns'!$B$644:$P$930,12,FALSE)</f>
        <v>589.78903308455074</v>
      </c>
      <c r="M58" s="54">
        <f>VLOOKUP(($B55),'Irrigation Returns'!$B$644:$P$930,13,FALSE)</f>
        <v>151.63368967435116</v>
      </c>
      <c r="N58" s="54">
        <f>VLOOKUP(($B55),'Irrigation Returns'!$B$644:$P$930,14,FALSE)</f>
        <v>44.445020740317553</v>
      </c>
      <c r="O58" s="110">
        <f>VLOOKUP(($B55),'Irrigation Returns'!$B$644:$P$930,15,FALSE)</f>
        <v>0</v>
      </c>
    </row>
    <row r="59" spans="2:15" ht="14.25">
      <c r="B59" s="14" t="s">
        <v>328</v>
      </c>
      <c r="C59" s="13" t="s">
        <v>180</v>
      </c>
      <c r="D59" s="54">
        <f>VLOOKUP($B59,GainLoss!$B$5:$O$14,3,FALSE)</f>
        <v>0</v>
      </c>
      <c r="E59" s="54">
        <f>VLOOKUP($B59,GainLoss!$B$5:$O$14,4,FALSE)</f>
        <v>0</v>
      </c>
      <c r="F59" s="54">
        <f>VLOOKUP($B59,GainLoss!$B$5:$O$14,5,FALSE)</f>
        <v>0</v>
      </c>
      <c r="G59" s="54">
        <f>VLOOKUP($B59,GainLoss!$B$5:$O$14,6,FALSE)</f>
        <v>0</v>
      </c>
      <c r="H59" s="54">
        <f>VLOOKUP($B59,GainLoss!$B$5:$O$14,7,FALSE)</f>
        <v>0</v>
      </c>
      <c r="I59" s="54">
        <f>VLOOKUP($B59,GainLoss!$B$5:$O$14,8,FALSE)</f>
        <v>0</v>
      </c>
      <c r="J59" s="54">
        <f>VLOOKUP($B59,GainLoss!$B$5:$O$14,9,FALSE)</f>
        <v>0</v>
      </c>
      <c r="K59" s="54">
        <f>VLOOKUP($B59,GainLoss!$B$5:$O$14,10,FALSE)</f>
        <v>0</v>
      </c>
      <c r="L59" s="54">
        <f>VLOOKUP($B59,GainLoss!$B$5:$O$14,11,FALSE)</f>
        <v>0</v>
      </c>
      <c r="M59" s="54">
        <f>VLOOKUP($B59,GainLoss!$B$5:$O$14,12,FALSE)</f>
        <v>0</v>
      </c>
      <c r="N59" s="54">
        <f>VLOOKUP($B59,GainLoss!$B$5:$O$14,13,FALSE)</f>
        <v>0</v>
      </c>
      <c r="O59" s="110">
        <f>VLOOKUP($B59,GainLoss!$B$5:$O$14,14,FALSE)</f>
        <v>0</v>
      </c>
    </row>
    <row r="60" spans="2:15" ht="14.25">
      <c r="B60" s="14" t="str">
        <f>+B55 &amp;" Import/Export"</f>
        <v>Node 7.04 Import/Export</v>
      </c>
      <c r="C60" s="13"/>
      <c r="D60" s="190">
        <f>VLOOKUP($B55,ImportExport!$B$6:$O$68,3,FALSE)</f>
        <v>0</v>
      </c>
      <c r="E60" s="190">
        <f>VLOOKUP($B55,ImportExport!$B$6:$O$68,4,FALSE)</f>
        <v>0</v>
      </c>
      <c r="F60" s="190">
        <f>VLOOKUP($B55,ImportExport!$B$6:$O$68,5,FALSE)</f>
        <v>0</v>
      </c>
      <c r="G60" s="190">
        <f>VLOOKUP($B55,ImportExport!$B$6:$O$68,6,FALSE)</f>
        <v>0</v>
      </c>
      <c r="H60" s="190">
        <f>VLOOKUP($B55,ImportExport!$B$6:$O$68,7,FALSE)</f>
        <v>0</v>
      </c>
      <c r="I60" s="190">
        <f>VLOOKUP($B55,ImportExport!$B$6:$O$68,8,FALSE)</f>
        <v>0</v>
      </c>
      <c r="J60" s="190">
        <f>VLOOKUP($B55,ImportExport!$B$6:$O$68,9,FALSE)</f>
        <v>0</v>
      </c>
      <c r="K60" s="190">
        <f>VLOOKUP($B55,ImportExport!$B$6:$O$68,10,FALSE)</f>
        <v>0</v>
      </c>
      <c r="L60" s="190">
        <f>VLOOKUP($B55,ImportExport!$B$6:$O$68,11,FALSE)</f>
        <v>0</v>
      </c>
      <c r="M60" s="190">
        <f>VLOOKUP($B55,ImportExport!$B$6:$O$68,12,FALSE)</f>
        <v>0</v>
      </c>
      <c r="N60" s="190">
        <f>VLOOKUP($B55,ImportExport!$B$6:$O$68,13,FALSE)</f>
        <v>0</v>
      </c>
      <c r="O60" s="197">
        <f>VLOOKUP($B55,ImportExport!$B$6:$O$68,14,FALSE)</f>
        <v>0</v>
      </c>
    </row>
    <row r="61" spans="2:15" ht="15.75" thickBot="1">
      <c r="B61" s="18" t="str">
        <f>"Total "&amp; (B55)&amp;" Inflow"</f>
        <v>Total Node 7.04 Inflow</v>
      </c>
      <c r="C61" s="17"/>
      <c r="D61" s="25">
        <f t="shared" ref="D61:O61" si="16">SUM(D57:D60)</f>
        <v>1490.3873818181817</v>
      </c>
      <c r="E61" s="25">
        <f t="shared" si="16"/>
        <v>1035.2837617473433</v>
      </c>
      <c r="F61" s="25">
        <f t="shared" si="16"/>
        <v>3147.5702531286897</v>
      </c>
      <c r="G61" s="25">
        <f t="shared" si="16"/>
        <v>3928.4707443919719</v>
      </c>
      <c r="H61" s="25">
        <f t="shared" si="16"/>
        <v>9590.2437664698919</v>
      </c>
      <c r="I61" s="25">
        <f t="shared" si="16"/>
        <v>13233.326169421485</v>
      </c>
      <c r="J61" s="25">
        <f t="shared" si="16"/>
        <v>2952.8378583455778</v>
      </c>
      <c r="K61" s="25">
        <f t="shared" si="16"/>
        <v>1513.4141751905449</v>
      </c>
      <c r="L61" s="25">
        <f t="shared" si="16"/>
        <v>589.78903308455074</v>
      </c>
      <c r="M61" s="25">
        <f t="shared" si="16"/>
        <v>1411.6080606847697</v>
      </c>
      <c r="N61" s="25">
        <f t="shared" si="16"/>
        <v>1700.6083465171193</v>
      </c>
      <c r="O61" s="26">
        <f t="shared" si="16"/>
        <v>1500.7758155844156</v>
      </c>
    </row>
    <row r="62" spans="2:15" ht="15">
      <c r="B62" s="19" t="s">
        <v>17</v>
      </c>
      <c r="C62" s="20"/>
      <c r="D62" s="282" t="str">
        <f>IF(((VLOOKUP($B55,'Diversion Data'!$B$3:$O$227,3,FALSE))-D64)&gt;0,"Short","")</f>
        <v/>
      </c>
      <c r="E62" s="282" t="str">
        <f>IF(((VLOOKUP($B55,'Diversion Data'!$B$3:$O$227,4,FALSE))-E64)&gt;0,"Short","")</f>
        <v/>
      </c>
      <c r="F62" s="282" t="str">
        <f>IF(((VLOOKUP($B55,'Diversion Data'!$B$3:$O$227,5,FALSE))-F64)&gt;0,"Short","")</f>
        <v/>
      </c>
      <c r="G62" s="282" t="str">
        <f>IF(((VLOOKUP($B55,'Diversion Data'!$B$3:$O$227,6,FALSE))-G64)&gt;0,"Short","")</f>
        <v/>
      </c>
      <c r="H62" s="282" t="str">
        <f>IF(((VLOOKUP($B55,'Diversion Data'!$B$3:$O$227,7,FALSE))-H64)&gt;0,"Short","")</f>
        <v/>
      </c>
      <c r="I62" s="282" t="str">
        <f>IF(((VLOOKUP($B55,'Diversion Data'!$B$3:$O$227,8,FALSE))-I64)&gt;0,"Short","")</f>
        <v/>
      </c>
      <c r="J62" s="282" t="str">
        <f>IF(((VLOOKUP($B55,'Diversion Data'!$B$3:$O$227,9,FALSE))-J64)&gt;0,"Short","")</f>
        <v/>
      </c>
      <c r="K62" s="282" t="str">
        <f>IF(((VLOOKUP($B55,'Diversion Data'!$B$3:$O$227,10,FALSE))-K64)&gt;0,"Short","")</f>
        <v/>
      </c>
      <c r="L62" s="282" t="str">
        <f>IF(((VLOOKUP($B55,'Diversion Data'!$B$3:$O$227,11,FALSE))-L64)&gt;0,"Short","")</f>
        <v/>
      </c>
      <c r="M62" s="282" t="str">
        <f>IF(((VLOOKUP($B55,'Diversion Data'!$B$3:$O$227,12,FALSE))-M64)&gt;0,"Short","")</f>
        <v/>
      </c>
      <c r="N62" s="282" t="str">
        <f>IF(((VLOOKUP($B55,'Diversion Data'!$B$3:$O$227,13,FALSE))-N64)&gt;0,"Short","")</f>
        <v/>
      </c>
      <c r="O62" s="283" t="str">
        <f>IF(((VLOOKUP($B55,'Diversion Data'!$B$3:$O$227,14,FALSE))-O64)&gt;0,"Short","")</f>
        <v/>
      </c>
    </row>
    <row r="63" spans="2:15" ht="14.25">
      <c r="B63" s="14" t="s">
        <v>25</v>
      </c>
      <c r="C63" s="13" t="s">
        <v>181</v>
      </c>
      <c r="D63" s="171">
        <f>VLOOKUP($B63,GainLoss!$B$19:$O$27,3,FALSE)</f>
        <v>0</v>
      </c>
      <c r="E63" s="171">
        <f>VLOOKUP($B63,GainLoss!$B$19:$O$27,4,FALSE)</f>
        <v>0</v>
      </c>
      <c r="F63" s="171">
        <f>VLOOKUP($B63,GainLoss!$B$19:$O$27,5,FALSE)</f>
        <v>0</v>
      </c>
      <c r="G63" s="171">
        <f>VLOOKUP($B63,GainLoss!$B$19:$O$27,6,FALSE)</f>
        <v>0</v>
      </c>
      <c r="H63" s="171">
        <f>VLOOKUP($B63,GainLoss!$B$19:$O$27,7,FALSE)</f>
        <v>0</v>
      </c>
      <c r="I63" s="171">
        <f>VLOOKUP($B63,GainLoss!$B$19:$O$27,8,FALSE)</f>
        <v>0</v>
      </c>
      <c r="J63" s="171">
        <f>VLOOKUP($B63,GainLoss!$B$19:$O$27,9,FALSE)</f>
        <v>0</v>
      </c>
      <c r="K63" s="171">
        <f>VLOOKUP($B63,GainLoss!$B$19:$O$27,10,FALSE)</f>
        <v>0</v>
      </c>
      <c r="L63" s="171">
        <f>VLOOKUP($B63,GainLoss!$B$19:$O$27,11,FALSE)</f>
        <v>0</v>
      </c>
      <c r="M63" s="171">
        <f>VLOOKUP($B63,GainLoss!$B$19:$O$27,12,FALSE)</f>
        <v>0</v>
      </c>
      <c r="N63" s="171">
        <f>VLOOKUP($B63,GainLoss!$B$19:$O$27,13,FALSE)</f>
        <v>0</v>
      </c>
      <c r="O63" s="198">
        <f>VLOOKUP($B63,GainLoss!$B$19:$O$27,14,FALSE)</f>
        <v>0</v>
      </c>
    </row>
    <row r="64" spans="2:15" ht="14.25">
      <c r="B64" s="14" t="str">
        <f>+B55 &amp;" Diversions"</f>
        <v>Node 7.04 Diversions</v>
      </c>
      <c r="C64" s="13"/>
      <c r="D64" s="54">
        <f>MIN(VLOOKUP($B55,'Diversion Data'!$B$3:$O$227,3,FALSE),(D61-D63))</f>
        <v>0</v>
      </c>
      <c r="E64" s="54">
        <f>MIN(VLOOKUP($B55,'Diversion Data'!$B$3:$O$227,4,FALSE),(E61-E63))</f>
        <v>0</v>
      </c>
      <c r="F64" s="54">
        <f>MIN(VLOOKUP($B55,'Diversion Data'!$B$3:$O$227,5,FALSE),(F61-F63))</f>
        <v>0</v>
      </c>
      <c r="G64" s="54">
        <f>MIN(VLOOKUP($B55,'Diversion Data'!$B$3:$O$227,6,FALSE),(G61-G63))</f>
        <v>0</v>
      </c>
      <c r="H64" s="54">
        <f>MIN(VLOOKUP($B55,'Diversion Data'!$B$3:$O$227,7,FALSE),(H61-H63))</f>
        <v>0</v>
      </c>
      <c r="I64" s="54">
        <f>MIN(VLOOKUP($B55,'Diversion Data'!$B$3:$O$227,8,FALSE),(I61-I63))</f>
        <v>0</v>
      </c>
      <c r="J64" s="54">
        <f>MIN(VLOOKUP($B55,'Diversion Data'!$B$3:$O$227,9,FALSE),(J61-J63))</f>
        <v>0</v>
      </c>
      <c r="K64" s="54">
        <f>MIN(VLOOKUP($B55,'Diversion Data'!$B$3:$O$227,10,FALSE),(K61-K63))</f>
        <v>0</v>
      </c>
      <c r="L64" s="54">
        <f>MIN(VLOOKUP($B55,'Diversion Data'!$B$3:$O$227,11,FALSE),(L61-L63))</f>
        <v>0</v>
      </c>
      <c r="M64" s="54">
        <f>MIN(VLOOKUP($B55,'Diversion Data'!$B$3:$O$227,12,FALSE),(M61-M63))</f>
        <v>0</v>
      </c>
      <c r="N64" s="54">
        <f>MIN(VLOOKUP($B55,'Diversion Data'!$B$3:$O$227,13,FALSE),(N61-N63))</f>
        <v>0</v>
      </c>
      <c r="O64" s="110">
        <f>MIN(VLOOKUP($B55,'Diversion Data'!$B$3:$O$227,14,FALSE),(O61-O63))</f>
        <v>0</v>
      </c>
    </row>
    <row r="65" spans="2:15" ht="15.75" thickBot="1">
      <c r="B65" s="24" t="str">
        <f>"Total " &amp; (B55) &amp;" Outflow"</f>
        <v>Total Node 7.04 Outflow</v>
      </c>
      <c r="C65" s="23"/>
      <c r="D65" s="27">
        <f t="shared" ref="D65:O65" si="17">SUM(D63:D64)</f>
        <v>0</v>
      </c>
      <c r="E65" s="27">
        <f t="shared" si="17"/>
        <v>0</v>
      </c>
      <c r="F65" s="27">
        <f t="shared" si="17"/>
        <v>0</v>
      </c>
      <c r="G65" s="27">
        <f t="shared" si="17"/>
        <v>0</v>
      </c>
      <c r="H65" s="27">
        <f t="shared" si="17"/>
        <v>0</v>
      </c>
      <c r="I65" s="27">
        <f t="shared" si="17"/>
        <v>0</v>
      </c>
      <c r="J65" s="27">
        <f t="shared" si="17"/>
        <v>0</v>
      </c>
      <c r="K65" s="27">
        <f t="shared" si="17"/>
        <v>0</v>
      </c>
      <c r="L65" s="27">
        <f t="shared" si="17"/>
        <v>0</v>
      </c>
      <c r="M65" s="27">
        <f t="shared" si="17"/>
        <v>0</v>
      </c>
      <c r="N65" s="27">
        <f t="shared" si="17"/>
        <v>0</v>
      </c>
      <c r="O65" s="28">
        <f t="shared" si="17"/>
        <v>0</v>
      </c>
    </row>
    <row r="66" spans="2:15" ht="15.75" thickBot="1">
      <c r="B66" s="24" t="str">
        <f>(B55)&amp;" NET Flow (In - Out)"</f>
        <v>Node 7.04 NET Flow (In - Out)</v>
      </c>
      <c r="C66" s="23"/>
      <c r="D66" s="193">
        <f t="shared" ref="D66:O66" si="18">MAX(D61-D65,0)</f>
        <v>1490.3873818181817</v>
      </c>
      <c r="E66" s="193">
        <f t="shared" si="18"/>
        <v>1035.2837617473433</v>
      </c>
      <c r="F66" s="193">
        <f t="shared" si="18"/>
        <v>3147.5702531286897</v>
      </c>
      <c r="G66" s="193">
        <f t="shared" si="18"/>
        <v>3928.4707443919719</v>
      </c>
      <c r="H66" s="193">
        <f t="shared" si="18"/>
        <v>9590.2437664698919</v>
      </c>
      <c r="I66" s="193">
        <f t="shared" si="18"/>
        <v>13233.326169421485</v>
      </c>
      <c r="J66" s="193">
        <f t="shared" si="18"/>
        <v>2952.8378583455778</v>
      </c>
      <c r="K66" s="193">
        <f t="shared" si="18"/>
        <v>1513.4141751905449</v>
      </c>
      <c r="L66" s="193">
        <f t="shared" si="18"/>
        <v>589.78903308455074</v>
      </c>
      <c r="M66" s="193">
        <f t="shared" si="18"/>
        <v>1411.6080606847697</v>
      </c>
      <c r="N66" s="193">
        <f t="shared" si="18"/>
        <v>1700.6083465171193</v>
      </c>
      <c r="O66" s="200">
        <f t="shared" si="18"/>
        <v>1500.7758155844156</v>
      </c>
    </row>
    <row r="67" spans="2:15" ht="12" customHeight="1">
      <c r="D67" s="296"/>
      <c r="E67" s="296"/>
      <c r="F67" s="296"/>
      <c r="G67" s="296"/>
      <c r="H67" s="296"/>
      <c r="I67" s="296"/>
      <c r="J67" s="296"/>
      <c r="K67" s="296"/>
      <c r="L67" s="296"/>
      <c r="M67" s="296"/>
      <c r="N67" s="296"/>
      <c r="O67" s="296"/>
    </row>
    <row r="68" spans="2:15" ht="20.25">
      <c r="B68" s="285" t="s">
        <v>362</v>
      </c>
      <c r="C68" s="285"/>
      <c r="D68" s="285"/>
      <c r="E68" s="285"/>
      <c r="F68" s="285"/>
      <c r="G68" s="285"/>
      <c r="H68" s="285"/>
      <c r="I68" s="285"/>
      <c r="J68" s="285"/>
      <c r="K68" s="285"/>
      <c r="L68" s="285"/>
      <c r="M68" s="285"/>
      <c r="N68" s="285"/>
      <c r="O68" s="285"/>
    </row>
  </sheetData>
  <sheetProtection objects="1" scenarios="1"/>
  <mergeCells count="3">
    <mergeCell ref="A3:A14"/>
    <mergeCell ref="T4:AE4"/>
    <mergeCell ref="D1:N1"/>
  </mergeCells>
  <phoneticPr fontId="0" type="noConversion"/>
  <conditionalFormatting sqref="D53:O53 D14:O14 D40:O40 D27:O27 D66:O66">
    <cfRule type="cellIs" dxfId="6" priority="1" stopIfTrue="1" operator="lessThanOrEqual">
      <formula>0</formula>
    </cfRule>
  </conditionalFormatting>
  <pageMargins left="0.75" right="0.75" top="1" bottom="1" header="0.5" footer="0.5"/>
  <pageSetup scale="65" fitToHeight="2" orientation="landscape" horizontalDpi="4294967292" verticalDpi="0" r:id="rId1"/>
  <headerFooter alignWithMargins="0">
    <oddHeader>&amp;C&amp;"Arial,Bold"&amp;12Bear River Spreadsheet Model
Dry Year Conditions</oddHeader>
    <oddFooter>&amp;L&amp;F &amp;A&amp;RAPPENDIX A (Page &amp;P of &amp;N)</oddFooter>
  </headerFooter>
  <rowBreaks count="1" manualBreakCount="1">
    <brk id="15" max="15" man="1"/>
  </rowBreaks>
  <legacyDrawing r:id="rId2"/>
</worksheet>
</file>

<file path=xl/worksheets/sheet11.xml><?xml version="1.0" encoding="utf-8"?>
<worksheet xmlns="http://schemas.openxmlformats.org/spreadsheetml/2006/main" xmlns:r="http://schemas.openxmlformats.org/officeDocument/2006/relationships">
  <sheetPr codeName="Sheet19">
    <pageSetUpPr autoPageBreaks="0"/>
  </sheetPr>
  <dimension ref="A1:AE45"/>
  <sheetViews>
    <sheetView showGridLines="0" zoomScale="75" zoomScaleNormal="75" workbookViewId="0">
      <pane ySplit="1" topLeftCell="A2" activePane="bottomLeft" state="frozen"/>
      <selection activeCell="B26" sqref="B26"/>
      <selection pane="bottomLeft" activeCell="O29" sqref="A29:O45"/>
    </sheetView>
  </sheetViews>
  <sheetFormatPr defaultRowHeight="12.75"/>
  <cols>
    <col min="1" max="1" width="2.28515625" customWidth="1"/>
    <col min="2" max="2" width="10.85546875" customWidth="1"/>
    <col min="3" max="3" width="25.28515625" customWidth="1"/>
    <col min="4" max="5" width="7.140625" customWidth="1"/>
    <col min="6" max="7" width="8.28515625" customWidth="1"/>
    <col min="8" max="15" width="9.42578125" customWidth="1"/>
  </cols>
  <sheetData>
    <row r="1" spans="1:31" ht="44.25" customHeight="1">
      <c r="A1" s="2"/>
      <c r="B1" s="3"/>
      <c r="C1" s="229"/>
      <c r="D1" s="664" t="s">
        <v>526</v>
      </c>
      <c r="E1" s="664"/>
      <c r="F1" s="664"/>
      <c r="G1" s="664"/>
      <c r="H1" s="664"/>
      <c r="I1" s="664"/>
      <c r="J1" s="664"/>
      <c r="K1" s="664"/>
      <c r="L1" s="664"/>
      <c r="M1" s="664"/>
      <c r="N1" s="664"/>
      <c r="O1" s="295"/>
    </row>
    <row r="3" spans="1:31" ht="18.75" thickBot="1">
      <c r="A3" s="658"/>
      <c r="B3" s="108" t="s">
        <v>122</v>
      </c>
      <c r="C3" s="109" t="str">
        <f>VLOOKUP(B3,NodeList!$D$4:$E$121,2,FALSE)</f>
        <v>USGS 10026500:  Bear R. nr Randolph, UT</v>
      </c>
      <c r="D3" s="6"/>
      <c r="E3" s="6"/>
      <c r="F3" s="6"/>
      <c r="G3" s="6"/>
      <c r="H3" s="295"/>
      <c r="I3" s="295"/>
      <c r="J3" s="295"/>
      <c r="K3" s="295"/>
      <c r="L3" s="295"/>
      <c r="M3" s="295"/>
      <c r="N3" s="295"/>
      <c r="O3" s="434" t="s">
        <v>540</v>
      </c>
      <c r="P3" s="295"/>
      <c r="Q3" s="295"/>
      <c r="R3" s="295"/>
      <c r="S3" s="295"/>
    </row>
    <row r="4" spans="1:31" ht="18">
      <c r="A4" s="658"/>
      <c r="B4" s="9" t="s">
        <v>16</v>
      </c>
      <c r="C4" s="10"/>
      <c r="D4" s="11" t="s">
        <v>0</v>
      </c>
      <c r="E4" s="11" t="s">
        <v>1</v>
      </c>
      <c r="F4" s="11" t="s">
        <v>2</v>
      </c>
      <c r="G4" s="11" t="s">
        <v>3</v>
      </c>
      <c r="H4" s="11" t="s">
        <v>4</v>
      </c>
      <c r="I4" s="11" t="s">
        <v>5</v>
      </c>
      <c r="J4" s="11" t="s">
        <v>6</v>
      </c>
      <c r="K4" s="11" t="s">
        <v>7</v>
      </c>
      <c r="L4" s="11" t="s">
        <v>8</v>
      </c>
      <c r="M4" s="11" t="s">
        <v>9</v>
      </c>
      <c r="N4" s="11" t="s">
        <v>10</v>
      </c>
      <c r="O4" s="12" t="s">
        <v>11</v>
      </c>
      <c r="T4" s="661"/>
      <c r="U4" s="661"/>
      <c r="V4" s="661"/>
      <c r="W4" s="661"/>
      <c r="X4" s="661"/>
      <c r="Y4" s="661"/>
      <c r="Z4" s="661"/>
      <c r="AA4" s="661"/>
      <c r="AB4" s="661"/>
      <c r="AC4" s="661"/>
      <c r="AD4" s="661"/>
      <c r="AE4" s="661"/>
    </row>
    <row r="5" spans="1:31" ht="14.25">
      <c r="A5" s="658"/>
      <c r="B5" s="14" t="str">
        <f>+B3 &amp;" Node Inflow"</f>
        <v>Node 8.00 Node Inflow</v>
      </c>
      <c r="C5" s="13"/>
      <c r="D5" s="15">
        <f>+'Reach 7'!D66</f>
        <v>1490.3873818181817</v>
      </c>
      <c r="E5" s="15">
        <f>+'Reach 7'!E66</f>
        <v>1035.2837617473433</v>
      </c>
      <c r="F5" s="15">
        <f>+'Reach 7'!F66</f>
        <v>3147.5702531286897</v>
      </c>
      <c r="G5" s="15">
        <f>+'Reach 7'!G66</f>
        <v>3928.4707443919719</v>
      </c>
      <c r="H5" s="15">
        <f>+'Reach 7'!H66</f>
        <v>9590.2437664698919</v>
      </c>
      <c r="I5" s="15">
        <f>+'Reach 7'!I66</f>
        <v>13233.326169421485</v>
      </c>
      <c r="J5" s="15">
        <f>+'Reach 7'!J66</f>
        <v>2952.8378583455778</v>
      </c>
      <c r="K5" s="15">
        <f>+'Reach 7'!K66</f>
        <v>1513.4141751905449</v>
      </c>
      <c r="L5" s="15">
        <f>+'Reach 7'!L66</f>
        <v>589.78903308455074</v>
      </c>
      <c r="M5" s="15">
        <f>+'Reach 7'!M66</f>
        <v>1411.6080606847697</v>
      </c>
      <c r="N5" s="15">
        <f>+'Reach 7'!N66</f>
        <v>1700.6083465171193</v>
      </c>
      <c r="O5" s="15">
        <f>+'Reach 7'!O66</f>
        <v>1500.7758155844156</v>
      </c>
    </row>
    <row r="6" spans="1:31" ht="14.25">
      <c r="A6" s="658"/>
      <c r="B6" s="14" t="str">
        <f>+B3 &amp;" Irrigation Returns"</f>
        <v>Node 8.00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7967.9130571817204</v>
      </c>
      <c r="I6" s="54">
        <f>VLOOKUP(($B3),'Irrigation Returns'!$B$644:$P$930,9,FALSE)</f>
        <v>19565.857837648433</v>
      </c>
      <c r="J6" s="54">
        <f>VLOOKUP(($B3),'Irrigation Returns'!$B$644:$P$930,10,FALSE)</f>
        <v>10378.442372582957</v>
      </c>
      <c r="K6" s="54">
        <f>VLOOKUP(($B3),'Irrigation Returns'!$B$644:$P$930,11,FALSE)</f>
        <v>5683.8369701358497</v>
      </c>
      <c r="L6" s="54">
        <f>VLOOKUP(($B3),'Irrigation Returns'!$B$644:$P$930,12,FALSE)</f>
        <v>2586.9162640624563</v>
      </c>
      <c r="M6" s="54">
        <f>VLOOKUP(($B3),'Irrigation Returns'!$B$644:$P$930,13,FALSE)</f>
        <v>743.70829059769062</v>
      </c>
      <c r="N6" s="54">
        <f>VLOOKUP(($B3),'Irrigation Returns'!$B$644:$P$930,14,FALSE)</f>
        <v>229.65365954883458</v>
      </c>
      <c r="O6" s="110">
        <f>VLOOKUP(($B3),'Irrigation Returns'!$B$644:$P$930,15,FALSE)</f>
        <v>39.263741696918188</v>
      </c>
    </row>
    <row r="7" spans="1:31" ht="14.25">
      <c r="A7" s="658"/>
      <c r="B7" s="14" t="s">
        <v>363</v>
      </c>
      <c r="C7" s="13" t="s">
        <v>180</v>
      </c>
      <c r="D7" s="54">
        <f>VLOOKUP($B7,GainLoss!$B$5:$O$14,3,FALSE)</f>
        <v>0</v>
      </c>
      <c r="E7" s="54">
        <f>VLOOKUP($B7,GainLoss!$B$5:$O$14,4,FALSE)</f>
        <v>0</v>
      </c>
      <c r="F7" s="54">
        <f>VLOOKUP($B7,GainLoss!$B$5:$O$14,5,FALSE)</f>
        <v>0</v>
      </c>
      <c r="G7" s="54">
        <f>VLOOKUP($B7,GainLoss!$B$5:$O$14,6,FALSE)</f>
        <v>0</v>
      </c>
      <c r="H7" s="54">
        <f>VLOOKUP($B7,GainLoss!$B$5:$O$14,7,FALSE)</f>
        <v>0</v>
      </c>
      <c r="I7" s="54">
        <f>VLOOKUP($B7,GainLoss!$B$5:$O$14,8,FALSE)</f>
        <v>0</v>
      </c>
      <c r="J7" s="54">
        <f>VLOOKUP($B7,GainLoss!$B$5:$O$14,9,FALSE)</f>
        <v>0</v>
      </c>
      <c r="K7" s="54">
        <f>VLOOKUP($B7,GainLoss!$B$5:$O$14,10,FALSE)</f>
        <v>0</v>
      </c>
      <c r="L7" s="54">
        <f>VLOOKUP($B7,GainLoss!$B$5:$O$14,11,FALSE)</f>
        <v>0</v>
      </c>
      <c r="M7" s="54">
        <f>VLOOKUP($B7,GainLoss!$B$5:$O$14,12,FALSE)</f>
        <v>0</v>
      </c>
      <c r="N7" s="54">
        <f>VLOOKUP($B7,GainLoss!$B$5:$O$14,13,FALSE)</f>
        <v>0</v>
      </c>
      <c r="O7" s="110">
        <f>VLOOKUP($B7,GainLoss!$B$5:$O$14,14,FALSE)</f>
        <v>0</v>
      </c>
    </row>
    <row r="8" spans="1:31" ht="14.25">
      <c r="A8" s="658"/>
      <c r="B8" s="14" t="str">
        <f>+B3 &amp;" Import/Export"</f>
        <v>Node 8.00 Import/Export</v>
      </c>
      <c r="C8" s="13"/>
      <c r="D8" s="190">
        <f>VLOOKUP($B3,ImportExport!$B$6:$O$68,3,FALSE)</f>
        <v>0</v>
      </c>
      <c r="E8" s="190">
        <f>VLOOKUP($B3,ImportExport!$B$6:$O$68,4,FALSE)</f>
        <v>0</v>
      </c>
      <c r="F8" s="190">
        <f>VLOOKUP($B3,ImportExport!$B$6:$O$68,5,FALSE)</f>
        <v>0</v>
      </c>
      <c r="G8" s="190">
        <f>VLOOKUP($B3,ImportExport!$B$6:$O$68,6,FALSE)</f>
        <v>0</v>
      </c>
      <c r="H8" s="190">
        <f>VLOOKUP($B3,ImportExport!$B$6:$O$68,7,FALSE)</f>
        <v>0</v>
      </c>
      <c r="I8" s="190">
        <f>VLOOKUP($B3,ImportExport!$B$6:$O$68,8,FALSE)</f>
        <v>0</v>
      </c>
      <c r="J8" s="190">
        <f>VLOOKUP($B3,ImportExport!$B$6:$O$68,9,FALSE)</f>
        <v>0</v>
      </c>
      <c r="K8" s="190">
        <f>VLOOKUP($B3,ImportExport!$B$6:$O$68,10,FALSE)</f>
        <v>0</v>
      </c>
      <c r="L8" s="190">
        <f>VLOOKUP($B3,ImportExport!$B$6:$O$68,11,FALSE)</f>
        <v>0</v>
      </c>
      <c r="M8" s="190">
        <f>VLOOKUP($B3,ImportExport!$B$6:$O$68,12,FALSE)</f>
        <v>0</v>
      </c>
      <c r="N8" s="190">
        <f>VLOOKUP($B3,ImportExport!$B$6:$O$68,13,FALSE)</f>
        <v>0</v>
      </c>
      <c r="O8" s="197">
        <f>VLOOKUP($B3,ImportExport!$B$6:$O$68,14,FALSE)</f>
        <v>0</v>
      </c>
    </row>
    <row r="9" spans="1:31" ht="15.75" thickBot="1">
      <c r="A9" s="658"/>
      <c r="B9" s="18" t="str">
        <f>"Total "&amp; (B3)&amp;" Inflow"</f>
        <v>Total Node 8.00 Inflow</v>
      </c>
      <c r="C9" s="17"/>
      <c r="D9" s="25">
        <f>SUM(D5:D8)</f>
        <v>1490.3873818181817</v>
      </c>
      <c r="E9" s="25">
        <f t="shared" ref="E9:O9" si="0">SUM(E5:E8)</f>
        <v>1035.2837617473433</v>
      </c>
      <c r="F9" s="25">
        <f t="shared" si="0"/>
        <v>3147.5702531286897</v>
      </c>
      <c r="G9" s="25">
        <f t="shared" si="0"/>
        <v>3928.4707443919719</v>
      </c>
      <c r="H9" s="25">
        <f t="shared" si="0"/>
        <v>17558.15682365161</v>
      </c>
      <c r="I9" s="25">
        <f t="shared" si="0"/>
        <v>32799.184007069918</v>
      </c>
      <c r="J9" s="25">
        <f t="shared" si="0"/>
        <v>13331.280230928534</v>
      </c>
      <c r="K9" s="25">
        <f t="shared" si="0"/>
        <v>7197.2511453263942</v>
      </c>
      <c r="L9" s="25">
        <f t="shared" si="0"/>
        <v>3176.7052971470071</v>
      </c>
      <c r="M9" s="25">
        <f t="shared" si="0"/>
        <v>2155.3163512824603</v>
      </c>
      <c r="N9" s="25">
        <f t="shared" si="0"/>
        <v>1930.262006065954</v>
      </c>
      <c r="O9" s="26">
        <f t="shared" si="0"/>
        <v>1540.0395572813338</v>
      </c>
    </row>
    <row r="10" spans="1:31" ht="15">
      <c r="A10" s="658"/>
      <c r="B10" s="19" t="s">
        <v>17</v>
      </c>
      <c r="C10" s="20"/>
      <c r="D10" s="282" t="str">
        <f>IF(((VLOOKUP($B3,'Diversion Data'!$B$3:$O$227,3,FALSE))-D12)&gt;0,"Short","")</f>
        <v/>
      </c>
      <c r="E10" s="282" t="str">
        <f>IF(((VLOOKUP($B3,'Diversion Data'!$B$3:$O$227,4,FALSE))-E12)&gt;0,"Short","")</f>
        <v/>
      </c>
      <c r="F10" s="282" t="str">
        <f>IF(((VLOOKUP($B3,'Diversion Data'!$B$3:$O$227,5,FALSE))-F12)&gt;0,"Short","")</f>
        <v/>
      </c>
      <c r="G10" s="282" t="str">
        <f>IF(((VLOOKUP($B3,'Diversion Data'!$B$3:$O$227,6,FALSE))-G12)&gt;0,"Short","")</f>
        <v/>
      </c>
      <c r="H10" s="282" t="str">
        <f>IF(((VLOOKUP($B3,'Diversion Data'!$B$3:$O$227,7,FALSE))-H12)&gt;0,"Short","")</f>
        <v/>
      </c>
      <c r="I10" s="282" t="str">
        <f>IF(((VLOOKUP($B3,'Diversion Data'!$B$3:$O$227,8,FALSE))-I12)&gt;0,"Short","")</f>
        <v/>
      </c>
      <c r="J10" s="282" t="str">
        <f>IF(((VLOOKUP($B3,'Diversion Data'!$B$3:$O$227,9,FALSE))-J12)&gt;0,"Short","")</f>
        <v/>
      </c>
      <c r="K10" s="282" t="str">
        <f>IF(((VLOOKUP($B3,'Diversion Data'!$B$3:$O$227,10,FALSE))-K12)&gt;0,"Short","")</f>
        <v/>
      </c>
      <c r="L10" s="282" t="str">
        <f>IF(((VLOOKUP($B3,'Diversion Data'!$B$3:$O$227,11,FALSE))-L12)&gt;0,"Short","")</f>
        <v/>
      </c>
      <c r="M10" s="282" t="str">
        <f>IF(((VLOOKUP($B3,'Diversion Data'!$B$3:$O$227,12,FALSE))-M12)&gt;0,"Short","")</f>
        <v/>
      </c>
      <c r="N10" s="282" t="str">
        <f>IF(((VLOOKUP($B3,'Diversion Data'!$B$3:$O$227,13,FALSE))-N12)&gt;0,"Short","")</f>
        <v/>
      </c>
      <c r="O10" s="283" t="str">
        <f>IF(((VLOOKUP($B3,'Diversion Data'!$B$3:$O$227,14,FALSE))-O12)&gt;0,"Short","")</f>
        <v/>
      </c>
    </row>
    <row r="11" spans="1:31" ht="14.25">
      <c r="A11" s="658"/>
      <c r="B11" s="14" t="s">
        <v>81</v>
      </c>
      <c r="C11" s="13" t="s">
        <v>181</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8">
        <f>VLOOKUP($B11,GainLoss!$B$19:$O$27,14,FALSE)</f>
        <v>0</v>
      </c>
    </row>
    <row r="12" spans="1:31" ht="14.25">
      <c r="A12" s="658"/>
      <c r="B12" s="14" t="str">
        <f>+B3 &amp;" Diversions"</f>
        <v>Node 8.00 Diversions</v>
      </c>
      <c r="C12" s="13"/>
      <c r="D12" s="54">
        <f>MIN(VLOOKUP($B3,'Diversion Data'!$B$3:$O$227,3,FALSE),(D9-D11))</f>
        <v>0</v>
      </c>
      <c r="E12" s="54">
        <f>MIN(VLOOKUP($B3,'Diversion Data'!$B$3:$O$227,4,FALSE),(E9-E11))</f>
        <v>0</v>
      </c>
      <c r="F12" s="54">
        <f>MIN(VLOOKUP($B3,'Diversion Data'!$B$3:$O$227,5,FALSE),(F9-F11))</f>
        <v>0</v>
      </c>
      <c r="G12" s="54">
        <f>MIN(VLOOKUP($B3,'Diversion Data'!$B$3:$O$227,6,FALSE),(G9-G11))</f>
        <v>0</v>
      </c>
      <c r="H12" s="54">
        <f>MIN(VLOOKUP($B3,'Diversion Data'!$B$3:$O$227,7,FALSE),(H9-H11))</f>
        <v>0</v>
      </c>
      <c r="I12" s="54">
        <f>MIN(VLOOKUP($B3,'Diversion Data'!$B$3:$O$227,8,FALSE),(I9-I11))</f>
        <v>0</v>
      </c>
      <c r="J12" s="54">
        <f>MIN(VLOOKUP($B3,'Diversion Data'!$B$3:$O$227,9,FALSE),(J9-J11))</f>
        <v>0</v>
      </c>
      <c r="K12" s="54">
        <f>MIN(VLOOKUP($B3,'Diversion Data'!$B$3:$O$227,10,FALSE),(K9-K11))</f>
        <v>0</v>
      </c>
      <c r="L12" s="54">
        <f>MIN(VLOOKUP($B3,'Diversion Data'!$B$3:$O$227,11,FALSE),(L9-L11))</f>
        <v>0</v>
      </c>
      <c r="M12" s="54">
        <f>MIN(VLOOKUP($B3,'Diversion Data'!$B$3:$O$227,12,FALSE),(M9-M11))</f>
        <v>0</v>
      </c>
      <c r="N12" s="54">
        <f>MIN(VLOOKUP($B3,'Diversion Data'!$B$3:$O$227,13,FALSE),(N9-N11))</f>
        <v>0</v>
      </c>
      <c r="O12" s="110">
        <f>MIN(VLOOKUP($B3,'Diversion Data'!$B$3:$O$227,14,FALSE),(O9-O11))</f>
        <v>0</v>
      </c>
    </row>
    <row r="13" spans="1:31" ht="15.75" thickBot="1">
      <c r="A13" s="658"/>
      <c r="B13" s="24" t="str">
        <f>"Total " &amp; (B3) &amp;" Outflow"</f>
        <v>Total Node 8.00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31" ht="15.75" thickBot="1">
      <c r="A14" s="658"/>
      <c r="B14" s="24" t="str">
        <f>(B3)&amp;" NET Flow (In - Out)"</f>
        <v>Node 8.00 NET Flow (In - Out)</v>
      </c>
      <c r="C14" s="23"/>
      <c r="D14" s="193">
        <f t="shared" ref="D14:O14" si="2">MAX(D9-D13,0)</f>
        <v>1490.3873818181817</v>
      </c>
      <c r="E14" s="193">
        <f t="shared" si="2"/>
        <v>1035.2837617473433</v>
      </c>
      <c r="F14" s="193">
        <f t="shared" si="2"/>
        <v>3147.5702531286897</v>
      </c>
      <c r="G14" s="193">
        <f t="shared" si="2"/>
        <v>3928.4707443919719</v>
      </c>
      <c r="H14" s="193">
        <f t="shared" si="2"/>
        <v>17558.15682365161</v>
      </c>
      <c r="I14" s="193">
        <f t="shared" si="2"/>
        <v>32799.184007069918</v>
      </c>
      <c r="J14" s="193">
        <f t="shared" si="2"/>
        <v>13331.280230928534</v>
      </c>
      <c r="K14" s="193">
        <f t="shared" si="2"/>
        <v>7197.2511453263942</v>
      </c>
      <c r="L14" s="193">
        <f t="shared" si="2"/>
        <v>3176.7052971470071</v>
      </c>
      <c r="M14" s="193">
        <f t="shared" si="2"/>
        <v>2155.3163512824603</v>
      </c>
      <c r="N14" s="193">
        <f t="shared" si="2"/>
        <v>1930.262006065954</v>
      </c>
      <c r="O14" s="200">
        <f t="shared" si="2"/>
        <v>1540.0395572813338</v>
      </c>
    </row>
    <row r="16" spans="1:31" ht="15.75" thickBot="1">
      <c r="B16" s="108" t="s">
        <v>270</v>
      </c>
      <c r="C16" s="109" t="str">
        <f>VLOOKUP(B16,NodeList!$D$4:$E$121,2,FALSE)</f>
        <v>BQ Dam</v>
      </c>
      <c r="D16" s="6"/>
      <c r="E16" s="6"/>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8.02 Node Inflow</v>
      </c>
      <c r="C18" s="13"/>
      <c r="D18" s="15">
        <f>+D14</f>
        <v>1490.3873818181817</v>
      </c>
      <c r="E18" s="15">
        <f t="shared" ref="E18:O18" si="3">+E14</f>
        <v>1035.2837617473433</v>
      </c>
      <c r="F18" s="15">
        <f t="shared" si="3"/>
        <v>3147.5702531286897</v>
      </c>
      <c r="G18" s="15">
        <f t="shared" si="3"/>
        <v>3928.4707443919719</v>
      </c>
      <c r="H18" s="15">
        <f t="shared" si="3"/>
        <v>17558.15682365161</v>
      </c>
      <c r="I18" s="15">
        <f t="shared" si="3"/>
        <v>32799.184007069918</v>
      </c>
      <c r="J18" s="15">
        <f t="shared" si="3"/>
        <v>13331.280230928534</v>
      </c>
      <c r="K18" s="15">
        <f t="shared" si="3"/>
        <v>7197.2511453263942</v>
      </c>
      <c r="L18" s="15">
        <f t="shared" si="3"/>
        <v>3176.7052971470071</v>
      </c>
      <c r="M18" s="15">
        <f t="shared" si="3"/>
        <v>2155.3163512824603</v>
      </c>
      <c r="N18" s="15">
        <f t="shared" si="3"/>
        <v>1930.262006065954</v>
      </c>
      <c r="O18" s="16">
        <f t="shared" si="3"/>
        <v>1540.0395572813338</v>
      </c>
    </row>
    <row r="19" spans="2:15" ht="14.25">
      <c r="B19" s="14" t="str">
        <f>+B16 &amp;" Irrigation Returns"</f>
        <v>Node 8.02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0</v>
      </c>
      <c r="I19" s="54">
        <f>VLOOKUP(($B16),'Irrigation Returns'!$B$644:$P$930,9,FALSE)</f>
        <v>0</v>
      </c>
      <c r="J19" s="54">
        <f>VLOOKUP(($B16),'Irrigation Returns'!$B$644:$P$930,10,FALSE)</f>
        <v>0</v>
      </c>
      <c r="K19" s="54">
        <f>VLOOKUP(($B16),'Irrigation Returns'!$B$644:$P$930,11,FALSE)</f>
        <v>0</v>
      </c>
      <c r="L19" s="54">
        <f>VLOOKUP(($B16),'Irrigation Returns'!$B$644:$P$930,12,FALSE)</f>
        <v>0</v>
      </c>
      <c r="M19" s="54">
        <f>VLOOKUP(($B16),'Irrigation Returns'!$B$644:$P$930,13,FALSE)</f>
        <v>0</v>
      </c>
      <c r="N19" s="54">
        <f>VLOOKUP(($B16),'Irrigation Returns'!$B$644:$P$930,14,FALSE)</f>
        <v>0</v>
      </c>
      <c r="O19" s="110">
        <f>VLOOKUP(($B16),'Irrigation Returns'!$B$644:$P$930,15,FALSE)</f>
        <v>0</v>
      </c>
    </row>
    <row r="20" spans="2:15" ht="14.25">
      <c r="B20" s="14" t="s">
        <v>328</v>
      </c>
      <c r="C20" s="13" t="s">
        <v>180</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8.02 Import/Export</v>
      </c>
      <c r="C21" s="13"/>
      <c r="D21" s="190">
        <f>VLOOKUP($B16,ImportExport!$B$6:$O$68,3,FALSE)</f>
        <v>0</v>
      </c>
      <c r="E21" s="190">
        <f>VLOOKUP($B16,ImportExport!$B$6:$O$68,4,FALSE)</f>
        <v>0</v>
      </c>
      <c r="F21" s="190">
        <f>VLOOKUP($B16,ImportExport!$B$6:$O$68,5,FALSE)</f>
        <v>0</v>
      </c>
      <c r="G21" s="190">
        <f>VLOOKUP($B16,ImportExport!$B$6:$O$68,6,FALSE)</f>
        <v>0</v>
      </c>
      <c r="H21" s="190">
        <f>VLOOKUP($B16,ImportExport!$B$6:$O$68,7,FALSE)</f>
        <v>0</v>
      </c>
      <c r="I21" s="190">
        <f>VLOOKUP($B16,ImportExport!$B$6:$O$68,8,FALSE)</f>
        <v>0</v>
      </c>
      <c r="J21" s="190">
        <f>VLOOKUP($B16,ImportExport!$B$6:$O$68,9,FALSE)</f>
        <v>0</v>
      </c>
      <c r="K21" s="190">
        <f>VLOOKUP($B16,ImportExport!$B$6:$O$68,10,FALSE)</f>
        <v>0</v>
      </c>
      <c r="L21" s="190">
        <f>VLOOKUP($B16,ImportExport!$B$6:$O$68,11,FALSE)</f>
        <v>0</v>
      </c>
      <c r="M21" s="190">
        <f>VLOOKUP($B16,ImportExport!$B$6:$O$68,12,FALSE)</f>
        <v>0</v>
      </c>
      <c r="N21" s="190">
        <f>VLOOKUP($B16,ImportExport!$B$6:$O$68,13,FALSE)</f>
        <v>0</v>
      </c>
      <c r="O21" s="197">
        <f>VLOOKUP($B16,ImportExport!$B$6:$O$68,14,FALSE)</f>
        <v>0</v>
      </c>
    </row>
    <row r="22" spans="2:15" ht="15.75" thickBot="1">
      <c r="B22" s="18" t="str">
        <f>"Total "&amp; (B16)&amp;" Inflow"</f>
        <v>Total Node 8.02 Inflow</v>
      </c>
      <c r="C22" s="17"/>
      <c r="D22" s="25">
        <f>SUM(D18:D21)</f>
        <v>1490.3873818181817</v>
      </c>
      <c r="E22" s="25">
        <f t="shared" ref="E22:O22" si="4">SUM(E18:E21)</f>
        <v>1035.2837617473433</v>
      </c>
      <c r="F22" s="25">
        <f t="shared" si="4"/>
        <v>3147.5702531286897</v>
      </c>
      <c r="G22" s="25">
        <f t="shared" si="4"/>
        <v>3928.4707443919719</v>
      </c>
      <c r="H22" s="25">
        <f t="shared" si="4"/>
        <v>17558.15682365161</v>
      </c>
      <c r="I22" s="25">
        <f t="shared" si="4"/>
        <v>32799.184007069918</v>
      </c>
      <c r="J22" s="25">
        <f t="shared" si="4"/>
        <v>13331.280230928534</v>
      </c>
      <c r="K22" s="25">
        <f t="shared" si="4"/>
        <v>7197.2511453263942</v>
      </c>
      <c r="L22" s="25">
        <f t="shared" si="4"/>
        <v>3176.7052971470071</v>
      </c>
      <c r="M22" s="25">
        <f t="shared" si="4"/>
        <v>2155.3163512824603</v>
      </c>
      <c r="N22" s="25">
        <f t="shared" si="4"/>
        <v>1930.262006065954</v>
      </c>
      <c r="O22" s="26">
        <f t="shared" si="4"/>
        <v>1540.0395572813338</v>
      </c>
    </row>
    <row r="23" spans="2:15" ht="15">
      <c r="B23" s="19" t="s">
        <v>17</v>
      </c>
      <c r="C23" s="20"/>
      <c r="D23" s="282" t="str">
        <f>IF(((VLOOKUP($B16,'Diversion Data'!$B$3:$O$227,3,FALSE))-D25)&gt;0,"Short","")</f>
        <v/>
      </c>
      <c r="E23" s="282" t="str">
        <f>IF(((VLOOKUP($B16,'Diversion Data'!$B$3:$O$227,4,FALSE))-E25)&gt;0,"Short","")</f>
        <v/>
      </c>
      <c r="F23" s="282" t="str">
        <f>IF(((VLOOKUP($B16,'Diversion Data'!$B$3:$O$227,5,FALSE))-F25)&gt;0,"Short","")</f>
        <v/>
      </c>
      <c r="G23" s="282" t="str">
        <f>IF(((VLOOKUP($B16,'Diversion Data'!$B$3:$O$227,6,FALSE))-G25)&gt;0,"Short","")</f>
        <v/>
      </c>
      <c r="H23" s="282" t="str">
        <f>IF(((VLOOKUP($B16,'Diversion Data'!$B$3:$O$227,7,FALSE))-H25)&gt;0,"Short","")</f>
        <v/>
      </c>
      <c r="I23" s="282" t="str">
        <f>IF(((VLOOKUP($B16,'Diversion Data'!$B$3:$O$227,8,FALSE))-I25)&gt;0,"Short","")</f>
        <v/>
      </c>
      <c r="J23" s="282" t="str">
        <f>IF(((VLOOKUP($B16,'Diversion Data'!$B$3:$O$227,9,FALSE))-J25)&gt;0,"Short","")</f>
        <v/>
      </c>
      <c r="K23" s="282" t="str">
        <f>IF(((VLOOKUP($B16,'Diversion Data'!$B$3:$O$227,10,FALSE))-K25)&gt;0,"Short","")</f>
        <v/>
      </c>
      <c r="L23" s="282" t="str">
        <f>IF(((VLOOKUP($B16,'Diversion Data'!$B$3:$O$227,11,FALSE))-L25)&gt;0,"Short","")</f>
        <v/>
      </c>
      <c r="M23" s="282" t="str">
        <f>IF(((VLOOKUP($B16,'Diversion Data'!$B$3:$O$227,12,FALSE))-M25)&gt;0,"Short","")</f>
        <v/>
      </c>
      <c r="N23" s="282" t="str">
        <f>IF(((VLOOKUP($B16,'Diversion Data'!$B$3:$O$227,13,FALSE))-N25)&gt;0,"Short","")</f>
        <v/>
      </c>
      <c r="O23" s="283" t="str">
        <f>IF(((VLOOKUP($B16,'Diversion Data'!$B$3:$O$227,14,FALSE))-O25)&gt;0,"Short","")</f>
        <v/>
      </c>
    </row>
    <row r="24" spans="2:15" ht="14.25">
      <c r="B24" s="14" t="s">
        <v>81</v>
      </c>
      <c r="C24" s="13" t="s">
        <v>181</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8">
        <f>VLOOKUP($B24,GainLoss!$B$19:$O$27,14,FALSE)</f>
        <v>0</v>
      </c>
    </row>
    <row r="25" spans="2:15" ht="14.25">
      <c r="B25" s="14" t="str">
        <f>+B16 &amp;" Diversions"</f>
        <v>Node 8.02 Diversions</v>
      </c>
      <c r="C25" s="13"/>
      <c r="D25" s="54">
        <f>MIN(VLOOKUP($B16,'Diversion Data'!$B$3:$O$227,3,FALSE),(D22-D24))</f>
        <v>0</v>
      </c>
      <c r="E25" s="54">
        <f>MIN(VLOOKUP($B16,'Diversion Data'!$B$3:$O$227,4,FALSE),(E22-E24))</f>
        <v>0</v>
      </c>
      <c r="F25" s="54">
        <f>MIN(VLOOKUP($B16,'Diversion Data'!$B$3:$O$227,5,FALSE),(F22-F24))</f>
        <v>0</v>
      </c>
      <c r="G25" s="54">
        <f>MIN(VLOOKUP($B16,'Diversion Data'!$B$3:$O$227,6,FALSE),(G22-G24))</f>
        <v>0</v>
      </c>
      <c r="H25" s="54">
        <f>MIN(VLOOKUP($B16,'Diversion Data'!$B$3:$O$227,7,FALSE),(H22-H24))</f>
        <v>1780.5680029354546</v>
      </c>
      <c r="I25" s="54">
        <f>MIN(VLOOKUP($B16,'Diversion Data'!$B$3:$O$227,8,FALSE),(I22-I24))</f>
        <v>7433.0612931595351</v>
      </c>
      <c r="J25" s="54">
        <f>MIN(VLOOKUP($B16,'Diversion Data'!$B$3:$O$227,9,FALSE),(J22-J24))</f>
        <v>2074.4859710805681</v>
      </c>
      <c r="K25" s="54">
        <f>MIN(VLOOKUP($B16,'Diversion Data'!$B$3:$O$227,10,FALSE),(K22-K24))</f>
        <v>162.91801152272728</v>
      </c>
      <c r="L25" s="54">
        <f>MIN(VLOOKUP($B16,'Diversion Data'!$B$3:$O$227,11,FALSE),(L22-L24))</f>
        <v>67.453907555785122</v>
      </c>
      <c r="M25" s="54">
        <f>MIN(VLOOKUP($B16,'Diversion Data'!$B$3:$O$227,12,FALSE),(M22-M24))</f>
        <v>0</v>
      </c>
      <c r="N25" s="54">
        <f>MIN(VLOOKUP($B16,'Diversion Data'!$B$3:$O$227,13,FALSE),(N22-N24))</f>
        <v>0</v>
      </c>
      <c r="O25" s="110">
        <f>MIN(VLOOKUP($B16,'Diversion Data'!$B$3:$O$227,14,FALSE),(O22-O24))</f>
        <v>0</v>
      </c>
    </row>
    <row r="26" spans="2:15" ht="15.75" thickBot="1">
      <c r="B26" s="24" t="str">
        <f>"Total " &amp; (B16) &amp;" Outflow"</f>
        <v>Total Node 8.02 Outflow</v>
      </c>
      <c r="C26" s="23"/>
      <c r="D26" s="27">
        <f>SUM(D24:D25)</f>
        <v>0</v>
      </c>
      <c r="E26" s="27">
        <f t="shared" ref="E26:O26" si="5">SUM(E24:E25)</f>
        <v>0</v>
      </c>
      <c r="F26" s="27">
        <f t="shared" si="5"/>
        <v>0</v>
      </c>
      <c r="G26" s="27">
        <f t="shared" si="5"/>
        <v>0</v>
      </c>
      <c r="H26" s="27">
        <f t="shared" si="5"/>
        <v>1780.5680029354546</v>
      </c>
      <c r="I26" s="27">
        <f t="shared" si="5"/>
        <v>7433.0612931595351</v>
      </c>
      <c r="J26" s="27">
        <f t="shared" si="5"/>
        <v>2074.4859710805681</v>
      </c>
      <c r="K26" s="27">
        <f t="shared" si="5"/>
        <v>162.91801152272728</v>
      </c>
      <c r="L26" s="27">
        <f t="shared" si="5"/>
        <v>67.453907555785122</v>
      </c>
      <c r="M26" s="27">
        <f t="shared" si="5"/>
        <v>0</v>
      </c>
      <c r="N26" s="27">
        <f t="shared" si="5"/>
        <v>0</v>
      </c>
      <c r="O26" s="28">
        <f t="shared" si="5"/>
        <v>0</v>
      </c>
    </row>
    <row r="27" spans="2:15" ht="15.75" thickBot="1">
      <c r="B27" s="24" t="str">
        <f>(B16)&amp;" NET Flow (In - Out)"</f>
        <v>Node 8.02 NET Flow (In - Out)</v>
      </c>
      <c r="C27" s="23"/>
      <c r="D27" s="193">
        <f t="shared" ref="D27:O27" si="6">MAX(D22-D26,0)</f>
        <v>1490.3873818181817</v>
      </c>
      <c r="E27" s="193">
        <f t="shared" si="6"/>
        <v>1035.2837617473433</v>
      </c>
      <c r="F27" s="193">
        <f t="shared" si="6"/>
        <v>3147.5702531286897</v>
      </c>
      <c r="G27" s="193">
        <f t="shared" si="6"/>
        <v>3928.4707443919719</v>
      </c>
      <c r="H27" s="193">
        <f t="shared" si="6"/>
        <v>15777.588820716155</v>
      </c>
      <c r="I27" s="193">
        <f t="shared" si="6"/>
        <v>25366.122713910383</v>
      </c>
      <c r="J27" s="193">
        <f t="shared" si="6"/>
        <v>11256.794259847966</v>
      </c>
      <c r="K27" s="193">
        <f t="shared" si="6"/>
        <v>7034.3331338036669</v>
      </c>
      <c r="L27" s="193">
        <f t="shared" si="6"/>
        <v>3109.2513895912221</v>
      </c>
      <c r="M27" s="193">
        <f t="shared" si="6"/>
        <v>2155.3163512824603</v>
      </c>
      <c r="N27" s="193">
        <f t="shared" si="6"/>
        <v>1930.262006065954</v>
      </c>
      <c r="O27" s="200">
        <f t="shared" si="6"/>
        <v>1540.0395572813338</v>
      </c>
    </row>
    <row r="28" spans="2:15" ht="15">
      <c r="B28" s="8"/>
      <c r="C28" s="13"/>
      <c r="D28" s="253"/>
      <c r="E28" s="253"/>
      <c r="F28" s="253"/>
      <c r="G28" s="253"/>
      <c r="H28" s="253"/>
      <c r="I28" s="253"/>
      <c r="J28" s="253"/>
      <c r="K28" s="253"/>
      <c r="L28" s="253"/>
      <c r="M28" s="253"/>
      <c r="N28" s="253"/>
      <c r="O28" s="253"/>
    </row>
    <row r="29" spans="2:15" ht="15.75" thickBot="1">
      <c r="B29" s="108" t="s">
        <v>164</v>
      </c>
      <c r="C29" s="109" t="str">
        <f>VLOOKUP(B29,NodeList!$D$4:$E$121,2,FALSE)</f>
        <v>Pixley Dam</v>
      </c>
      <c r="D29" s="6"/>
      <c r="E29" s="6"/>
      <c r="F29" s="6"/>
      <c r="G29" s="6"/>
      <c r="H29" s="7"/>
      <c r="I29" s="7"/>
      <c r="J29" s="7"/>
      <c r="K29" s="7"/>
      <c r="L29" s="7"/>
      <c r="M29" s="7"/>
      <c r="N29" s="7"/>
      <c r="O29" s="7"/>
    </row>
    <row r="30" spans="2:15" ht="15">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2:15" ht="14.25">
      <c r="B31" s="14" t="str">
        <f>+B29 &amp;" Node Inflow"</f>
        <v>Node 8.01 Node Inflow</v>
      </c>
      <c r="C31" s="13"/>
      <c r="D31" s="15">
        <f>+D27</f>
        <v>1490.3873818181817</v>
      </c>
      <c r="E31" s="15">
        <f t="shared" ref="E31:O31" si="7">+E27</f>
        <v>1035.2837617473433</v>
      </c>
      <c r="F31" s="15">
        <f t="shared" si="7"/>
        <v>3147.5702531286897</v>
      </c>
      <c r="G31" s="15">
        <f t="shared" si="7"/>
        <v>3928.4707443919719</v>
      </c>
      <c r="H31" s="15">
        <f t="shared" si="7"/>
        <v>15777.588820716155</v>
      </c>
      <c r="I31" s="15">
        <f t="shared" si="7"/>
        <v>25366.122713910383</v>
      </c>
      <c r="J31" s="15">
        <f t="shared" si="7"/>
        <v>11256.794259847966</v>
      </c>
      <c r="K31" s="15">
        <f t="shared" si="7"/>
        <v>7034.3331338036669</v>
      </c>
      <c r="L31" s="15">
        <f t="shared" si="7"/>
        <v>3109.2513895912221</v>
      </c>
      <c r="M31" s="15">
        <f t="shared" si="7"/>
        <v>2155.3163512824603</v>
      </c>
      <c r="N31" s="15">
        <f t="shared" si="7"/>
        <v>1930.262006065954</v>
      </c>
      <c r="O31" s="16">
        <f t="shared" si="7"/>
        <v>1540.0395572813338</v>
      </c>
    </row>
    <row r="32" spans="2:15" ht="14.25">
      <c r="B32" s="14" t="str">
        <f>+B29 &amp;" Irrigation Returns"</f>
        <v>Node 8.01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1305.4275487407358</v>
      </c>
      <c r="I32" s="54">
        <f>VLOOKUP(($B29),'Irrigation Returns'!$B$644:$P$930,9,FALSE)</f>
        <v>4882.023253806552</v>
      </c>
      <c r="J32" s="54">
        <f>VLOOKUP(($B29),'Irrigation Returns'!$B$644:$P$930,10,FALSE)</f>
        <v>2647.6616691991367</v>
      </c>
      <c r="K32" s="54">
        <f>VLOOKUP(($B29),'Irrigation Returns'!$B$644:$P$930,11,FALSE)</f>
        <v>1142.3651498927734</v>
      </c>
      <c r="L32" s="54">
        <f>VLOOKUP(($B29),'Irrigation Returns'!$B$644:$P$930,12,FALSE)</f>
        <v>307.54276352000039</v>
      </c>
      <c r="M32" s="54">
        <f>VLOOKUP(($B29),'Irrigation Returns'!$B$644:$P$930,13,FALSE)</f>
        <v>49.983242492733872</v>
      </c>
      <c r="N32" s="54">
        <f>VLOOKUP(($B29),'Irrigation Returns'!$B$644:$P$930,14,FALSE)</f>
        <v>13.340962046745329</v>
      </c>
      <c r="O32" s="110">
        <f>VLOOKUP(($B29),'Irrigation Returns'!$B$644:$P$930,15,FALSE)</f>
        <v>0</v>
      </c>
    </row>
    <row r="33" spans="2:15" ht="14.25">
      <c r="B33" s="14" t="s">
        <v>328</v>
      </c>
      <c r="C33" s="13" t="s">
        <v>180</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2:15" ht="14.25">
      <c r="B34" s="14" t="str">
        <f>+B29 &amp;" Import/Export"</f>
        <v>Node 8.01 Import/Export</v>
      </c>
      <c r="C34" s="13"/>
      <c r="D34" s="190">
        <f>VLOOKUP($B29,ImportExport!$B$6:$O$68,3,FALSE)</f>
        <v>0</v>
      </c>
      <c r="E34" s="190">
        <f>VLOOKUP($B29,ImportExport!$B$6:$O$68,4,FALSE)</f>
        <v>0</v>
      </c>
      <c r="F34" s="190">
        <f>VLOOKUP($B29,ImportExport!$B$6:$O$68,5,FALSE)</f>
        <v>0</v>
      </c>
      <c r="G34" s="190">
        <f>VLOOKUP($B29,ImportExport!$B$6:$O$68,6,FALSE)</f>
        <v>0</v>
      </c>
      <c r="H34" s="190">
        <f>VLOOKUP($B29,ImportExport!$B$6:$O$68,7,FALSE)</f>
        <v>0</v>
      </c>
      <c r="I34" s="190">
        <f>VLOOKUP($B29,ImportExport!$B$6:$O$68,8,FALSE)</f>
        <v>0</v>
      </c>
      <c r="J34" s="190">
        <f>VLOOKUP($B29,ImportExport!$B$6:$O$68,9,FALSE)</f>
        <v>0</v>
      </c>
      <c r="K34" s="190">
        <f>VLOOKUP($B29,ImportExport!$B$6:$O$68,10,FALSE)</f>
        <v>0</v>
      </c>
      <c r="L34" s="190">
        <f>VLOOKUP($B29,ImportExport!$B$6:$O$68,11,FALSE)</f>
        <v>0</v>
      </c>
      <c r="M34" s="190">
        <f>VLOOKUP($B29,ImportExport!$B$6:$O$68,12,FALSE)</f>
        <v>0</v>
      </c>
      <c r="N34" s="190">
        <f>VLOOKUP($B29,ImportExport!$B$6:$O$68,13,FALSE)</f>
        <v>0</v>
      </c>
      <c r="O34" s="197">
        <f>VLOOKUP($B29,ImportExport!$B$6:$O$68,14,FALSE)</f>
        <v>0</v>
      </c>
    </row>
    <row r="35" spans="2:15" ht="15.75" thickBot="1">
      <c r="B35" s="18" t="str">
        <f>"Total "&amp; (B29)&amp;" Inflow"</f>
        <v>Total Node 8.01 Inflow</v>
      </c>
      <c r="C35" s="17"/>
      <c r="D35" s="25">
        <f>SUM(D31:D34)</f>
        <v>1490.3873818181817</v>
      </c>
      <c r="E35" s="25">
        <f t="shared" ref="E35:O35" si="8">SUM(E31:E34)</f>
        <v>1035.2837617473433</v>
      </c>
      <c r="F35" s="25">
        <f t="shared" si="8"/>
        <v>3147.5702531286897</v>
      </c>
      <c r="G35" s="25">
        <f t="shared" si="8"/>
        <v>3928.4707443919719</v>
      </c>
      <c r="H35" s="25">
        <f t="shared" si="8"/>
        <v>17083.016369456891</v>
      </c>
      <c r="I35" s="25">
        <f t="shared" si="8"/>
        <v>30248.145967716933</v>
      </c>
      <c r="J35" s="25">
        <f t="shared" si="8"/>
        <v>13904.455929047102</v>
      </c>
      <c r="K35" s="25">
        <f t="shared" si="8"/>
        <v>8176.6982836964398</v>
      </c>
      <c r="L35" s="25">
        <f t="shared" si="8"/>
        <v>3416.7941531112224</v>
      </c>
      <c r="M35" s="25">
        <f t="shared" si="8"/>
        <v>2205.2995937751944</v>
      </c>
      <c r="N35" s="25">
        <f t="shared" si="8"/>
        <v>1943.6029681126993</v>
      </c>
      <c r="O35" s="26">
        <f t="shared" si="8"/>
        <v>1540.0395572813338</v>
      </c>
    </row>
    <row r="36" spans="2:15" ht="15">
      <c r="B36" s="19" t="s">
        <v>17</v>
      </c>
      <c r="C36" s="20"/>
      <c r="D36" s="282" t="str">
        <f>IF(((VLOOKUP($B29,'Diversion Data'!$B$3:$O$227,3,FALSE))-D38)&gt;0,"Short","")</f>
        <v/>
      </c>
      <c r="E36" s="282" t="str">
        <f>IF(((VLOOKUP($B29,'Diversion Data'!$B$3:$O$227,4,FALSE))-E38)&gt;0,"Short","")</f>
        <v/>
      </c>
      <c r="F36" s="282" t="str">
        <f>IF(((VLOOKUP($B29,'Diversion Data'!$B$3:$O$227,5,FALSE))-F38)&gt;0,"Short","")</f>
        <v/>
      </c>
      <c r="G36" s="282" t="str">
        <f>IF(((VLOOKUP($B29,'Diversion Data'!$B$3:$O$227,6,FALSE))-G38)&gt;0,"Short","")</f>
        <v/>
      </c>
      <c r="H36" s="282" t="str">
        <f>IF(((VLOOKUP($B29,'Diversion Data'!$B$3:$O$227,7,FALSE))-H38)&gt;0,"Short","")</f>
        <v/>
      </c>
      <c r="I36" s="282" t="str">
        <f>IF(((VLOOKUP($B29,'Diversion Data'!$B$3:$O$227,8,FALSE))-I38)&gt;0,"Short","")</f>
        <v/>
      </c>
      <c r="J36" s="282" t="str">
        <f>IF(((VLOOKUP($B29,'Diversion Data'!$B$3:$O$227,9,FALSE))-J38)&gt;0,"Short","")</f>
        <v/>
      </c>
      <c r="K36" s="282" t="str">
        <f>IF(((VLOOKUP($B29,'Diversion Data'!$B$3:$O$227,10,FALSE))-K38)&gt;0,"Short","")</f>
        <v/>
      </c>
      <c r="L36" s="282" t="str">
        <f>IF(((VLOOKUP($B29,'Diversion Data'!$B$3:$O$227,11,FALSE))-L38)&gt;0,"Short","")</f>
        <v/>
      </c>
      <c r="M36" s="282" t="str">
        <f>IF(((VLOOKUP($B29,'Diversion Data'!$B$3:$O$227,12,FALSE))-M38)&gt;0,"Short","")</f>
        <v/>
      </c>
      <c r="N36" s="282" t="str">
        <f>IF(((VLOOKUP($B29,'Diversion Data'!$B$3:$O$227,13,FALSE))-N38)&gt;0,"Short","")</f>
        <v/>
      </c>
      <c r="O36" s="283" t="str">
        <f>IF(((VLOOKUP($B29,'Diversion Data'!$B$3:$O$227,14,FALSE))-O38)&gt;0,"Short","")</f>
        <v/>
      </c>
    </row>
    <row r="37" spans="2:15" ht="14.25">
      <c r="B37" s="14" t="s">
        <v>363</v>
      </c>
      <c r="C37" s="13" t="s">
        <v>181</v>
      </c>
      <c r="D37" s="171">
        <f>VLOOKUP($B37,GainLoss!$B$19:$O$27,3,FALSE)</f>
        <v>432.72168925619803</v>
      </c>
      <c r="E37" s="171">
        <f>VLOOKUP($B37,GainLoss!$B$19:$O$27,4,FALSE)</f>
        <v>200.66197355371867</v>
      </c>
      <c r="F37" s="171">
        <f>VLOOKUP($B37,GainLoss!$B$19:$O$27,5,FALSE)</f>
        <v>97.584327272727023</v>
      </c>
      <c r="G37" s="171">
        <f>VLOOKUP($B37,GainLoss!$B$19:$O$27,6,FALSE)</f>
        <v>469.74841735537211</v>
      </c>
      <c r="H37" s="171">
        <f>VLOOKUP($B37,GainLoss!$B$19:$O$27,7,FALSE)</f>
        <v>10061.486924194844</v>
      </c>
      <c r="I37" s="171">
        <f>VLOOKUP($B37,GainLoss!$B$19:$O$27,8,FALSE)</f>
        <v>19741.715781949457</v>
      </c>
      <c r="J37" s="171">
        <f>VLOOKUP($B37,GainLoss!$B$19:$O$27,9,FALSE)</f>
        <v>10032.731785507216</v>
      </c>
      <c r="K37" s="171">
        <f>VLOOKUP($B37,GainLoss!$B$19:$O$27,10,FALSE)</f>
        <v>6336.6391415079624</v>
      </c>
      <c r="L37" s="171">
        <f>VLOOKUP($B37,GainLoss!$B$19:$O$27,11,FALSE)</f>
        <v>2313.3830618675806</v>
      </c>
      <c r="M37" s="171">
        <f>VLOOKUP($B37,GainLoss!$B$19:$O$27,12,FALSE)</f>
        <v>1065.9226678011678</v>
      </c>
      <c r="N37" s="171">
        <f>VLOOKUP($B37,GainLoss!$B$19:$O$27,13,FALSE)</f>
        <v>379.86750176086889</v>
      </c>
      <c r="O37" s="198">
        <f>VLOOKUP($B37,GainLoss!$B$19:$O$27,14,FALSE)</f>
        <v>358.66505905228968</v>
      </c>
    </row>
    <row r="38" spans="2:15" ht="14.25">
      <c r="B38" s="14" t="str">
        <f>+B29 &amp;" Diversions"</f>
        <v>Node 8.01 Diversions</v>
      </c>
      <c r="C38" s="13"/>
      <c r="D38" s="54">
        <f>MIN(VLOOKUP($B29,'Diversion Data'!$B$3:$O$227,3,FALSE),(D35-D37))</f>
        <v>0</v>
      </c>
      <c r="E38" s="54">
        <f>MIN(VLOOKUP($B29,'Diversion Data'!$B$3:$O$227,4,FALSE),(E35-E37))</f>
        <v>0</v>
      </c>
      <c r="F38" s="54">
        <f>MIN(VLOOKUP($B29,'Diversion Data'!$B$3:$O$227,5,FALSE),(F35-F37))</f>
        <v>0</v>
      </c>
      <c r="G38" s="54">
        <f>MIN(VLOOKUP($B29,'Diversion Data'!$B$3:$O$227,6,FALSE),(G35-G37))</f>
        <v>0</v>
      </c>
      <c r="H38" s="54">
        <f>MIN(VLOOKUP($B29,'Diversion Data'!$B$3:$O$227,7,FALSE),(H35-H37))</f>
        <v>1205.3231878830682</v>
      </c>
      <c r="I38" s="54">
        <f>MIN(VLOOKUP($B29,'Diversion Data'!$B$3:$O$227,8,FALSE),(I35-I37))</f>
        <v>2927.5541527096284</v>
      </c>
      <c r="J38" s="54">
        <f>MIN(VLOOKUP($B29,'Diversion Data'!$B$3:$O$227,9,FALSE),(J35-J37))</f>
        <v>1019.7208562686881</v>
      </c>
      <c r="K38" s="54">
        <f>MIN(VLOOKUP($B29,'Diversion Data'!$B$3:$O$227,10,FALSE),(K35-K37))</f>
        <v>31.247196749999997</v>
      </c>
      <c r="L38" s="54">
        <f>MIN(VLOOKUP($B29,'Diversion Data'!$B$3:$O$227,11,FALSE),(L35-L37))</f>
        <v>47.612983778925624</v>
      </c>
      <c r="M38" s="54">
        <f>MIN(VLOOKUP($B29,'Diversion Data'!$B$3:$O$227,12,FALSE),(M35-M37))</f>
        <v>0</v>
      </c>
      <c r="N38" s="54">
        <f>MIN(VLOOKUP($B29,'Diversion Data'!$B$3:$O$227,13,FALSE),(N35-N37))</f>
        <v>0</v>
      </c>
      <c r="O38" s="110">
        <f>MIN(VLOOKUP($B29,'Diversion Data'!$B$3:$O$227,14,FALSE),(O35-O37))</f>
        <v>0</v>
      </c>
    </row>
    <row r="39" spans="2:15" ht="15.75" thickBot="1">
      <c r="B39" s="24" t="str">
        <f>"Total " &amp; (B29) &amp;" Outflow"</f>
        <v>Total Node 8.01 Outflow</v>
      </c>
      <c r="C39" s="23"/>
      <c r="D39" s="27">
        <f>SUM(D37:D38)</f>
        <v>432.72168925619803</v>
      </c>
      <c r="E39" s="27">
        <f t="shared" ref="E39:O39" si="9">SUM(E37:E38)</f>
        <v>200.66197355371867</v>
      </c>
      <c r="F39" s="27">
        <f t="shared" si="9"/>
        <v>97.584327272727023</v>
      </c>
      <c r="G39" s="27">
        <f t="shared" si="9"/>
        <v>469.74841735537211</v>
      </c>
      <c r="H39" s="27">
        <f t="shared" si="9"/>
        <v>11266.810112077912</v>
      </c>
      <c r="I39" s="27">
        <f t="shared" si="9"/>
        <v>22669.269934659085</v>
      </c>
      <c r="J39" s="27">
        <f t="shared" si="9"/>
        <v>11052.452641775904</v>
      </c>
      <c r="K39" s="27">
        <f t="shared" si="9"/>
        <v>6367.8863382579621</v>
      </c>
      <c r="L39" s="27">
        <f t="shared" si="9"/>
        <v>2360.9960456465064</v>
      </c>
      <c r="M39" s="27">
        <f t="shared" si="9"/>
        <v>1065.9226678011678</v>
      </c>
      <c r="N39" s="27">
        <f t="shared" si="9"/>
        <v>379.86750176086889</v>
      </c>
      <c r="O39" s="28">
        <f t="shared" si="9"/>
        <v>358.66505905228968</v>
      </c>
    </row>
    <row r="40" spans="2:15" ht="15.75" thickBot="1">
      <c r="B40" s="24" t="str">
        <f>(B29)&amp;" NET Flow (In - Out)"</f>
        <v>Node 8.01 NET Flow (In - Out)</v>
      </c>
      <c r="C40" s="23"/>
      <c r="D40" s="193">
        <f t="shared" ref="D40:O40" si="10">MAX(D35-D39,0)</f>
        <v>1057.6656925619836</v>
      </c>
      <c r="E40" s="193">
        <f t="shared" si="10"/>
        <v>834.62178819362464</v>
      </c>
      <c r="F40" s="193">
        <f t="shared" si="10"/>
        <v>3049.9859258559627</v>
      </c>
      <c r="G40" s="193">
        <f t="shared" si="10"/>
        <v>3458.7223270365998</v>
      </c>
      <c r="H40" s="193">
        <f t="shared" si="10"/>
        <v>5816.206257378979</v>
      </c>
      <c r="I40" s="193">
        <f t="shared" si="10"/>
        <v>7578.876033057848</v>
      </c>
      <c r="J40" s="193">
        <f t="shared" si="10"/>
        <v>2852.0032872711981</v>
      </c>
      <c r="K40" s="193">
        <f t="shared" si="10"/>
        <v>1808.8119454384778</v>
      </c>
      <c r="L40" s="193">
        <f t="shared" si="10"/>
        <v>1055.7981074647159</v>
      </c>
      <c r="M40" s="193">
        <f t="shared" si="10"/>
        <v>1139.3769259740266</v>
      </c>
      <c r="N40" s="193">
        <f t="shared" si="10"/>
        <v>1563.7354663518304</v>
      </c>
      <c r="O40" s="200">
        <f t="shared" si="10"/>
        <v>1181.3744982290441</v>
      </c>
    </row>
    <row r="42" spans="2:15">
      <c r="D42" s="363"/>
      <c r="E42" s="363"/>
      <c r="F42" s="363"/>
      <c r="G42" s="363"/>
      <c r="H42" s="363"/>
      <c r="I42" s="363"/>
      <c r="J42" s="363"/>
      <c r="K42" s="363"/>
      <c r="L42" s="363"/>
      <c r="M42" s="363"/>
      <c r="N42" s="363"/>
      <c r="O42" s="363"/>
    </row>
    <row r="43" spans="2:15">
      <c r="D43" s="177"/>
      <c r="E43" s="177"/>
      <c r="F43" s="177"/>
      <c r="G43" s="177"/>
      <c r="H43" s="177"/>
      <c r="I43" s="177"/>
      <c r="J43" s="177"/>
      <c r="K43" s="177"/>
      <c r="L43" s="177"/>
      <c r="M43" s="177"/>
      <c r="N43" s="177"/>
      <c r="O43" s="177"/>
    </row>
    <row r="44" spans="2:15">
      <c r="D44" s="296"/>
      <c r="E44" s="296"/>
      <c r="F44" s="296"/>
      <c r="G44" s="296"/>
      <c r="H44" s="296"/>
      <c r="I44" s="296"/>
      <c r="J44" s="296"/>
      <c r="K44" s="296"/>
      <c r="L44" s="296"/>
      <c r="M44" s="296"/>
      <c r="N44" s="296"/>
      <c r="O44" s="296"/>
    </row>
    <row r="45" spans="2:15" ht="20.25">
      <c r="B45" s="285" t="s">
        <v>364</v>
      </c>
      <c r="C45" s="285"/>
      <c r="D45" s="285"/>
      <c r="E45" s="285"/>
      <c r="F45" s="285"/>
      <c r="G45" s="285"/>
      <c r="H45" s="285"/>
      <c r="I45" s="285"/>
      <c r="J45" s="285"/>
      <c r="K45" s="285"/>
      <c r="L45" s="285"/>
      <c r="M45" s="285"/>
      <c r="N45" s="285"/>
      <c r="O45" s="285"/>
    </row>
  </sheetData>
  <sheetProtection objects="1" scenarios="1"/>
  <mergeCells count="3">
    <mergeCell ref="D1:N1"/>
    <mergeCell ref="T4:AE4"/>
    <mergeCell ref="A3:A14"/>
  </mergeCells>
  <phoneticPr fontId="0" type="noConversion"/>
  <conditionalFormatting sqref="D27:O28 D14:O14 D40:O40">
    <cfRule type="cellIs" dxfId="5" priority="1" stopIfTrue="1" operator="lessThanOrEqual">
      <formula>0</formula>
    </cfRule>
  </conditionalFormatting>
  <pageMargins left="0.75" right="0.75" top="1" bottom="1" header="0.5" footer="0.5"/>
  <pageSetup scale="65" fitToHeight="2" orientation="landscape" horizontalDpi="4294967292" verticalDpi="0" r:id="rId1"/>
  <headerFooter alignWithMargins="0">
    <oddHeader>&amp;C&amp;"Arial,Bold"&amp;12Bear River Spreadsheet Model
Dry Year Conditions</oddHeader>
    <oddFooter>&amp;L&amp;F &amp;A&amp;RAPPENDIX A (Page &amp;P of &amp;N)</oddFooter>
  </headerFooter>
  <legacyDrawing r:id="rId2"/>
</worksheet>
</file>

<file path=xl/worksheets/sheet12.xml><?xml version="1.0" encoding="utf-8"?>
<worksheet xmlns="http://schemas.openxmlformats.org/spreadsheetml/2006/main" xmlns:r="http://schemas.openxmlformats.org/officeDocument/2006/relationships">
  <sheetPr codeName="Sheet20">
    <pageSetUpPr autoPageBreaks="0"/>
  </sheetPr>
  <dimension ref="A1:AE45"/>
  <sheetViews>
    <sheetView showGridLines="0" zoomScale="75" zoomScaleNormal="75" workbookViewId="0">
      <pane ySplit="1" topLeftCell="A2" activePane="bottomLeft" state="frozen"/>
      <selection activeCell="B26" sqref="B26"/>
      <selection pane="bottomLeft" activeCell="O29" sqref="A29:O44"/>
    </sheetView>
  </sheetViews>
  <sheetFormatPr defaultRowHeight="12.75"/>
  <cols>
    <col min="1" max="1" width="2.28515625" customWidth="1"/>
    <col min="2" max="2" width="10.85546875" customWidth="1"/>
    <col min="3" max="3" width="25.28515625" customWidth="1"/>
    <col min="4" max="7" width="8.28515625" customWidth="1"/>
    <col min="8" max="15" width="9.42578125" customWidth="1"/>
  </cols>
  <sheetData>
    <row r="1" spans="1:31" ht="41.25" customHeight="1">
      <c r="A1" s="2"/>
      <c r="B1" s="3"/>
      <c r="C1" s="229"/>
      <c r="D1" s="664" t="s">
        <v>527</v>
      </c>
      <c r="E1" s="664"/>
      <c r="F1" s="664"/>
      <c r="G1" s="664"/>
      <c r="H1" s="664"/>
      <c r="I1" s="664"/>
      <c r="J1" s="664"/>
      <c r="K1" s="664"/>
      <c r="L1" s="664"/>
      <c r="M1" s="295"/>
      <c r="N1" s="295"/>
      <c r="O1" s="295"/>
    </row>
    <row r="2" spans="1:31" ht="14.25" customHeight="1">
      <c r="E2" s="295"/>
      <c r="F2" s="295"/>
      <c r="G2" s="295"/>
      <c r="H2" s="295"/>
      <c r="I2" s="295"/>
      <c r="J2" s="295"/>
      <c r="K2" s="295"/>
      <c r="L2" s="295"/>
      <c r="M2" s="295"/>
      <c r="N2" s="295"/>
      <c r="O2" s="434" t="s">
        <v>540</v>
      </c>
      <c r="P2" s="295"/>
      <c r="Q2" s="420"/>
      <c r="R2" s="420"/>
      <c r="S2" s="420"/>
    </row>
    <row r="3" spans="1:31" ht="18.75" thickBot="1">
      <c r="A3" s="658"/>
      <c r="B3" s="108" t="s">
        <v>123</v>
      </c>
      <c r="C3" s="109" t="str">
        <f>VLOOKUP(B3,NodeList!$D$4:$E$121,2,FALSE)</f>
        <v>USGS 10028500:  Bear R. bel Pixley Dam, near Cokeville, WY</v>
      </c>
      <c r="D3" s="6"/>
      <c r="E3" s="6"/>
      <c r="F3" s="6"/>
      <c r="G3" s="6"/>
      <c r="H3" s="7"/>
      <c r="I3" s="7"/>
      <c r="J3" s="7"/>
      <c r="K3" s="7"/>
      <c r="L3" s="7"/>
      <c r="M3" s="7"/>
      <c r="N3" s="7"/>
      <c r="O3" s="7"/>
      <c r="T3" s="661"/>
      <c r="U3" s="661"/>
      <c r="V3" s="661"/>
      <c r="W3" s="661"/>
      <c r="X3" s="661"/>
      <c r="Y3" s="661"/>
      <c r="Z3" s="661"/>
      <c r="AA3" s="661"/>
      <c r="AB3" s="661"/>
      <c r="AC3" s="661"/>
      <c r="AD3" s="661"/>
      <c r="AE3" s="661"/>
    </row>
    <row r="4" spans="1:31" ht="15">
      <c r="A4" s="658"/>
      <c r="B4" s="9" t="s">
        <v>16</v>
      </c>
      <c r="C4" s="10"/>
      <c r="D4" s="11" t="s">
        <v>0</v>
      </c>
      <c r="E4" s="11" t="s">
        <v>1</v>
      </c>
      <c r="F4" s="11" t="s">
        <v>2</v>
      </c>
      <c r="G4" s="11" t="s">
        <v>3</v>
      </c>
      <c r="H4" s="11" t="s">
        <v>4</v>
      </c>
      <c r="I4" s="11" t="s">
        <v>5</v>
      </c>
      <c r="J4" s="11" t="s">
        <v>6</v>
      </c>
      <c r="K4" s="11" t="s">
        <v>7</v>
      </c>
      <c r="L4" s="11" t="s">
        <v>8</v>
      </c>
      <c r="M4" s="11" t="s">
        <v>9</v>
      </c>
      <c r="N4" s="11" t="s">
        <v>10</v>
      </c>
      <c r="O4" s="12" t="s">
        <v>11</v>
      </c>
    </row>
    <row r="5" spans="1:31" ht="14.25">
      <c r="A5" s="658"/>
      <c r="B5" s="14" t="str">
        <f>+B3 &amp;" Node Inflow"</f>
        <v>Node 9.00 Node Inflow</v>
      </c>
      <c r="C5" s="13"/>
      <c r="D5" s="15">
        <f>+'Reach 8'!D40</f>
        <v>1057.6656925619836</v>
      </c>
      <c r="E5" s="15">
        <f>+'Reach 8'!E40</f>
        <v>834.62178819362464</v>
      </c>
      <c r="F5" s="15">
        <f>+'Reach 8'!F40</f>
        <v>3049.9859258559627</v>
      </c>
      <c r="G5" s="15">
        <f>+'Reach 8'!G40</f>
        <v>3458.7223270365998</v>
      </c>
      <c r="H5" s="15">
        <f>+'Reach 8'!H40</f>
        <v>5816.206257378979</v>
      </c>
      <c r="I5" s="15">
        <f>+'Reach 8'!I40</f>
        <v>7578.876033057848</v>
      </c>
      <c r="J5" s="15">
        <f>+'Reach 8'!J40</f>
        <v>2852.0032872711981</v>
      </c>
      <c r="K5" s="15">
        <f>+'Reach 8'!K40</f>
        <v>1808.8119454384778</v>
      </c>
      <c r="L5" s="15">
        <f>+'Reach 8'!L40</f>
        <v>1055.7981074647159</v>
      </c>
      <c r="M5" s="15">
        <f>+'Reach 8'!M40</f>
        <v>1139.3769259740266</v>
      </c>
      <c r="N5" s="15">
        <f>+'Reach 8'!N40</f>
        <v>1563.7354663518304</v>
      </c>
      <c r="O5" s="16">
        <f>+'Reach 8'!O40</f>
        <v>1181.3744982290441</v>
      </c>
    </row>
    <row r="6" spans="1:31" ht="14.25">
      <c r="A6" s="658"/>
      <c r="B6" s="14" t="str">
        <f>+B3 &amp;" Irrigation Returns"</f>
        <v>Node 9.00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row>
    <row r="7" spans="1:31" ht="14.25">
      <c r="A7" s="658"/>
      <c r="B7" s="14" t="s">
        <v>365</v>
      </c>
      <c r="C7" s="13" t="s">
        <v>180</v>
      </c>
      <c r="D7" s="54">
        <f>VLOOKUP($B7,GainLoss!$B$5:$O$14,3,FALSE)*0.33</f>
        <v>1003.2969578181819</v>
      </c>
      <c r="E7" s="54">
        <f>VLOOKUP($B7,GainLoss!$B$5:$O$14,4,FALSE)*0.33</f>
        <v>926.83143327272728</v>
      </c>
      <c r="F7" s="54">
        <f>VLOOKUP($B7,GainLoss!$B$5:$O$14,5,FALSE)*0.33</f>
        <v>1514.4255665454541</v>
      </c>
      <c r="G7" s="54">
        <f>VLOOKUP($B7,GainLoss!$B$5:$O$14,6,FALSE)*0.33</f>
        <v>427.28680090909108</v>
      </c>
      <c r="H7" s="54">
        <f>VLOOKUP($B7,GainLoss!$B$5:$O$14,7,FALSE)*0.33</f>
        <v>1216.6407448492112</v>
      </c>
      <c r="I7" s="54">
        <f>VLOOKUP($B7,GainLoss!$B$5:$O$14,8,FALSE)*0.33</f>
        <v>2696.3666111972257</v>
      </c>
      <c r="J7" s="54">
        <f>VLOOKUP($B7,GainLoss!$B$5:$O$14,9,FALSE)*0.33</f>
        <v>1708.7083980711961</v>
      </c>
      <c r="K7" s="54">
        <f>VLOOKUP($B7,GainLoss!$B$5:$O$14,10,FALSE)*0.33</f>
        <v>612.61531563557423</v>
      </c>
      <c r="L7" s="54">
        <f>VLOOKUP($B7,GainLoss!$B$5:$O$14,11,FALSE)*0.33</f>
        <v>301.58249724003485</v>
      </c>
      <c r="M7" s="54">
        <f>VLOOKUP($B7,GainLoss!$B$5:$O$14,12,FALSE)*0.33</f>
        <v>514.45444807455692</v>
      </c>
      <c r="N7" s="54">
        <f>VLOOKUP($B7,GainLoss!$B$5:$O$14,13,FALSE)*0.33</f>
        <v>981.73951289227193</v>
      </c>
      <c r="O7" s="110">
        <f>VLOOKUP($B7,GainLoss!$B$5:$O$14,14,FALSE)*0.33</f>
        <v>963.24953044431857</v>
      </c>
    </row>
    <row r="8" spans="1:31" ht="14.25">
      <c r="A8" s="658"/>
      <c r="B8" s="14" t="str">
        <f>+B3 &amp;" Import/Export"</f>
        <v>Node 9.00 Import/Export</v>
      </c>
      <c r="C8" s="13"/>
      <c r="D8" s="190">
        <f>VLOOKUP($B3,ImportExport!$B$6:$O$68,3,FALSE)</f>
        <v>0</v>
      </c>
      <c r="E8" s="190">
        <f>VLOOKUP($B3,ImportExport!$B$6:$O$68,4,FALSE)</f>
        <v>0</v>
      </c>
      <c r="F8" s="190">
        <f>VLOOKUP($B3,ImportExport!$B$6:$O$68,5,FALSE)</f>
        <v>0</v>
      </c>
      <c r="G8" s="190">
        <f>VLOOKUP($B3,ImportExport!$B$6:$O$68,6,FALSE)</f>
        <v>0</v>
      </c>
      <c r="H8" s="190">
        <f>VLOOKUP($B3,ImportExport!$B$6:$O$68,7,FALSE)</f>
        <v>0</v>
      </c>
      <c r="I8" s="190">
        <f>VLOOKUP($B3,ImportExport!$B$6:$O$68,8,FALSE)</f>
        <v>0</v>
      </c>
      <c r="J8" s="190">
        <f>VLOOKUP($B3,ImportExport!$B$6:$O$68,9,FALSE)</f>
        <v>0</v>
      </c>
      <c r="K8" s="190">
        <f>VLOOKUP($B3,ImportExport!$B$6:$O$68,10,FALSE)</f>
        <v>0</v>
      </c>
      <c r="L8" s="190">
        <f>VLOOKUP($B3,ImportExport!$B$6:$O$68,11,FALSE)</f>
        <v>0</v>
      </c>
      <c r="M8" s="190">
        <f>VLOOKUP($B3,ImportExport!$B$6:$O$68,12,FALSE)</f>
        <v>0</v>
      </c>
      <c r="N8" s="190">
        <f>VLOOKUP($B3,ImportExport!$B$6:$O$68,13,FALSE)</f>
        <v>0</v>
      </c>
      <c r="O8" s="197">
        <f>VLOOKUP($B3,ImportExport!$B$6:$O$68,14,FALSE)</f>
        <v>0</v>
      </c>
    </row>
    <row r="9" spans="1:31" ht="15.75" thickBot="1">
      <c r="A9" s="658"/>
      <c r="B9" s="18" t="str">
        <f>"Total "&amp; (B3)&amp;" Inflow"</f>
        <v>Total Node 9.00 Inflow</v>
      </c>
      <c r="C9" s="17"/>
      <c r="D9" s="25">
        <f>SUM(D5:D8)</f>
        <v>2060.9626503801655</v>
      </c>
      <c r="E9" s="25">
        <f t="shared" ref="E9:O9" si="0">SUM(E5:E8)</f>
        <v>1761.4532214663518</v>
      </c>
      <c r="F9" s="25">
        <f t="shared" si="0"/>
        <v>4564.4114924014166</v>
      </c>
      <c r="G9" s="25">
        <f t="shared" si="0"/>
        <v>3886.009127945691</v>
      </c>
      <c r="H9" s="25">
        <f t="shared" si="0"/>
        <v>7032.8470022281899</v>
      </c>
      <c r="I9" s="25">
        <f t="shared" si="0"/>
        <v>10275.242644255073</v>
      </c>
      <c r="J9" s="25">
        <f t="shared" si="0"/>
        <v>4560.711685342394</v>
      </c>
      <c r="K9" s="25">
        <f t="shared" si="0"/>
        <v>2421.4272610740518</v>
      </c>
      <c r="L9" s="25">
        <f t="shared" si="0"/>
        <v>1357.3806047047508</v>
      </c>
      <c r="M9" s="25">
        <f t="shared" si="0"/>
        <v>1653.8313740485835</v>
      </c>
      <c r="N9" s="25">
        <f t="shared" si="0"/>
        <v>2545.4749792441025</v>
      </c>
      <c r="O9" s="26">
        <f t="shared" si="0"/>
        <v>2144.6240286733628</v>
      </c>
    </row>
    <row r="10" spans="1:31" ht="15">
      <c r="A10" s="658"/>
      <c r="B10" s="19" t="s">
        <v>17</v>
      </c>
      <c r="C10" s="20"/>
      <c r="D10" s="282" t="str">
        <f>IF(((VLOOKUP($B3,'Diversion Data'!$B$3:$O$227,3,FALSE))-D12)&gt;0,"Short","")</f>
        <v/>
      </c>
      <c r="E10" s="282" t="str">
        <f>IF(((VLOOKUP($B3,'Diversion Data'!$B$3:$O$227,4,FALSE))-E12)&gt;0,"Short","")</f>
        <v/>
      </c>
      <c r="F10" s="282" t="str">
        <f>IF(((VLOOKUP($B3,'Diversion Data'!$B$3:$O$227,5,FALSE))-F12)&gt;0,"Short","")</f>
        <v/>
      </c>
      <c r="G10" s="282" t="str">
        <f>IF(((VLOOKUP($B3,'Diversion Data'!$B$3:$O$227,6,FALSE))-G12)&gt;0,"Short","")</f>
        <v/>
      </c>
      <c r="H10" s="282" t="str">
        <f>IF(((VLOOKUP($B3,'Diversion Data'!$B$3:$O$227,7,FALSE))-H12)&gt;0,"Short","")</f>
        <v/>
      </c>
      <c r="I10" s="282" t="str">
        <f>IF(((VLOOKUP($B3,'Diversion Data'!$B$3:$O$227,8,FALSE))-I12)&gt;0,"Short","")</f>
        <v/>
      </c>
      <c r="J10" s="282" t="str">
        <f>IF(((VLOOKUP($B3,'Diversion Data'!$B$3:$O$227,9,FALSE))-J12)&gt;0,"Short","")</f>
        <v/>
      </c>
      <c r="K10" s="282" t="str">
        <f>IF(((VLOOKUP($B3,'Diversion Data'!$B$3:$O$227,10,FALSE))-K12)&gt;0,"Short","")</f>
        <v/>
      </c>
      <c r="L10" s="282" t="str">
        <f>IF(((VLOOKUP($B3,'Diversion Data'!$B$3:$O$227,11,FALSE))-L12)&gt;0,"Short","")</f>
        <v/>
      </c>
      <c r="M10" s="282" t="str">
        <f>IF(((VLOOKUP($B3,'Diversion Data'!$B$3:$O$227,12,FALSE))-M12)&gt;0,"Short","")</f>
        <v/>
      </c>
      <c r="N10" s="282" t="str">
        <f>IF(((VLOOKUP($B3,'Diversion Data'!$B$3:$O$227,13,FALSE))-N12)&gt;0,"Short","")</f>
        <v/>
      </c>
      <c r="O10" s="283" t="str">
        <f>IF(((VLOOKUP($B3,'Diversion Data'!$B$3:$O$227,14,FALSE))-O12)&gt;0,"Short","")</f>
        <v/>
      </c>
    </row>
    <row r="11" spans="1:31" ht="14.25">
      <c r="A11" s="658"/>
      <c r="B11" s="14" t="s">
        <v>328</v>
      </c>
      <c r="C11" s="13" t="s">
        <v>181</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8">
        <f>VLOOKUP($B11,GainLoss!$B$19:$O$27,14,FALSE)</f>
        <v>0</v>
      </c>
    </row>
    <row r="12" spans="1:31" ht="14.25">
      <c r="A12" s="658"/>
      <c r="B12" s="14" t="str">
        <f>+B3 &amp;" Diversions"</f>
        <v>Node 9.00 Diversions</v>
      </c>
      <c r="C12" s="13"/>
      <c r="D12" s="54">
        <f>MIN(VLOOKUP($B3,'Diversion Data'!$B$3:$O$227,3,FALSE),(D9-D11))</f>
        <v>0</v>
      </c>
      <c r="E12" s="54">
        <f>MIN(VLOOKUP($B3,'Diversion Data'!$B$3:$O$227,4,FALSE),(E9-E11))</f>
        <v>0</v>
      </c>
      <c r="F12" s="54">
        <f>MIN(VLOOKUP($B3,'Diversion Data'!$B$3:$O$227,5,FALSE),(F9-F11))</f>
        <v>0</v>
      </c>
      <c r="G12" s="54">
        <f>MIN(VLOOKUP($B3,'Diversion Data'!$B$3:$O$227,6,FALSE),(G9-G11))</f>
        <v>0</v>
      </c>
      <c r="H12" s="54">
        <f>MIN(VLOOKUP($B3,'Diversion Data'!$B$3:$O$227,7,FALSE),(H9-H11))</f>
        <v>0</v>
      </c>
      <c r="I12" s="54">
        <f>MIN(VLOOKUP($B3,'Diversion Data'!$B$3:$O$227,8,FALSE),(I9-I11))</f>
        <v>0</v>
      </c>
      <c r="J12" s="54">
        <f>MIN(VLOOKUP($B3,'Diversion Data'!$B$3:$O$227,9,FALSE),(J9-J11))</f>
        <v>0</v>
      </c>
      <c r="K12" s="54">
        <f>MIN(VLOOKUP($B3,'Diversion Data'!$B$3:$O$227,10,FALSE),(K9-K11))</f>
        <v>0</v>
      </c>
      <c r="L12" s="54">
        <f>MIN(VLOOKUP($B3,'Diversion Data'!$B$3:$O$227,11,FALSE),(L9-L11))</f>
        <v>0</v>
      </c>
      <c r="M12" s="54">
        <f>MIN(VLOOKUP($B3,'Diversion Data'!$B$3:$O$227,12,FALSE),(M9-M11))</f>
        <v>0</v>
      </c>
      <c r="N12" s="54">
        <f>MIN(VLOOKUP($B3,'Diversion Data'!$B$3:$O$227,13,FALSE),(N9-N11))</f>
        <v>0</v>
      </c>
      <c r="O12" s="110">
        <f>MIN(VLOOKUP($B3,'Diversion Data'!$B$3:$O$227,14,FALSE),(O9-O11))</f>
        <v>0</v>
      </c>
    </row>
    <row r="13" spans="1:31" ht="15.75" thickBot="1">
      <c r="A13" s="658"/>
      <c r="B13" s="24" t="str">
        <f>"Total " &amp; (B3) &amp;" Outflow"</f>
        <v>Total Node 9.00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31" ht="15.75" thickBot="1">
      <c r="A14" s="658"/>
      <c r="B14" s="24" t="str">
        <f>(B3)&amp;" NET Flow (In - Out)"</f>
        <v>Node 9.00 NET Flow (In - Out)</v>
      </c>
      <c r="C14" s="23"/>
      <c r="D14" s="193">
        <f t="shared" ref="D14:O14" si="2">MAX(D9-D13,0)</f>
        <v>2060.9626503801655</v>
      </c>
      <c r="E14" s="193">
        <f t="shared" si="2"/>
        <v>1761.4532214663518</v>
      </c>
      <c r="F14" s="193">
        <f t="shared" si="2"/>
        <v>4564.4114924014166</v>
      </c>
      <c r="G14" s="193">
        <f t="shared" si="2"/>
        <v>3886.009127945691</v>
      </c>
      <c r="H14" s="193">
        <f t="shared" si="2"/>
        <v>7032.8470022281899</v>
      </c>
      <c r="I14" s="193">
        <f t="shared" si="2"/>
        <v>10275.242644255073</v>
      </c>
      <c r="J14" s="193">
        <f t="shared" si="2"/>
        <v>4560.711685342394</v>
      </c>
      <c r="K14" s="193">
        <f t="shared" si="2"/>
        <v>2421.4272610740518</v>
      </c>
      <c r="L14" s="193">
        <f t="shared" si="2"/>
        <v>1357.3806047047508</v>
      </c>
      <c r="M14" s="193">
        <f t="shared" si="2"/>
        <v>1653.8313740485835</v>
      </c>
      <c r="N14" s="193">
        <f t="shared" si="2"/>
        <v>2545.4749792441025</v>
      </c>
      <c r="O14" s="200">
        <f t="shared" si="2"/>
        <v>2144.6240286733628</v>
      </c>
    </row>
    <row r="15" spans="1:31" ht="6.75" customHeight="1"/>
    <row r="16" spans="1:31" ht="15.75" thickBot="1">
      <c r="B16" s="108" t="s">
        <v>327</v>
      </c>
      <c r="C16" s="109" t="str">
        <f>VLOOKUP(B16,NodeList!$D$4:$E$121,2,FALSE)</f>
        <v>AggDiv BR-4</v>
      </c>
      <c r="D16" s="6"/>
      <c r="E16" s="6"/>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9.02 Node Inflow</v>
      </c>
      <c r="C18" s="13"/>
      <c r="D18" s="15">
        <f>+D14</f>
        <v>2060.9626503801655</v>
      </c>
      <c r="E18" s="15">
        <f t="shared" ref="E18:O18" si="3">+E14</f>
        <v>1761.4532214663518</v>
      </c>
      <c r="F18" s="15">
        <f t="shared" si="3"/>
        <v>4564.4114924014166</v>
      </c>
      <c r="G18" s="15">
        <f t="shared" si="3"/>
        <v>3886.009127945691</v>
      </c>
      <c r="H18" s="15">
        <f t="shared" si="3"/>
        <v>7032.8470022281899</v>
      </c>
      <c r="I18" s="15">
        <f t="shared" si="3"/>
        <v>10275.242644255073</v>
      </c>
      <c r="J18" s="15">
        <f t="shared" si="3"/>
        <v>4560.711685342394</v>
      </c>
      <c r="K18" s="15">
        <f t="shared" si="3"/>
        <v>2421.4272610740518</v>
      </c>
      <c r="L18" s="15">
        <f t="shared" si="3"/>
        <v>1357.3806047047508</v>
      </c>
      <c r="M18" s="15">
        <f t="shared" si="3"/>
        <v>1653.8313740485835</v>
      </c>
      <c r="N18" s="15">
        <f t="shared" si="3"/>
        <v>2545.4749792441025</v>
      </c>
      <c r="O18" s="16">
        <f t="shared" si="3"/>
        <v>2144.6240286733628</v>
      </c>
    </row>
    <row r="19" spans="2:15" ht="14.25">
      <c r="B19" s="14" t="str">
        <f>+B16 &amp;" Irrigation Returns"</f>
        <v>Node 9.02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0</v>
      </c>
      <c r="I19" s="54">
        <f>VLOOKUP(($B16),'Irrigation Returns'!$B$644:$P$930,9,FALSE)</f>
        <v>0</v>
      </c>
      <c r="J19" s="54">
        <f>VLOOKUP(($B16),'Irrigation Returns'!$B$644:$P$930,10,FALSE)</f>
        <v>0</v>
      </c>
      <c r="K19" s="54">
        <f>VLOOKUP(($B16),'Irrigation Returns'!$B$644:$P$930,11,FALSE)</f>
        <v>0</v>
      </c>
      <c r="L19" s="54">
        <f>VLOOKUP(($B16),'Irrigation Returns'!$B$644:$P$930,12,FALSE)</f>
        <v>0</v>
      </c>
      <c r="M19" s="54">
        <f>VLOOKUP(($B16),'Irrigation Returns'!$B$644:$P$930,13,FALSE)</f>
        <v>0</v>
      </c>
      <c r="N19" s="54">
        <f>VLOOKUP(($B16),'Irrigation Returns'!$B$644:$P$930,14,FALSE)</f>
        <v>0</v>
      </c>
      <c r="O19" s="110">
        <f>VLOOKUP(($B16),'Irrigation Returns'!$B$644:$P$930,15,FALSE)</f>
        <v>0</v>
      </c>
    </row>
    <row r="20" spans="2:15" ht="14.25">
      <c r="B20" s="14" t="s">
        <v>328</v>
      </c>
      <c r="C20" s="13" t="s">
        <v>180</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9.02 Import/Export</v>
      </c>
      <c r="C21" s="13"/>
      <c r="D21" s="190">
        <f>VLOOKUP($B16,ImportExport!$B$6:$O$68,3,FALSE)</f>
        <v>0</v>
      </c>
      <c r="E21" s="190">
        <f>VLOOKUP($B16,ImportExport!$B$6:$O$68,4,FALSE)</f>
        <v>0</v>
      </c>
      <c r="F21" s="190">
        <f>VLOOKUP($B16,ImportExport!$B$6:$O$68,5,FALSE)</f>
        <v>0</v>
      </c>
      <c r="G21" s="190">
        <f>VLOOKUP($B16,ImportExport!$B$6:$O$68,6,FALSE)</f>
        <v>0</v>
      </c>
      <c r="H21" s="190">
        <f>VLOOKUP($B16,ImportExport!$B$6:$O$68,7,FALSE)</f>
        <v>0</v>
      </c>
      <c r="I21" s="190">
        <f>VLOOKUP($B16,ImportExport!$B$6:$O$68,8,FALSE)</f>
        <v>0</v>
      </c>
      <c r="J21" s="190">
        <f>VLOOKUP($B16,ImportExport!$B$6:$O$68,9,FALSE)</f>
        <v>0</v>
      </c>
      <c r="K21" s="190">
        <f>VLOOKUP($B16,ImportExport!$B$6:$O$68,10,FALSE)</f>
        <v>0</v>
      </c>
      <c r="L21" s="190">
        <f>VLOOKUP($B16,ImportExport!$B$6:$O$68,11,FALSE)</f>
        <v>0</v>
      </c>
      <c r="M21" s="190">
        <f>VLOOKUP($B16,ImportExport!$B$6:$O$68,12,FALSE)</f>
        <v>0</v>
      </c>
      <c r="N21" s="190">
        <f>VLOOKUP($B16,ImportExport!$B$6:$O$68,13,FALSE)</f>
        <v>0</v>
      </c>
      <c r="O21" s="197">
        <f>VLOOKUP($B16,ImportExport!$B$6:$O$68,14,FALSE)</f>
        <v>0</v>
      </c>
    </row>
    <row r="22" spans="2:15" ht="15.75" thickBot="1">
      <c r="B22" s="18" t="str">
        <f>"Total "&amp; (B16)&amp;" Inflow"</f>
        <v>Total Node 9.02 Inflow</v>
      </c>
      <c r="C22" s="17"/>
      <c r="D22" s="25">
        <f t="shared" ref="D22:O22" si="4">SUM(D18:D21)</f>
        <v>2060.9626503801655</v>
      </c>
      <c r="E22" s="25">
        <f t="shared" si="4"/>
        <v>1761.4532214663518</v>
      </c>
      <c r="F22" s="25">
        <f t="shared" si="4"/>
        <v>4564.4114924014166</v>
      </c>
      <c r="G22" s="25">
        <f t="shared" si="4"/>
        <v>3886.009127945691</v>
      </c>
      <c r="H22" s="25">
        <f t="shared" si="4"/>
        <v>7032.8470022281899</v>
      </c>
      <c r="I22" s="25">
        <f t="shared" si="4"/>
        <v>10275.242644255073</v>
      </c>
      <c r="J22" s="25">
        <f t="shared" si="4"/>
        <v>4560.711685342394</v>
      </c>
      <c r="K22" s="25">
        <f t="shared" si="4"/>
        <v>2421.4272610740518</v>
      </c>
      <c r="L22" s="25">
        <f t="shared" si="4"/>
        <v>1357.3806047047508</v>
      </c>
      <c r="M22" s="25">
        <f t="shared" si="4"/>
        <v>1653.8313740485835</v>
      </c>
      <c r="N22" s="25">
        <f t="shared" si="4"/>
        <v>2545.4749792441025</v>
      </c>
      <c r="O22" s="26">
        <f t="shared" si="4"/>
        <v>2144.6240286733628</v>
      </c>
    </row>
    <row r="23" spans="2:15" ht="15">
      <c r="B23" s="19" t="s">
        <v>17</v>
      </c>
      <c r="C23" s="20"/>
      <c r="D23" s="282" t="str">
        <f>IF(((VLOOKUP($B16,'Diversion Data'!$B$3:$O$227,3,FALSE))-D25)&gt;0,"Short","")</f>
        <v/>
      </c>
      <c r="E23" s="282" t="str">
        <f>IF(((VLOOKUP($B16,'Diversion Data'!$B$3:$O$227,4,FALSE))-E25)&gt;0,"Short","")</f>
        <v/>
      </c>
      <c r="F23" s="282" t="str">
        <f>IF(((VLOOKUP($B16,'Diversion Data'!$B$3:$O$227,5,FALSE))-F25)&gt;0,"Short","")</f>
        <v/>
      </c>
      <c r="G23" s="282" t="str">
        <f>IF(((VLOOKUP($B16,'Diversion Data'!$B$3:$O$227,6,FALSE))-G25)&gt;0,"Short","")</f>
        <v/>
      </c>
      <c r="H23" s="282" t="str">
        <f>IF(((VLOOKUP($B16,'Diversion Data'!$B$3:$O$227,7,FALSE))-H25)&gt;0,"Short","")</f>
        <v/>
      </c>
      <c r="I23" s="282" t="str">
        <f>IF(((VLOOKUP($B16,'Diversion Data'!$B$3:$O$227,8,FALSE))-I25)&gt;0,"Short","")</f>
        <v/>
      </c>
      <c r="J23" s="282" t="str">
        <f>IF(((VLOOKUP($B16,'Diversion Data'!$B$3:$O$227,9,FALSE))-J25)&gt;0,"Short","")</f>
        <v/>
      </c>
      <c r="K23" s="282" t="str">
        <f>IF(((VLOOKUP($B16,'Diversion Data'!$B$3:$O$227,10,FALSE))-K25)&gt;0,"Short","")</f>
        <v/>
      </c>
      <c r="L23" s="282" t="str">
        <f>IF(((VLOOKUP($B16,'Diversion Data'!$B$3:$O$227,11,FALSE))-L25)&gt;0,"Short","")</f>
        <v/>
      </c>
      <c r="M23" s="282" t="str">
        <f>IF(((VLOOKUP($B16,'Diversion Data'!$B$3:$O$227,12,FALSE))-M25)&gt;0,"Short","")</f>
        <v/>
      </c>
      <c r="N23" s="282" t="str">
        <f>IF(((VLOOKUP($B16,'Diversion Data'!$B$3:$O$227,13,FALSE))-N25)&gt;0,"Short","")</f>
        <v/>
      </c>
      <c r="O23" s="283" t="str">
        <f>IF(((VLOOKUP($B16,'Diversion Data'!$B$3:$O$227,14,FALSE))-O25)&gt;0,"Short","")</f>
        <v/>
      </c>
    </row>
    <row r="24" spans="2:15" ht="14.25">
      <c r="B24" s="14" t="s">
        <v>81</v>
      </c>
      <c r="C24" s="13" t="s">
        <v>181</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8">
        <f>VLOOKUP($B24,GainLoss!$B$19:$O$27,14,FALSE)</f>
        <v>0</v>
      </c>
    </row>
    <row r="25" spans="2:15" ht="14.25">
      <c r="B25" s="14" t="str">
        <f>+B16 &amp;" Diversions"</f>
        <v>Node 9.02 Diversions</v>
      </c>
      <c r="C25" s="13"/>
      <c r="D25" s="54">
        <f>MIN(VLOOKUP($B16,'Diversion Data'!$B$3:$O$227,3,FALSE),(D22-D24))</f>
        <v>0</v>
      </c>
      <c r="E25" s="54">
        <f>MIN(VLOOKUP($B16,'Diversion Data'!$B$3:$O$227,4,FALSE),(E22-E24))</f>
        <v>0</v>
      </c>
      <c r="F25" s="54">
        <f>MIN(VLOOKUP($B16,'Diversion Data'!$B$3:$O$227,5,FALSE),(F22-F24))</f>
        <v>0</v>
      </c>
      <c r="G25" s="54">
        <f>MIN(VLOOKUP($B16,'Diversion Data'!$B$3:$O$227,6,FALSE),(G22-G24))</f>
        <v>0</v>
      </c>
      <c r="H25" s="54">
        <f>MIN(VLOOKUP($B16,'Diversion Data'!$B$3:$O$227,7,FALSE),(H22-H24))</f>
        <v>691.02375000000006</v>
      </c>
      <c r="I25" s="54">
        <f>MIN(VLOOKUP($B16,'Diversion Data'!$B$3:$O$227,8,FALSE),(I22-I24))</f>
        <v>2031.52</v>
      </c>
      <c r="J25" s="54">
        <f>MIN(VLOOKUP($B16,'Diversion Data'!$B$3:$O$227,9,FALSE),(J22-J24))</f>
        <v>2453.8799999999997</v>
      </c>
      <c r="K25" s="54">
        <f>MIN(VLOOKUP($B16,'Diversion Data'!$B$3:$O$227,10,FALSE),(K22-K24))</f>
        <v>1075.8462500000001</v>
      </c>
      <c r="L25" s="54">
        <f>MIN(VLOOKUP($B16,'Diversion Data'!$B$3:$O$227,11,FALSE),(L22-L24))</f>
        <v>347.375</v>
      </c>
      <c r="M25" s="54">
        <f>MIN(VLOOKUP($B16,'Diversion Data'!$B$3:$O$227,12,FALSE),(M22-M24))</f>
        <v>0</v>
      </c>
      <c r="N25" s="54">
        <f>MIN(VLOOKUP($B16,'Diversion Data'!$B$3:$O$227,13,FALSE),(N22-N24))</f>
        <v>0</v>
      </c>
      <c r="O25" s="110">
        <f>MIN(VLOOKUP($B16,'Diversion Data'!$B$3:$O$227,14,FALSE),(O22-O24))</f>
        <v>0</v>
      </c>
    </row>
    <row r="26" spans="2:15" ht="15.75" thickBot="1">
      <c r="B26" s="24" t="str">
        <f>"Total " &amp; (B16) &amp;" Outflow"</f>
        <v>Total Node 9.02 Outflow</v>
      </c>
      <c r="C26" s="23"/>
      <c r="D26" s="27">
        <f t="shared" ref="D26:O26" si="5">SUM(D24:D25)</f>
        <v>0</v>
      </c>
      <c r="E26" s="27">
        <f t="shared" si="5"/>
        <v>0</v>
      </c>
      <c r="F26" s="27">
        <f t="shared" si="5"/>
        <v>0</v>
      </c>
      <c r="G26" s="27">
        <f t="shared" si="5"/>
        <v>0</v>
      </c>
      <c r="H26" s="27">
        <f t="shared" si="5"/>
        <v>691.02375000000006</v>
      </c>
      <c r="I26" s="27">
        <f t="shared" si="5"/>
        <v>2031.52</v>
      </c>
      <c r="J26" s="27">
        <f t="shared" si="5"/>
        <v>2453.8799999999997</v>
      </c>
      <c r="K26" s="27">
        <f t="shared" si="5"/>
        <v>1075.8462500000001</v>
      </c>
      <c r="L26" s="27">
        <f t="shared" si="5"/>
        <v>347.375</v>
      </c>
      <c r="M26" s="27">
        <f t="shared" si="5"/>
        <v>0</v>
      </c>
      <c r="N26" s="27">
        <f t="shared" si="5"/>
        <v>0</v>
      </c>
      <c r="O26" s="28">
        <f t="shared" si="5"/>
        <v>0</v>
      </c>
    </row>
    <row r="27" spans="2:15" ht="15.75" thickBot="1">
      <c r="B27" s="24" t="str">
        <f>(B16)&amp;" NET Flow (In - Out)"</f>
        <v>Node 9.02 NET Flow (In - Out)</v>
      </c>
      <c r="C27" s="23"/>
      <c r="D27" s="193">
        <f t="shared" ref="D27:O27" si="6">MAX(D22-D26,0)</f>
        <v>2060.9626503801655</v>
      </c>
      <c r="E27" s="193">
        <f t="shared" si="6"/>
        <v>1761.4532214663518</v>
      </c>
      <c r="F27" s="193">
        <f t="shared" si="6"/>
        <v>4564.4114924014166</v>
      </c>
      <c r="G27" s="193">
        <f t="shared" si="6"/>
        <v>3886.009127945691</v>
      </c>
      <c r="H27" s="193">
        <f t="shared" si="6"/>
        <v>6341.8232522281896</v>
      </c>
      <c r="I27" s="193">
        <f t="shared" si="6"/>
        <v>8243.7226442550727</v>
      </c>
      <c r="J27" s="193">
        <f t="shared" si="6"/>
        <v>2106.8316853423944</v>
      </c>
      <c r="K27" s="193">
        <f t="shared" si="6"/>
        <v>1345.5810110740517</v>
      </c>
      <c r="L27" s="193">
        <f t="shared" si="6"/>
        <v>1010.0056047047508</v>
      </c>
      <c r="M27" s="193">
        <f t="shared" si="6"/>
        <v>1653.8313740485835</v>
      </c>
      <c r="N27" s="193">
        <f t="shared" si="6"/>
        <v>2545.4749792441025</v>
      </c>
      <c r="O27" s="200">
        <f t="shared" si="6"/>
        <v>2144.6240286733628</v>
      </c>
    </row>
    <row r="29" spans="2:15" ht="15.75" thickBot="1">
      <c r="B29" s="108" t="s">
        <v>166</v>
      </c>
      <c r="C29" s="109" t="str">
        <f>VLOOKUP(B29,NodeList!$D$4:$E$121,2,FALSE)</f>
        <v>Confluence Smiths Fork / Bear</v>
      </c>
      <c r="D29" s="6"/>
      <c r="E29" s="6"/>
      <c r="F29" s="6"/>
      <c r="G29" s="6"/>
      <c r="H29" s="7"/>
      <c r="I29" s="7"/>
      <c r="J29" s="7"/>
      <c r="K29" s="7"/>
      <c r="L29" s="7"/>
      <c r="M29" s="7"/>
      <c r="N29" s="7"/>
      <c r="O29" s="7"/>
    </row>
    <row r="30" spans="2:15" ht="15">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2:15" ht="14.25">
      <c r="B31" s="14" t="str">
        <f>+B29 &amp;" Node Inflow"</f>
        <v>Node 9.01 Node Inflow</v>
      </c>
      <c r="C31" s="13"/>
      <c r="D31" s="15">
        <f>+D27</f>
        <v>2060.9626503801655</v>
      </c>
      <c r="E31" s="15">
        <f t="shared" ref="E31:O31" si="7">+E27</f>
        <v>1761.4532214663518</v>
      </c>
      <c r="F31" s="15">
        <f t="shared" si="7"/>
        <v>4564.4114924014166</v>
      </c>
      <c r="G31" s="15">
        <f t="shared" si="7"/>
        <v>3886.009127945691</v>
      </c>
      <c r="H31" s="15">
        <f t="shared" si="7"/>
        <v>6341.8232522281896</v>
      </c>
      <c r="I31" s="15">
        <f t="shared" si="7"/>
        <v>8243.7226442550727</v>
      </c>
      <c r="J31" s="15">
        <f t="shared" si="7"/>
        <v>2106.8316853423944</v>
      </c>
      <c r="K31" s="15">
        <f t="shared" si="7"/>
        <v>1345.5810110740517</v>
      </c>
      <c r="L31" s="15">
        <f t="shared" si="7"/>
        <v>1010.0056047047508</v>
      </c>
      <c r="M31" s="15">
        <f t="shared" si="7"/>
        <v>1653.8313740485835</v>
      </c>
      <c r="N31" s="15">
        <f t="shared" si="7"/>
        <v>2545.4749792441025</v>
      </c>
      <c r="O31" s="110">
        <f t="shared" si="7"/>
        <v>2144.6240286733628</v>
      </c>
    </row>
    <row r="32" spans="2:15" ht="14.25">
      <c r="B32" s="14" t="str">
        <f>+B29 &amp;" Inflow from Smiths Fork"</f>
        <v>Node 9.01 Inflow from Smiths Fork</v>
      </c>
      <c r="C32" s="13"/>
      <c r="D32" s="15">
        <f>+'Reach 10'!D131</f>
        <v>5388.071233917356</v>
      </c>
      <c r="E32" s="15">
        <f>+'Reach 10'!E131</f>
        <v>4863.5999072231407</v>
      </c>
      <c r="F32" s="15">
        <f>+'Reach 10'!F131</f>
        <v>6777.0651309752056</v>
      </c>
      <c r="G32" s="15">
        <f>+'Reach 10'!G131</f>
        <v>8246.7778850413215</v>
      </c>
      <c r="H32" s="15">
        <f>+'Reach 10'!H131</f>
        <v>12874.193443712455</v>
      </c>
      <c r="I32" s="15">
        <f>+'Reach 10'!I131</f>
        <v>10410.914109533</v>
      </c>
      <c r="J32" s="15">
        <f>+'Reach 10'!J131</f>
        <v>4816.234135563971</v>
      </c>
      <c r="K32" s="15">
        <f>+'Reach 10'!K131</f>
        <v>3840.2244504794553</v>
      </c>
      <c r="L32" s="15">
        <f>+'Reach 10'!L131</f>
        <v>3583.1176724594516</v>
      </c>
      <c r="M32" s="15">
        <f>+'Reach 10'!M131</f>
        <v>6325.7695211183163</v>
      </c>
      <c r="N32" s="15">
        <f>+'Reach 10'!N131</f>
        <v>6236.0491563766655</v>
      </c>
      <c r="O32" s="110">
        <f>+'Reach 10'!O131</f>
        <v>5658.8521224482447</v>
      </c>
    </row>
    <row r="33" spans="2:16" ht="14.25">
      <c r="B33" s="14" t="str">
        <f>+B29 &amp;" Irrigation Returns"</f>
        <v>Node 9.01 Irrigation Returns</v>
      </c>
      <c r="C33" s="13"/>
      <c r="D33" s="54">
        <f>VLOOKUP(($B29),'Irrigation Returns'!$B$644:$P$930,4,FALSE)</f>
        <v>0</v>
      </c>
      <c r="E33" s="54">
        <f>VLOOKUP(($B29),'Irrigation Returns'!$B$644:$P$930,5,FALSE)</f>
        <v>0</v>
      </c>
      <c r="F33" s="54">
        <f>VLOOKUP(($B29),'Irrigation Returns'!$B$644:$P$930,6,FALSE)</f>
        <v>0</v>
      </c>
      <c r="G33" s="54">
        <f>VLOOKUP(($B29),'Irrigation Returns'!$B$644:$P$930,7,FALSE)</f>
        <v>0</v>
      </c>
      <c r="H33" s="54">
        <f>VLOOKUP(($B29),'Irrigation Returns'!$B$644:$P$930,8,FALSE)</f>
        <v>1161.4531978019772</v>
      </c>
      <c r="I33" s="54">
        <f>VLOOKUP(($B29),'Irrigation Returns'!$B$644:$P$930,9,FALSE)</f>
        <v>3625.7764693524132</v>
      </c>
      <c r="J33" s="54">
        <f>VLOOKUP(($B29),'Irrigation Returns'!$B$644:$P$930,10,FALSE)</f>
        <v>3551.0176316540865</v>
      </c>
      <c r="K33" s="54">
        <f>VLOOKUP(($B29),'Irrigation Returns'!$B$644:$P$930,11,FALSE)</f>
        <v>2048.0654095048021</v>
      </c>
      <c r="L33" s="54">
        <f>VLOOKUP(($B29),'Irrigation Returns'!$B$644:$P$930,12,FALSE)</f>
        <v>904.71036749059704</v>
      </c>
      <c r="M33" s="54">
        <f>VLOOKUP(($B29),'Irrigation Returns'!$B$644:$P$930,13,FALSE)</f>
        <v>212.56486634431818</v>
      </c>
      <c r="N33" s="54">
        <f>VLOOKUP(($B29),'Irrigation Returns'!$B$644:$P$930,14,FALSE)</f>
        <v>43.4805869294091</v>
      </c>
      <c r="O33" s="110">
        <f>VLOOKUP(($B29),'Irrigation Returns'!$B$644:$P$930,15,FALSE)</f>
        <v>0</v>
      </c>
    </row>
    <row r="34" spans="2:16" ht="14.25">
      <c r="B34" s="14" t="s">
        <v>328</v>
      </c>
      <c r="C34" s="13" t="s">
        <v>82</v>
      </c>
      <c r="D34" s="54">
        <f>VLOOKUP($B34,GainLoss!$B$5:$O$14,3,FALSE)</f>
        <v>0</v>
      </c>
      <c r="E34" s="54">
        <f>VLOOKUP($B34,GainLoss!$B$5:$O$14,4,FALSE)</f>
        <v>0</v>
      </c>
      <c r="F34" s="54">
        <f>VLOOKUP($B34,GainLoss!$B$5:$O$14,5,FALSE)</f>
        <v>0</v>
      </c>
      <c r="G34" s="54">
        <f>VLOOKUP($B34,GainLoss!$B$5:$O$14,6,FALSE)</f>
        <v>0</v>
      </c>
      <c r="H34" s="54">
        <f>VLOOKUP($B34,GainLoss!$B$5:$O$14,7,FALSE)</f>
        <v>0</v>
      </c>
      <c r="I34" s="54">
        <f>VLOOKUP($B34,GainLoss!$B$5:$O$14,8,FALSE)</f>
        <v>0</v>
      </c>
      <c r="J34" s="54">
        <f>VLOOKUP($B34,GainLoss!$B$5:$O$14,9,FALSE)</f>
        <v>0</v>
      </c>
      <c r="K34" s="54">
        <f>VLOOKUP($B34,GainLoss!$B$5:$O$14,10,FALSE)</f>
        <v>0</v>
      </c>
      <c r="L34" s="54">
        <f>VLOOKUP($B34,GainLoss!$B$5:$O$14,11,FALSE)</f>
        <v>0</v>
      </c>
      <c r="M34" s="54">
        <f>VLOOKUP($B34,GainLoss!$B$5:$O$14,12,FALSE)</f>
        <v>0</v>
      </c>
      <c r="N34" s="54">
        <f>VLOOKUP($B34,GainLoss!$B$5:$O$14,13,FALSE)</f>
        <v>0</v>
      </c>
      <c r="O34" s="110">
        <f>VLOOKUP($B34,GainLoss!$B$5:$O$14,14,FALSE)</f>
        <v>0</v>
      </c>
    </row>
    <row r="35" spans="2:16" ht="14.25">
      <c r="B35" s="14" t="str">
        <f>+B29 &amp;" Import/Export"</f>
        <v>Node 9.01 Import/Export</v>
      </c>
      <c r="C35" s="13"/>
      <c r="D35" s="190">
        <f>VLOOKUP($B29,ImportExport!$B$6:$O$68,3,FALSE)</f>
        <v>0</v>
      </c>
      <c r="E35" s="190">
        <f>VLOOKUP($B29,ImportExport!$B$6:$O$68,4,FALSE)</f>
        <v>0</v>
      </c>
      <c r="F35" s="190">
        <f>VLOOKUP($B29,ImportExport!$B$6:$O$68,5,FALSE)</f>
        <v>0</v>
      </c>
      <c r="G35" s="190">
        <f>VLOOKUP($B29,ImportExport!$B$6:$O$68,6,FALSE)</f>
        <v>0</v>
      </c>
      <c r="H35" s="190">
        <f>VLOOKUP($B29,ImportExport!$B$6:$O$68,7,FALSE)</f>
        <v>0</v>
      </c>
      <c r="I35" s="190">
        <f>VLOOKUP($B29,ImportExport!$B$6:$O$68,8,FALSE)</f>
        <v>0</v>
      </c>
      <c r="J35" s="190">
        <f>VLOOKUP($B29,ImportExport!$B$6:$O$68,9,FALSE)</f>
        <v>0</v>
      </c>
      <c r="K35" s="190">
        <f>VLOOKUP($B29,ImportExport!$B$6:$O$68,10,FALSE)</f>
        <v>0</v>
      </c>
      <c r="L35" s="190">
        <f>VLOOKUP($B29,ImportExport!$B$6:$O$68,11,FALSE)</f>
        <v>0</v>
      </c>
      <c r="M35" s="190">
        <f>VLOOKUP($B29,ImportExport!$B$6:$O$68,12,FALSE)</f>
        <v>0</v>
      </c>
      <c r="N35" s="190">
        <f>VLOOKUP($B29,ImportExport!$B$6:$O$68,13,FALSE)</f>
        <v>0</v>
      </c>
      <c r="O35" s="197">
        <f>VLOOKUP($B29,ImportExport!$B$6:$O$68,14,FALSE)</f>
        <v>0</v>
      </c>
    </row>
    <row r="36" spans="2:16" ht="15.75" thickBot="1">
      <c r="B36" s="18" t="str">
        <f>"Total "&amp; (B29)&amp;" Inflow"</f>
        <v>Total Node 9.01 Inflow</v>
      </c>
      <c r="C36" s="17"/>
      <c r="D36" s="25">
        <f>SUM(D31:D35)</f>
        <v>7449.0338842975216</v>
      </c>
      <c r="E36" s="25">
        <f t="shared" ref="E36:O36" si="8">SUM(E31:E35)</f>
        <v>6625.053128689493</v>
      </c>
      <c r="F36" s="25">
        <f t="shared" si="8"/>
        <v>11341.476623376622</v>
      </c>
      <c r="G36" s="25">
        <f t="shared" si="8"/>
        <v>12132.787012987013</v>
      </c>
      <c r="H36" s="25">
        <f t="shared" si="8"/>
        <v>20377.469893742622</v>
      </c>
      <c r="I36" s="25">
        <f t="shared" si="8"/>
        <v>22280.413223140487</v>
      </c>
      <c r="J36" s="25">
        <f t="shared" si="8"/>
        <v>10474.083452560451</v>
      </c>
      <c r="K36" s="25">
        <f t="shared" si="8"/>
        <v>7233.8708710583096</v>
      </c>
      <c r="L36" s="25">
        <f t="shared" si="8"/>
        <v>5497.8336446548001</v>
      </c>
      <c r="M36" s="25">
        <f t="shared" si="8"/>
        <v>8192.1657615112181</v>
      </c>
      <c r="N36" s="25">
        <f t="shared" si="8"/>
        <v>8825.0047225501767</v>
      </c>
      <c r="O36" s="26">
        <f t="shared" si="8"/>
        <v>7803.4761511216075</v>
      </c>
    </row>
    <row r="37" spans="2:16" ht="15">
      <c r="B37" s="19" t="s">
        <v>17</v>
      </c>
      <c r="C37" s="20"/>
      <c r="D37" s="282" t="str">
        <f>IF(((VLOOKUP($B29,'Diversion Data'!$B$3:$O$227,3,FALSE))-D39)&gt;0,"Short","")</f>
        <v/>
      </c>
      <c r="E37" s="282" t="str">
        <f>IF(((VLOOKUP($B29,'Diversion Data'!$B$3:$O$227,4,FALSE))-E39)&gt;0,"Short","")</f>
        <v/>
      </c>
      <c r="F37" s="282" t="str">
        <f>IF(((VLOOKUP($B29,'Diversion Data'!$B$3:$O$227,5,FALSE))-F39)&gt;0,"Short","")</f>
        <v/>
      </c>
      <c r="G37" s="282" t="str">
        <f>IF(((VLOOKUP($B29,'Diversion Data'!$B$3:$O$227,6,FALSE))-G39)&gt;0,"Short","")</f>
        <v/>
      </c>
      <c r="H37" s="282" t="str">
        <f>IF(((VLOOKUP($B29,'Diversion Data'!$B$3:$O$227,7,FALSE))-H39)&gt;0,"Short","")</f>
        <v/>
      </c>
      <c r="I37" s="282" t="str">
        <f>IF(((VLOOKUP($B29,'Diversion Data'!$B$3:$O$227,8,FALSE))-I39)&gt;0,"Short","")</f>
        <v/>
      </c>
      <c r="J37" s="282" t="str">
        <f>IF(((VLOOKUP($B29,'Diversion Data'!$B$3:$O$227,9,FALSE))-J39)&gt;0,"Short","")</f>
        <v/>
      </c>
      <c r="K37" s="282" t="str">
        <f>IF(((VLOOKUP($B29,'Diversion Data'!$B$3:$O$227,10,FALSE))-K39)&gt;0,"Short","")</f>
        <v/>
      </c>
      <c r="L37" s="282" t="str">
        <f>IF(((VLOOKUP($B29,'Diversion Data'!$B$3:$O$227,11,FALSE))-L39)&gt;0,"Short","")</f>
        <v/>
      </c>
      <c r="M37" s="282" t="str">
        <f>IF(((VLOOKUP($B29,'Diversion Data'!$B$3:$O$227,12,FALSE))-M39)&gt;0,"Short","")</f>
        <v/>
      </c>
      <c r="N37" s="282" t="str">
        <f>IF(((VLOOKUP($B29,'Diversion Data'!$B$3:$O$227,13,FALSE))-N39)&gt;0,"Short","")</f>
        <v/>
      </c>
      <c r="O37" s="283" t="str">
        <f>IF(((VLOOKUP($B29,'Diversion Data'!$B$3:$O$227,14,FALSE))-O39)&gt;0,"Short","")</f>
        <v/>
      </c>
    </row>
    <row r="38" spans="2:16" ht="14.25">
      <c r="B38" s="14" t="s">
        <v>365</v>
      </c>
      <c r="C38" s="13" t="s">
        <v>181</v>
      </c>
      <c r="D38" s="171">
        <f>VLOOKUP($B38,GainLoss!$B$19:$O$27,3,FALSE)</f>
        <v>0</v>
      </c>
      <c r="E38" s="171">
        <f>VLOOKUP($B38,GainLoss!$B$19:$O$27,4,FALSE)</f>
        <v>0</v>
      </c>
      <c r="F38" s="171">
        <f>VLOOKUP($B38,GainLoss!$B$19:$O$27,5,FALSE)</f>
        <v>0</v>
      </c>
      <c r="G38" s="171">
        <f>VLOOKUP($B38,GainLoss!$B$19:$O$27,6,FALSE)</f>
        <v>0</v>
      </c>
      <c r="H38" s="171">
        <f>VLOOKUP($B38,GainLoss!$B$19:$O$27,7,FALSE)</f>
        <v>0</v>
      </c>
      <c r="I38" s="171">
        <f>VLOOKUP($B38,GainLoss!$B$19:$O$27,8,FALSE)</f>
        <v>0</v>
      </c>
      <c r="J38" s="171">
        <f>VLOOKUP($B38,GainLoss!$B$19:$O$27,9,FALSE)</f>
        <v>0</v>
      </c>
      <c r="K38" s="171">
        <f>VLOOKUP($B38,GainLoss!$B$19:$O$27,10,FALSE)</f>
        <v>0</v>
      </c>
      <c r="L38" s="171">
        <f>VLOOKUP($B38,GainLoss!$B$19:$O$27,11,FALSE)</f>
        <v>0</v>
      </c>
      <c r="M38" s="171">
        <f>VLOOKUP($B38,GainLoss!$B$19:$O$27,12,FALSE)</f>
        <v>0</v>
      </c>
      <c r="N38" s="171">
        <f>VLOOKUP($B38,GainLoss!$B$19:$O$27,13,FALSE)</f>
        <v>0</v>
      </c>
      <c r="O38" s="198">
        <f>VLOOKUP($B38,GainLoss!$B$19:$O$27,14,FALSE)</f>
        <v>0</v>
      </c>
    </row>
    <row r="39" spans="2:16" ht="14.25">
      <c r="B39" s="14" t="str">
        <f>+B29 &amp;" Diversions"</f>
        <v>Node 9.01 Diversions</v>
      </c>
      <c r="C39" s="13"/>
      <c r="D39" s="54">
        <f>MIN(VLOOKUP($B29,'Diversion Data'!$B$3:$O$227,3,FALSE),(D36-D38))</f>
        <v>0</v>
      </c>
      <c r="E39" s="54">
        <f>MIN(VLOOKUP($B29,'Diversion Data'!$B$3:$O$227,4,FALSE),(E36-E38))</f>
        <v>0</v>
      </c>
      <c r="F39" s="54">
        <f>MIN(VLOOKUP($B29,'Diversion Data'!$B$3:$O$227,5,FALSE),(F36-F38))</f>
        <v>0</v>
      </c>
      <c r="G39" s="54">
        <f>MIN(VLOOKUP($B29,'Diversion Data'!$B$3:$O$227,6,FALSE),(G36-G38))</f>
        <v>0</v>
      </c>
      <c r="H39" s="54">
        <f>MIN(VLOOKUP($B29,'Diversion Data'!$B$3:$O$227,7,FALSE),(H36-H38))</f>
        <v>0</v>
      </c>
      <c r="I39" s="54">
        <f>MIN(VLOOKUP($B29,'Diversion Data'!$B$3:$O$227,8,FALSE),(I36-I38))</f>
        <v>0</v>
      </c>
      <c r="J39" s="54">
        <f>MIN(VLOOKUP($B29,'Diversion Data'!$B$3:$O$227,9,FALSE),(J36-J38))</f>
        <v>0</v>
      </c>
      <c r="K39" s="54">
        <f>MIN(VLOOKUP($B29,'Diversion Data'!$B$3:$O$227,10,FALSE),(K36-K38))</f>
        <v>0</v>
      </c>
      <c r="L39" s="54">
        <f>MIN(VLOOKUP($B29,'Diversion Data'!$B$3:$O$227,11,FALSE),(L36-L38))</f>
        <v>0</v>
      </c>
      <c r="M39" s="54">
        <f>MIN(VLOOKUP($B29,'Diversion Data'!$B$3:$O$227,12,FALSE),(M36-M38))</f>
        <v>0</v>
      </c>
      <c r="N39" s="54">
        <f>MIN(VLOOKUP($B29,'Diversion Data'!$B$3:$O$227,13,FALSE),(N36-N38))</f>
        <v>0</v>
      </c>
      <c r="O39" s="110">
        <f>MIN(VLOOKUP($B29,'Diversion Data'!$B$3:$O$227,14,FALSE),(O36-O38))</f>
        <v>0</v>
      </c>
    </row>
    <row r="40" spans="2:16" ht="15.75" thickBot="1">
      <c r="B40" s="24" t="str">
        <f>"Total " &amp; (B29) &amp;" Outflow"</f>
        <v>Total Node 9.01 Outflow</v>
      </c>
      <c r="C40" s="23"/>
      <c r="D40" s="27">
        <f>SUM(D38:D39)</f>
        <v>0</v>
      </c>
      <c r="E40" s="27">
        <f t="shared" ref="E40:O40" si="9">SUM(E38:E39)</f>
        <v>0</v>
      </c>
      <c r="F40" s="27">
        <f t="shared" si="9"/>
        <v>0</v>
      </c>
      <c r="G40" s="27">
        <f t="shared" si="9"/>
        <v>0</v>
      </c>
      <c r="H40" s="27">
        <f t="shared" si="9"/>
        <v>0</v>
      </c>
      <c r="I40" s="27">
        <f t="shared" si="9"/>
        <v>0</v>
      </c>
      <c r="J40" s="27">
        <f t="shared" si="9"/>
        <v>0</v>
      </c>
      <c r="K40" s="27">
        <f t="shared" si="9"/>
        <v>0</v>
      </c>
      <c r="L40" s="27">
        <f t="shared" si="9"/>
        <v>0</v>
      </c>
      <c r="M40" s="27">
        <f t="shared" si="9"/>
        <v>0</v>
      </c>
      <c r="N40" s="27">
        <f t="shared" si="9"/>
        <v>0</v>
      </c>
      <c r="O40" s="28">
        <f t="shared" si="9"/>
        <v>0</v>
      </c>
    </row>
    <row r="41" spans="2:16" ht="15.75" thickBot="1">
      <c r="B41" s="24" t="str">
        <f>(B29)&amp;" NET Flow (In - Out)"</f>
        <v>Node 9.01 NET Flow (In - Out)</v>
      </c>
      <c r="C41" s="23"/>
      <c r="D41" s="193">
        <f t="shared" ref="D41:O41" si="10">MAX(D36-D40,0)</f>
        <v>7449.0338842975216</v>
      </c>
      <c r="E41" s="193">
        <f t="shared" si="10"/>
        <v>6625.053128689493</v>
      </c>
      <c r="F41" s="193">
        <f t="shared" si="10"/>
        <v>11341.476623376622</v>
      </c>
      <c r="G41" s="193">
        <f t="shared" si="10"/>
        <v>12132.787012987013</v>
      </c>
      <c r="H41" s="193">
        <f t="shared" si="10"/>
        <v>20377.469893742622</v>
      </c>
      <c r="I41" s="193">
        <f t="shared" si="10"/>
        <v>22280.413223140487</v>
      </c>
      <c r="J41" s="193">
        <f t="shared" si="10"/>
        <v>10474.083452560451</v>
      </c>
      <c r="K41" s="193">
        <f t="shared" si="10"/>
        <v>7233.8708710583096</v>
      </c>
      <c r="L41" s="193">
        <f t="shared" si="10"/>
        <v>5497.8336446548001</v>
      </c>
      <c r="M41" s="193">
        <f t="shared" si="10"/>
        <v>8192.1657615112181</v>
      </c>
      <c r="N41" s="193">
        <f t="shared" si="10"/>
        <v>8825.0047225501767</v>
      </c>
      <c r="O41" s="200">
        <f t="shared" si="10"/>
        <v>7803.4761511216075</v>
      </c>
    </row>
    <row r="42" spans="2:16">
      <c r="C42" s="268"/>
      <c r="D42" s="264"/>
      <c r="E42" s="264"/>
      <c r="F42" s="264"/>
      <c r="G42" s="264"/>
      <c r="H42" s="264"/>
      <c r="I42" s="264"/>
      <c r="J42" s="264"/>
      <c r="K42" s="264"/>
      <c r="L42" s="264"/>
      <c r="M42" s="264"/>
      <c r="N42" s="264"/>
      <c r="O42" s="264"/>
      <c r="P42" s="146"/>
    </row>
    <row r="43" spans="2:16">
      <c r="D43" s="296"/>
      <c r="E43" s="296"/>
      <c r="F43" s="296"/>
      <c r="G43" s="296"/>
      <c r="H43" s="296"/>
      <c r="I43" s="296"/>
      <c r="J43" s="296"/>
      <c r="K43" s="296"/>
      <c r="L43" s="296"/>
      <c r="M43" s="296"/>
      <c r="N43" s="296"/>
      <c r="O43" s="296"/>
    </row>
    <row r="44" spans="2:16" ht="20.25">
      <c r="B44" s="285" t="s">
        <v>385</v>
      </c>
      <c r="C44" s="285"/>
      <c r="D44" s="285"/>
      <c r="E44" s="285"/>
      <c r="F44" s="285"/>
      <c r="G44" s="285"/>
      <c r="H44" s="285"/>
      <c r="I44" s="285"/>
      <c r="J44" s="285"/>
      <c r="K44" s="285"/>
      <c r="L44" s="285"/>
      <c r="M44" s="285"/>
      <c r="N44" s="285"/>
      <c r="O44" s="285"/>
    </row>
    <row r="45" spans="2:16">
      <c r="D45" s="292"/>
      <c r="E45" s="292"/>
      <c r="F45" s="292"/>
      <c r="G45" s="292"/>
      <c r="H45" s="292"/>
      <c r="I45" s="292"/>
      <c r="J45" s="292"/>
      <c r="K45" s="292"/>
      <c r="L45" s="292"/>
      <c r="M45" s="292"/>
      <c r="N45" s="292"/>
      <c r="O45" s="292"/>
    </row>
  </sheetData>
  <sheetProtection objects="1" scenarios="1"/>
  <mergeCells count="3">
    <mergeCell ref="D1:L1"/>
    <mergeCell ref="T3:AE3"/>
    <mergeCell ref="A3:A14"/>
  </mergeCells>
  <phoneticPr fontId="0" type="noConversion"/>
  <conditionalFormatting sqref="D41:O41 D14:O14 D27:O27">
    <cfRule type="cellIs" dxfId="4" priority="1" stopIfTrue="1" operator="lessThanOrEqual">
      <formula>0</formula>
    </cfRule>
  </conditionalFormatting>
  <pageMargins left="0.75" right="0.75" top="1" bottom="1" header="0.5" footer="0.5"/>
  <pageSetup scale="65" fitToHeight="2" orientation="landscape" horizontalDpi="4294967292" verticalDpi="0" r:id="rId1"/>
  <headerFooter alignWithMargins="0">
    <oddHeader>&amp;C&amp;"Arial,Bold"&amp;12Bear River Spreadsheet Model
Dry Year Conditions</oddHeader>
    <oddFooter>&amp;L&amp;F &amp;A&amp;RAPPENDIX A (Page &amp;P of &amp;N)</oddFooter>
  </headerFooter>
  <legacyDrawing r:id="rId2"/>
</worksheet>
</file>

<file path=xl/worksheets/sheet13.xml><?xml version="1.0" encoding="utf-8"?>
<worksheet xmlns="http://schemas.openxmlformats.org/spreadsheetml/2006/main" xmlns:r="http://schemas.openxmlformats.org/officeDocument/2006/relationships">
  <sheetPr codeName="Sheet21">
    <pageSetUpPr autoPageBreaks="0"/>
  </sheetPr>
  <dimension ref="A1:AE135"/>
  <sheetViews>
    <sheetView showGridLines="0" zoomScale="75" zoomScaleNormal="75" workbookViewId="0">
      <pane ySplit="1" topLeftCell="A86" activePane="bottomLeft" state="frozen"/>
      <selection activeCell="B26" sqref="B26"/>
      <selection pane="bottomLeft" activeCell="P107" sqref="A107:P135"/>
    </sheetView>
  </sheetViews>
  <sheetFormatPr defaultRowHeight="12.75"/>
  <cols>
    <col min="1" max="1" width="2.28515625" customWidth="1"/>
    <col min="2" max="2" width="12.28515625" customWidth="1"/>
    <col min="3" max="3" width="25.28515625" customWidth="1"/>
    <col min="4" max="5" width="7.140625" customWidth="1"/>
    <col min="6" max="7" width="8.28515625" customWidth="1"/>
    <col min="8" max="15" width="9.42578125" customWidth="1"/>
  </cols>
  <sheetData>
    <row r="1" spans="1:31" ht="45.75" customHeight="1">
      <c r="A1" s="2"/>
      <c r="B1" s="3"/>
      <c r="C1" s="229"/>
      <c r="E1" s="661" t="s">
        <v>232</v>
      </c>
      <c r="F1" s="661" t="s">
        <v>186</v>
      </c>
      <c r="G1" s="661"/>
      <c r="H1" s="661"/>
      <c r="I1" s="661"/>
      <c r="J1" s="661"/>
      <c r="K1" s="661"/>
      <c r="L1" s="661"/>
      <c r="M1" s="661"/>
      <c r="N1" s="661"/>
      <c r="O1" s="661"/>
      <c r="P1" s="661"/>
    </row>
    <row r="2" spans="1:31" ht="15">
      <c r="B2" s="8"/>
      <c r="C2" s="13"/>
      <c r="D2" s="13"/>
      <c r="E2" s="13"/>
      <c r="F2" s="13"/>
      <c r="G2" s="13"/>
      <c r="H2" s="13"/>
      <c r="I2" s="13"/>
      <c r="J2" s="13"/>
      <c r="K2" s="13"/>
      <c r="L2" s="13"/>
      <c r="M2" s="13"/>
      <c r="N2" s="13"/>
      <c r="O2" s="13"/>
      <c r="P2" s="13"/>
      <c r="Q2" s="13"/>
      <c r="R2" s="13"/>
    </row>
    <row r="3" spans="1:31" ht="18.75" thickBot="1">
      <c r="A3" s="658"/>
      <c r="B3" s="108" t="s">
        <v>147</v>
      </c>
      <c r="C3" s="109" t="str">
        <f>VLOOKUP(B3,NodeList!$D$4:$E$121,2,FALSE)</f>
        <v>USGS 10032000:  Smiths Fork nr Border,WY</v>
      </c>
      <c r="D3" s="6"/>
      <c r="E3" s="6"/>
      <c r="F3" s="6"/>
      <c r="G3" s="6"/>
      <c r="H3" s="295"/>
      <c r="I3" s="295"/>
      <c r="J3" s="295"/>
      <c r="K3" s="295"/>
      <c r="L3" s="295"/>
      <c r="M3" s="295"/>
      <c r="N3" s="295"/>
      <c r="O3" s="434" t="s">
        <v>540</v>
      </c>
      <c r="P3" s="295"/>
      <c r="Q3" s="295"/>
      <c r="R3" s="295"/>
      <c r="S3" s="295"/>
    </row>
    <row r="4" spans="1:31" ht="18">
      <c r="A4" s="658"/>
      <c r="B4" s="9" t="s">
        <v>16</v>
      </c>
      <c r="C4" s="10"/>
      <c r="D4" s="11" t="s">
        <v>0</v>
      </c>
      <c r="E4" s="11" t="s">
        <v>1</v>
      </c>
      <c r="F4" s="11" t="s">
        <v>2</v>
      </c>
      <c r="G4" s="11" t="s">
        <v>3</v>
      </c>
      <c r="H4" s="11" t="s">
        <v>4</v>
      </c>
      <c r="I4" s="11" t="s">
        <v>5</v>
      </c>
      <c r="J4" s="11" t="s">
        <v>6</v>
      </c>
      <c r="K4" s="11" t="s">
        <v>7</v>
      </c>
      <c r="L4" s="11" t="s">
        <v>8</v>
      </c>
      <c r="M4" s="11" t="s">
        <v>9</v>
      </c>
      <c r="N4" s="11" t="s">
        <v>10</v>
      </c>
      <c r="O4" s="12" t="s">
        <v>11</v>
      </c>
      <c r="T4" s="661"/>
      <c r="U4" s="661"/>
      <c r="V4" s="661"/>
      <c r="W4" s="661"/>
      <c r="X4" s="661"/>
      <c r="Y4" s="661"/>
      <c r="Z4" s="661"/>
      <c r="AA4" s="661"/>
      <c r="AB4" s="661"/>
      <c r="AC4" s="661"/>
      <c r="AD4" s="661"/>
      <c r="AE4" s="661"/>
    </row>
    <row r="5" spans="1:31" ht="14.25">
      <c r="A5" s="658"/>
      <c r="B5" s="14" t="str">
        <f>+B3 &amp;" Gage Inflow"</f>
        <v>Node 10.01 Gage Inflow</v>
      </c>
      <c r="C5" s="13"/>
      <c r="D5" s="15">
        <f>VLOOKUP($B3,'USGS Gages'!$B$6:$P$19,4,FALSE)</f>
        <v>3351.0743801652893</v>
      </c>
      <c r="E5" s="15">
        <f>VLOOKUP($B3,'USGS Gages'!$B$6:$P$19,5,FALSE)</f>
        <v>2981.8512396694214</v>
      </c>
      <c r="F5" s="15">
        <f>VLOOKUP($B3,'USGS Gages'!$B$6:$P$19,6,FALSE)</f>
        <v>3702.3223140495866</v>
      </c>
      <c r="G5" s="15">
        <f>VLOOKUP($B3,'USGS Gages'!$B$6:$P$19,7,FALSE)</f>
        <v>7379.2561983471069</v>
      </c>
      <c r="H5" s="15">
        <f>VLOOKUP($B3,'USGS Gages'!$B$6:$P$19,8,FALSE)</f>
        <v>15723.917355371901</v>
      </c>
      <c r="I5" s="15">
        <f>VLOOKUP($B3,'USGS Gages'!$B$6:$P$19,9,FALSE)</f>
        <v>13200.991735537193</v>
      </c>
      <c r="J5" s="15">
        <f>VLOOKUP($B3,'USGS Gages'!$B$6:$P$19,10,FALSE)</f>
        <v>7004.9752066115707</v>
      </c>
      <c r="K5" s="15">
        <f>VLOOKUP($B3,'USGS Gages'!$B$6:$P$19,11,FALSE)</f>
        <v>5029.6859504132226</v>
      </c>
      <c r="L5" s="15">
        <f>VLOOKUP($B3,'USGS Gages'!$B$6:$P$19,12,FALSE)</f>
        <v>4132.5619834710742</v>
      </c>
      <c r="M5" s="15">
        <f>VLOOKUP($B3,'USGS Gages'!$B$6:$P$19,13,FALSE)</f>
        <v>5037.3719008264461</v>
      </c>
      <c r="N5" s="15">
        <f>VLOOKUP($B3,'USGS Gages'!$B$6:$P$19,14,FALSE)</f>
        <v>4132.5619834710742</v>
      </c>
      <c r="O5" s="16">
        <f>VLOOKUP($B3,'USGS Gages'!$B$6:$P$19,15,FALSE)</f>
        <v>3663.1239669421484</v>
      </c>
    </row>
    <row r="6" spans="1:31" ht="14.25">
      <c r="A6" s="658"/>
      <c r="B6" s="14" t="str">
        <f>+B3 &amp;" Irrigation Returns"</f>
        <v>Node 10.01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row>
    <row r="7" spans="1:31" ht="14.25">
      <c r="A7" s="658"/>
      <c r="B7" s="364" t="s">
        <v>495</v>
      </c>
      <c r="C7" s="13" t="s">
        <v>180</v>
      </c>
      <c r="D7" s="54">
        <f>VLOOKUP($B7,GainLoss!$B$5:$O$14,3,FALSE)*0.67</f>
        <v>2036.9968537520665</v>
      </c>
      <c r="E7" s="54">
        <f>VLOOKUP($B7,GainLoss!$B$5:$O$14,4,FALSE)*0.67</f>
        <v>1881.7486675537191</v>
      </c>
      <c r="F7" s="54">
        <f>VLOOKUP($B7,GainLoss!$B$5:$O$14,5,FALSE)*0.67</f>
        <v>3074.7428169256191</v>
      </c>
      <c r="G7" s="54">
        <f>VLOOKUP($B7,GainLoss!$B$5:$O$14,6,FALSE)*0.67</f>
        <v>867.5216866942153</v>
      </c>
      <c r="H7" s="54">
        <f>VLOOKUP($B7,GainLoss!$B$5:$O$14,7,FALSE)*0.67</f>
        <v>2470.1493910574895</v>
      </c>
      <c r="I7" s="54">
        <f>VLOOKUP($B7,GainLoss!$B$5:$O$14,8,FALSE)*0.67</f>
        <v>5474.4413015216396</v>
      </c>
      <c r="J7" s="54">
        <f>VLOOKUP($B7,GainLoss!$B$5:$O$14,9,FALSE)*0.67</f>
        <v>3469.1958385081862</v>
      </c>
      <c r="K7" s="54">
        <f>VLOOKUP($B7,GainLoss!$B$5:$O$14,10,FALSE)*0.67</f>
        <v>1243.7947317449537</v>
      </c>
      <c r="L7" s="54">
        <f>VLOOKUP($B7,GainLoss!$B$5:$O$14,11,FALSE)*0.67</f>
        <v>612.30385803279808</v>
      </c>
      <c r="M7" s="54">
        <f>VLOOKUP($B7,GainLoss!$B$5:$O$14,12,FALSE)*0.67</f>
        <v>1044.4984248786459</v>
      </c>
      <c r="N7" s="54">
        <f>VLOOKUP($B7,GainLoss!$B$5:$O$14,13,FALSE)*0.67</f>
        <v>1993.2287079934008</v>
      </c>
      <c r="O7" s="110">
        <f>VLOOKUP($B7,GainLoss!$B$5:$O$14,14,FALSE)*0.67</f>
        <v>1955.6884405990711</v>
      </c>
    </row>
    <row r="8" spans="1:31" ht="14.25">
      <c r="A8" s="658"/>
      <c r="B8" s="14" t="str">
        <f>+B3 &amp;" Import/Export"</f>
        <v>Node 10.01 Import/Export</v>
      </c>
      <c r="C8" s="13"/>
      <c r="D8" s="190">
        <f>VLOOKUP($B3,ImportExport!$B$6:$O$68,3,FALSE)</f>
        <v>0</v>
      </c>
      <c r="E8" s="190">
        <f>VLOOKUP($B3,ImportExport!$B$6:$O$68,4,FALSE)</f>
        <v>0</v>
      </c>
      <c r="F8" s="190">
        <f>VLOOKUP($B3,ImportExport!$B$6:$O$68,5,FALSE)</f>
        <v>0</v>
      </c>
      <c r="G8" s="190">
        <f>VLOOKUP($B3,ImportExport!$B$6:$O$68,6,FALSE)</f>
        <v>0</v>
      </c>
      <c r="H8" s="190">
        <f>VLOOKUP($B3,ImportExport!$B$6:$O$68,7,FALSE)</f>
        <v>0</v>
      </c>
      <c r="I8" s="190">
        <f>VLOOKUP($B3,ImportExport!$B$6:$O$68,8,FALSE)</f>
        <v>0</v>
      </c>
      <c r="J8" s="190">
        <f>VLOOKUP($B3,ImportExport!$B$6:$O$68,9,FALSE)</f>
        <v>0</v>
      </c>
      <c r="K8" s="190">
        <f>VLOOKUP($B3,ImportExport!$B$6:$O$68,10,FALSE)</f>
        <v>0</v>
      </c>
      <c r="L8" s="190">
        <f>VLOOKUP($B3,ImportExport!$B$6:$O$68,11,FALSE)</f>
        <v>0</v>
      </c>
      <c r="M8" s="190">
        <f>VLOOKUP($B3,ImportExport!$B$6:$O$68,12,FALSE)</f>
        <v>0</v>
      </c>
      <c r="N8" s="190">
        <f>VLOOKUP($B3,ImportExport!$B$6:$O$68,13,FALSE)</f>
        <v>0</v>
      </c>
      <c r="O8" s="197">
        <f>VLOOKUP($B3,ImportExport!$B$6:$O$68,14,FALSE)</f>
        <v>0</v>
      </c>
    </row>
    <row r="9" spans="1:31" ht="15.75" thickBot="1">
      <c r="A9" s="658"/>
      <c r="B9" s="18" t="str">
        <f>"Total "&amp; (B3)&amp;" Inflow"</f>
        <v>Total Node 10.01 Inflow</v>
      </c>
      <c r="C9" s="17"/>
      <c r="D9" s="25">
        <f>SUM(D5:D8)</f>
        <v>5388.071233917356</v>
      </c>
      <c r="E9" s="25">
        <f t="shared" ref="E9:O9" si="0">SUM(E5:E8)</f>
        <v>4863.5999072231407</v>
      </c>
      <c r="F9" s="25">
        <f t="shared" si="0"/>
        <v>6777.0651309752056</v>
      </c>
      <c r="G9" s="25">
        <f t="shared" si="0"/>
        <v>8246.7778850413215</v>
      </c>
      <c r="H9" s="25">
        <f t="shared" si="0"/>
        <v>18194.066746429391</v>
      </c>
      <c r="I9" s="25">
        <f t="shared" si="0"/>
        <v>18675.433037058832</v>
      </c>
      <c r="J9" s="25">
        <f t="shared" si="0"/>
        <v>10474.171045119758</v>
      </c>
      <c r="K9" s="25">
        <f t="shared" si="0"/>
        <v>6273.480682158176</v>
      </c>
      <c r="L9" s="25">
        <f t="shared" si="0"/>
        <v>4744.8658415038726</v>
      </c>
      <c r="M9" s="25">
        <f t="shared" si="0"/>
        <v>6081.870325705092</v>
      </c>
      <c r="N9" s="25">
        <f t="shared" si="0"/>
        <v>6125.7906914644755</v>
      </c>
      <c r="O9" s="26">
        <f t="shared" si="0"/>
        <v>5618.8124075412197</v>
      </c>
    </row>
    <row r="10" spans="1:31" ht="15">
      <c r="A10" s="658"/>
      <c r="B10" s="19" t="s">
        <v>17</v>
      </c>
      <c r="C10" s="20"/>
      <c r="D10" s="282" t="str">
        <f>IF(((VLOOKUP($B3,'Diversion Data'!$B$3:$O$227,3,FALSE))-D12)&gt;0,"Short","")</f>
        <v/>
      </c>
      <c r="E10" s="282" t="str">
        <f>IF(((VLOOKUP($B3,'Diversion Data'!$B$3:$O$227,4,FALSE))-E12)&gt;0,"Short","")</f>
        <v/>
      </c>
      <c r="F10" s="282" t="str">
        <f>IF(((VLOOKUP($B3,'Diversion Data'!$B$3:$O$227,5,FALSE))-F12)&gt;0,"Short","")</f>
        <v/>
      </c>
      <c r="G10" s="282" t="str">
        <f>IF(((VLOOKUP($B3,'Diversion Data'!$B$3:$O$227,6,FALSE))-G12)&gt;0,"Short","")</f>
        <v/>
      </c>
      <c r="H10" s="282" t="str">
        <f>IF(((VLOOKUP($B3,'Diversion Data'!$B$3:$O$227,7,FALSE))-H12)&gt;0,"Short","")</f>
        <v/>
      </c>
      <c r="I10" s="282" t="str">
        <f>IF(((VLOOKUP($B3,'Diversion Data'!$B$3:$O$227,8,FALSE))-I12)&gt;0,"Short","")</f>
        <v/>
      </c>
      <c r="J10" s="282" t="str">
        <f>IF(((VLOOKUP($B3,'Diversion Data'!$B$3:$O$227,9,FALSE))-J12)&gt;0,"Short","")</f>
        <v/>
      </c>
      <c r="K10" s="282" t="str">
        <f>IF(((VLOOKUP($B3,'Diversion Data'!$B$3:$O$227,10,FALSE))-K12)&gt;0,"Short","")</f>
        <v/>
      </c>
      <c r="L10" s="282" t="str">
        <f>IF(((VLOOKUP($B3,'Diversion Data'!$B$3:$O$227,11,FALSE))-L12)&gt;0,"Short","")</f>
        <v/>
      </c>
      <c r="M10" s="282" t="str">
        <f>IF(((VLOOKUP($B3,'Diversion Data'!$B$3:$O$227,12,FALSE))-M12)&gt;0,"Short","")</f>
        <v/>
      </c>
      <c r="N10" s="282" t="str">
        <f>IF(((VLOOKUP($B3,'Diversion Data'!$B$3:$O$227,13,FALSE))-N12)&gt;0,"Short","")</f>
        <v/>
      </c>
      <c r="O10" s="283" t="str">
        <f>IF(((VLOOKUP($B3,'Diversion Data'!$B$3:$O$227,14,FALSE))-O12)&gt;0,"Short","")</f>
        <v/>
      </c>
    </row>
    <row r="11" spans="1:31" ht="14.25">
      <c r="A11" s="658"/>
      <c r="B11" s="14" t="s">
        <v>81</v>
      </c>
      <c r="C11" s="13" t="s">
        <v>181</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8">
        <f>VLOOKUP($B11,GainLoss!$B$19:$O$27,14,FALSE)</f>
        <v>0</v>
      </c>
    </row>
    <row r="12" spans="1:31" ht="14.25">
      <c r="A12" s="658"/>
      <c r="B12" s="14" t="str">
        <f>+B3 &amp;" Diversions"</f>
        <v>Node 10.01 Diversions</v>
      </c>
      <c r="C12" s="13"/>
      <c r="D12" s="54">
        <f>MIN(VLOOKUP($B3,'Diversion Data'!$B$3:$O$227,3,FALSE),(D9-D11))</f>
        <v>0</v>
      </c>
      <c r="E12" s="54">
        <f>MIN(VLOOKUP($B3,'Diversion Data'!$B$3:$O$227,4,FALSE),(E9-E11))</f>
        <v>0</v>
      </c>
      <c r="F12" s="54">
        <f>MIN(VLOOKUP($B3,'Diversion Data'!$B$3:$O$227,5,FALSE),(F9-F11))</f>
        <v>0</v>
      </c>
      <c r="G12" s="54">
        <f>MIN(VLOOKUP($B3,'Diversion Data'!$B$3:$O$227,6,FALSE),(G9-G11))</f>
        <v>0</v>
      </c>
      <c r="H12" s="54">
        <f>MIN(VLOOKUP($B3,'Diversion Data'!$B$3:$O$227,7,FALSE),(H9-H11))</f>
        <v>0</v>
      </c>
      <c r="I12" s="54">
        <f>MIN(VLOOKUP($B3,'Diversion Data'!$B$3:$O$227,8,FALSE),(I9-I11))</f>
        <v>0</v>
      </c>
      <c r="J12" s="54">
        <f>MIN(VLOOKUP($B3,'Diversion Data'!$B$3:$O$227,9,FALSE),(J9-J11))</f>
        <v>0</v>
      </c>
      <c r="K12" s="54">
        <f>MIN(VLOOKUP($B3,'Diversion Data'!$B$3:$O$227,10,FALSE),(K9-K11))</f>
        <v>0</v>
      </c>
      <c r="L12" s="54">
        <f>MIN(VLOOKUP($B3,'Diversion Data'!$B$3:$O$227,11,FALSE),(L9-L11))</f>
        <v>0</v>
      </c>
      <c r="M12" s="54">
        <f>MIN(VLOOKUP($B3,'Diversion Data'!$B$3:$O$227,12,FALSE),(M9-M11))</f>
        <v>0</v>
      </c>
      <c r="N12" s="54">
        <f>MIN(VLOOKUP($B3,'Diversion Data'!$B$3:$O$227,13,FALSE),(N9-N11))</f>
        <v>0</v>
      </c>
      <c r="O12" s="110">
        <f>MIN(VLOOKUP($B3,'Diversion Data'!$B$3:$O$227,14,FALSE),(O9-O11))</f>
        <v>0</v>
      </c>
    </row>
    <row r="13" spans="1:31" ht="15.75" thickBot="1">
      <c r="A13" s="658"/>
      <c r="B13" s="24" t="str">
        <f>"Total " &amp; (B3) &amp;" Outflow"</f>
        <v>Total Node 10.01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31" ht="15.75" thickBot="1">
      <c r="B14" s="24" t="str">
        <f>(B3)&amp;" NET Flow (In - Out)"</f>
        <v>Node 10.01 NET Flow (In - Out)</v>
      </c>
      <c r="C14" s="23"/>
      <c r="D14" s="193">
        <f t="shared" ref="D14:O14" si="2">MAX(D9-D13,0)</f>
        <v>5388.071233917356</v>
      </c>
      <c r="E14" s="193">
        <f t="shared" si="2"/>
        <v>4863.5999072231407</v>
      </c>
      <c r="F14" s="193">
        <f t="shared" si="2"/>
        <v>6777.0651309752056</v>
      </c>
      <c r="G14" s="193">
        <f t="shared" si="2"/>
        <v>8246.7778850413215</v>
      </c>
      <c r="H14" s="193">
        <f t="shared" si="2"/>
        <v>18194.066746429391</v>
      </c>
      <c r="I14" s="193">
        <f t="shared" si="2"/>
        <v>18675.433037058832</v>
      </c>
      <c r="J14" s="193">
        <f t="shared" si="2"/>
        <v>10474.171045119758</v>
      </c>
      <c r="K14" s="193">
        <f t="shared" si="2"/>
        <v>6273.480682158176</v>
      </c>
      <c r="L14" s="193">
        <f t="shared" si="2"/>
        <v>4744.8658415038726</v>
      </c>
      <c r="M14" s="193">
        <f t="shared" si="2"/>
        <v>6081.870325705092</v>
      </c>
      <c r="N14" s="193">
        <f t="shared" si="2"/>
        <v>6125.7906914644755</v>
      </c>
      <c r="O14" s="200">
        <f t="shared" si="2"/>
        <v>5618.8124075412197</v>
      </c>
    </row>
    <row r="15" spans="1:31">
      <c r="D15" s="363"/>
      <c r="E15" s="363"/>
      <c r="F15" s="363"/>
      <c r="G15" s="363"/>
      <c r="H15" s="363"/>
      <c r="I15" s="363"/>
      <c r="J15" s="363"/>
      <c r="K15" s="363"/>
      <c r="L15" s="363"/>
      <c r="M15" s="363"/>
      <c r="N15" s="363"/>
      <c r="O15" s="363"/>
    </row>
    <row r="16" spans="1:31" ht="15.75" thickBot="1">
      <c r="B16" s="108" t="s">
        <v>132</v>
      </c>
      <c r="C16" s="109" t="str">
        <f>VLOOKUP(B16,NodeList!$D$4:$E$121,2,FALSE)</f>
        <v>Button Flat</v>
      </c>
      <c r="D16" s="6"/>
      <c r="E16" s="6"/>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10.02 Node Inflow</v>
      </c>
      <c r="C18" s="13"/>
      <c r="D18" s="15">
        <f>+D14</f>
        <v>5388.071233917356</v>
      </c>
      <c r="E18" s="15">
        <f t="shared" ref="E18:O18" si="3">+E14</f>
        <v>4863.5999072231407</v>
      </c>
      <c r="F18" s="15">
        <f t="shared" si="3"/>
        <v>6777.0651309752056</v>
      </c>
      <c r="G18" s="15">
        <f t="shared" si="3"/>
        <v>8246.7778850413215</v>
      </c>
      <c r="H18" s="15">
        <f t="shared" si="3"/>
        <v>18194.066746429391</v>
      </c>
      <c r="I18" s="15">
        <f t="shared" si="3"/>
        <v>18675.433037058832</v>
      </c>
      <c r="J18" s="15">
        <f t="shared" si="3"/>
        <v>10474.171045119758</v>
      </c>
      <c r="K18" s="15">
        <f t="shared" si="3"/>
        <v>6273.480682158176</v>
      </c>
      <c r="L18" s="15">
        <f t="shared" si="3"/>
        <v>4744.8658415038726</v>
      </c>
      <c r="M18" s="15">
        <f t="shared" si="3"/>
        <v>6081.870325705092</v>
      </c>
      <c r="N18" s="15">
        <f t="shared" si="3"/>
        <v>6125.7906914644755</v>
      </c>
      <c r="O18" s="15">
        <f t="shared" si="3"/>
        <v>5618.8124075412197</v>
      </c>
    </row>
    <row r="19" spans="2:15" ht="14.25">
      <c r="B19" s="14" t="str">
        <f>+B16 &amp;" Irrigation Returns"</f>
        <v>Node 10.02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0</v>
      </c>
      <c r="I19" s="54">
        <f>VLOOKUP(($B16),'Irrigation Returns'!$B$644:$P$930,9,FALSE)</f>
        <v>0</v>
      </c>
      <c r="J19" s="54">
        <f>VLOOKUP(($B16),'Irrigation Returns'!$B$644:$P$930,10,FALSE)</f>
        <v>0</v>
      </c>
      <c r="K19" s="54">
        <f>VLOOKUP(($B16),'Irrigation Returns'!$B$644:$P$930,11,FALSE)</f>
        <v>0</v>
      </c>
      <c r="L19" s="54">
        <f>VLOOKUP(($B16),'Irrigation Returns'!$B$644:$P$930,12,FALSE)</f>
        <v>0</v>
      </c>
      <c r="M19" s="54">
        <f>VLOOKUP(($B16),'Irrigation Returns'!$B$644:$P$930,13,FALSE)</f>
        <v>0</v>
      </c>
      <c r="N19" s="54">
        <f>VLOOKUP(($B16),'Irrigation Returns'!$B$644:$P$930,14,FALSE)</f>
        <v>0</v>
      </c>
      <c r="O19" s="110">
        <f>VLOOKUP(($B16),'Irrigation Returns'!$B$644:$P$930,15,FALSE)</f>
        <v>0</v>
      </c>
    </row>
    <row r="20" spans="2:15" ht="14.25">
      <c r="B20" s="14" t="s">
        <v>328</v>
      </c>
      <c r="C20" s="13" t="s">
        <v>180</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10.02 Import/Export</v>
      </c>
      <c r="C21" s="13"/>
      <c r="D21" s="190">
        <f>VLOOKUP($B16,ImportExport!$B$6:$O$68,3,FALSE)</f>
        <v>0</v>
      </c>
      <c r="E21" s="190">
        <f>VLOOKUP($B16,ImportExport!$B$6:$O$68,4,FALSE)</f>
        <v>0</v>
      </c>
      <c r="F21" s="190">
        <f>VLOOKUP($B16,ImportExport!$B$6:$O$68,5,FALSE)</f>
        <v>0</v>
      </c>
      <c r="G21" s="190">
        <f>VLOOKUP($B16,ImportExport!$B$6:$O$68,6,FALSE)</f>
        <v>0</v>
      </c>
      <c r="H21" s="190">
        <f>VLOOKUP($B16,ImportExport!$B$6:$O$68,7,FALSE)</f>
        <v>0</v>
      </c>
      <c r="I21" s="190">
        <f>VLOOKUP($B16,ImportExport!$B$6:$O$68,8,FALSE)</f>
        <v>0</v>
      </c>
      <c r="J21" s="190">
        <f>VLOOKUP($B16,ImportExport!$B$6:$O$68,9,FALSE)</f>
        <v>0</v>
      </c>
      <c r="K21" s="190">
        <f>VLOOKUP($B16,ImportExport!$B$6:$O$68,10,FALSE)</f>
        <v>0</v>
      </c>
      <c r="L21" s="190">
        <f>VLOOKUP($B16,ImportExport!$B$6:$O$68,11,FALSE)</f>
        <v>0</v>
      </c>
      <c r="M21" s="190">
        <f>VLOOKUP($B16,ImportExport!$B$6:$O$68,12,FALSE)</f>
        <v>0</v>
      </c>
      <c r="N21" s="190">
        <f>VLOOKUP($B16,ImportExport!$B$6:$O$68,13,FALSE)</f>
        <v>0</v>
      </c>
      <c r="O21" s="197">
        <f>VLOOKUP($B16,ImportExport!$B$6:$O$68,14,FALSE)</f>
        <v>0</v>
      </c>
    </row>
    <row r="22" spans="2:15" ht="15.75" thickBot="1">
      <c r="B22" s="18" t="str">
        <f>"Total "&amp; (B16)&amp;" Inflow"</f>
        <v>Total Node 10.02 Inflow</v>
      </c>
      <c r="C22" s="17"/>
      <c r="D22" s="25">
        <f t="shared" ref="D22:O22" si="4">SUM(D18:D21)</f>
        <v>5388.071233917356</v>
      </c>
      <c r="E22" s="25">
        <f t="shared" si="4"/>
        <v>4863.5999072231407</v>
      </c>
      <c r="F22" s="25">
        <f t="shared" si="4"/>
        <v>6777.0651309752056</v>
      </c>
      <c r="G22" s="25">
        <f t="shared" si="4"/>
        <v>8246.7778850413215</v>
      </c>
      <c r="H22" s="25">
        <f t="shared" si="4"/>
        <v>18194.066746429391</v>
      </c>
      <c r="I22" s="25">
        <f t="shared" si="4"/>
        <v>18675.433037058832</v>
      </c>
      <c r="J22" s="25">
        <f t="shared" si="4"/>
        <v>10474.171045119758</v>
      </c>
      <c r="K22" s="25">
        <f t="shared" si="4"/>
        <v>6273.480682158176</v>
      </c>
      <c r="L22" s="25">
        <f t="shared" si="4"/>
        <v>4744.8658415038726</v>
      </c>
      <c r="M22" s="25">
        <f t="shared" si="4"/>
        <v>6081.870325705092</v>
      </c>
      <c r="N22" s="25">
        <f t="shared" si="4"/>
        <v>6125.7906914644755</v>
      </c>
      <c r="O22" s="26">
        <f t="shared" si="4"/>
        <v>5618.8124075412197</v>
      </c>
    </row>
    <row r="23" spans="2:15" ht="15">
      <c r="B23" s="19" t="s">
        <v>17</v>
      </c>
      <c r="C23" s="20"/>
      <c r="D23" s="282" t="str">
        <f>IF(((VLOOKUP($B16,'Diversion Data'!$B$3:$O$227,3,FALSE))-D25)&gt;0,"Short","")</f>
        <v/>
      </c>
      <c r="E23" s="282" t="str">
        <f>IF(((VLOOKUP($B16,'Diversion Data'!$B$3:$O$227,4,FALSE))-E25)&gt;0,"Short","")</f>
        <v/>
      </c>
      <c r="F23" s="282" t="str">
        <f>IF(((VLOOKUP($B16,'Diversion Data'!$B$3:$O$227,5,FALSE))-F25)&gt;0,"Short","")</f>
        <v/>
      </c>
      <c r="G23" s="282" t="str">
        <f>IF(((VLOOKUP($B16,'Diversion Data'!$B$3:$O$227,6,FALSE))-G25)&gt;0,"Short","")</f>
        <v/>
      </c>
      <c r="H23" s="282" t="str">
        <f>IF(((VLOOKUP($B16,'Diversion Data'!$B$3:$O$227,7,FALSE))-H25)&gt;0,"Short","")</f>
        <v/>
      </c>
      <c r="I23" s="282" t="str">
        <f>IF(((VLOOKUP($B16,'Diversion Data'!$B$3:$O$227,8,FALSE))-I25)&gt;0,"Short","")</f>
        <v/>
      </c>
      <c r="J23" s="282" t="str">
        <f>IF(((VLOOKUP($B16,'Diversion Data'!$B$3:$O$227,9,FALSE))-J25)&gt;0,"Short","")</f>
        <v/>
      </c>
      <c r="K23" s="282" t="str">
        <f>IF(((VLOOKUP($B16,'Diversion Data'!$B$3:$O$227,10,FALSE))-K25)&gt;0,"Short","")</f>
        <v/>
      </c>
      <c r="L23" s="282" t="str">
        <f>IF(((VLOOKUP($B16,'Diversion Data'!$B$3:$O$227,11,FALSE))-L25)&gt;0,"Short","")</f>
        <v/>
      </c>
      <c r="M23" s="282" t="str">
        <f>IF(((VLOOKUP($B16,'Diversion Data'!$B$3:$O$227,12,FALSE))-M25)&gt;0,"Short","")</f>
        <v/>
      </c>
      <c r="N23" s="282" t="str">
        <f>IF(((VLOOKUP($B16,'Diversion Data'!$B$3:$O$227,13,FALSE))-N25)&gt;0,"Short","")</f>
        <v/>
      </c>
      <c r="O23" s="283" t="str">
        <f>IF(((VLOOKUP($B16,'Diversion Data'!$B$3:$O$227,14,FALSE))-O25)&gt;0,"Short","")</f>
        <v/>
      </c>
    </row>
    <row r="24" spans="2:15" ht="14.25">
      <c r="B24" s="14" t="s">
        <v>81</v>
      </c>
      <c r="C24" s="13" t="s">
        <v>181</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8">
        <f>VLOOKUP($B24,GainLoss!$B$19:$O$27,14,FALSE)</f>
        <v>0</v>
      </c>
    </row>
    <row r="25" spans="2:15" ht="14.25">
      <c r="B25" s="14" t="str">
        <f>+B16 &amp;" Diversions"</f>
        <v>Node 10.02 Diversions</v>
      </c>
      <c r="C25" s="13"/>
      <c r="D25" s="54">
        <f>MIN(VLOOKUP($B16,'Diversion Data'!$B$3:$O$227,3,FALSE),(D22-D24))</f>
        <v>0</v>
      </c>
      <c r="E25" s="54">
        <f>MIN(VLOOKUP($B16,'Diversion Data'!$B$3:$O$227,4,FALSE),(E22-E24))</f>
        <v>0</v>
      </c>
      <c r="F25" s="54">
        <f>MIN(VLOOKUP($B16,'Diversion Data'!$B$3:$O$227,5,FALSE),(F22-F24))</f>
        <v>0</v>
      </c>
      <c r="G25" s="54">
        <f>MIN(VLOOKUP($B16,'Diversion Data'!$B$3:$O$227,6,FALSE),(G22-G24))</f>
        <v>0</v>
      </c>
      <c r="H25" s="54">
        <f>MIN(VLOOKUP($B16,'Diversion Data'!$B$3:$O$227,7,FALSE),(H22-H24))</f>
        <v>121.51380165289258</v>
      </c>
      <c r="I25" s="54">
        <f>MIN(VLOOKUP($B16,'Diversion Data'!$B$3:$O$227,8,FALSE),(I22-I24))</f>
        <v>233.34715909090912</v>
      </c>
      <c r="J25" s="54">
        <f>MIN(VLOOKUP($B16,'Diversion Data'!$B$3:$O$227,9,FALSE),(J22-J24))</f>
        <v>122.73444214876031</v>
      </c>
      <c r="K25" s="54">
        <f>MIN(VLOOKUP($B16,'Diversion Data'!$B$3:$O$227,10,FALSE),(K22-K24))</f>
        <v>23.539989669421487</v>
      </c>
      <c r="L25" s="54">
        <f>MIN(VLOOKUP($B16,'Diversion Data'!$B$3:$O$227,11,FALSE),(L22-L24))</f>
        <v>4.5384194214876032</v>
      </c>
      <c r="M25" s="54">
        <f>MIN(VLOOKUP($B16,'Diversion Data'!$B$3:$O$227,12,FALSE),(M22-M24))</f>
        <v>0</v>
      </c>
      <c r="N25" s="54">
        <f>MIN(VLOOKUP($B16,'Diversion Data'!$B$3:$O$227,13,FALSE),(N22-N24))</f>
        <v>0</v>
      </c>
      <c r="O25" s="110">
        <f>MIN(VLOOKUP($B16,'Diversion Data'!$B$3:$O$227,14,FALSE),(O22-O24))</f>
        <v>0</v>
      </c>
    </row>
    <row r="26" spans="2:15" ht="15.75" thickBot="1">
      <c r="B26" s="24" t="str">
        <f>"Total " &amp; (B16) &amp;" Outflow"</f>
        <v>Total Node 10.02 Outflow</v>
      </c>
      <c r="C26" s="23"/>
      <c r="D26" s="27">
        <f t="shared" ref="D26:O26" si="5">SUM(D24:D25)</f>
        <v>0</v>
      </c>
      <c r="E26" s="27">
        <f t="shared" si="5"/>
        <v>0</v>
      </c>
      <c r="F26" s="27">
        <f t="shared" si="5"/>
        <v>0</v>
      </c>
      <c r="G26" s="27">
        <f t="shared" si="5"/>
        <v>0</v>
      </c>
      <c r="H26" s="27">
        <f t="shared" si="5"/>
        <v>121.51380165289258</v>
      </c>
      <c r="I26" s="27">
        <f t="shared" si="5"/>
        <v>233.34715909090912</v>
      </c>
      <c r="J26" s="27">
        <f t="shared" si="5"/>
        <v>122.73444214876031</v>
      </c>
      <c r="K26" s="27">
        <f t="shared" si="5"/>
        <v>23.539989669421487</v>
      </c>
      <c r="L26" s="27">
        <f t="shared" si="5"/>
        <v>4.5384194214876032</v>
      </c>
      <c r="M26" s="27">
        <f t="shared" si="5"/>
        <v>0</v>
      </c>
      <c r="N26" s="27">
        <f t="shared" si="5"/>
        <v>0</v>
      </c>
      <c r="O26" s="28">
        <f t="shared" si="5"/>
        <v>0</v>
      </c>
    </row>
    <row r="27" spans="2:15" ht="15.75" thickBot="1">
      <c r="B27" s="24" t="str">
        <f>(B16)&amp;" NET Flow (In - Out)"</f>
        <v>Node 10.02 NET Flow (In - Out)</v>
      </c>
      <c r="C27" s="23"/>
      <c r="D27" s="193">
        <f t="shared" ref="D27:O27" si="6">MAX(D22-D26,0)</f>
        <v>5388.071233917356</v>
      </c>
      <c r="E27" s="193">
        <f t="shared" si="6"/>
        <v>4863.5999072231407</v>
      </c>
      <c r="F27" s="193">
        <f t="shared" si="6"/>
        <v>6777.0651309752056</v>
      </c>
      <c r="G27" s="193">
        <f t="shared" si="6"/>
        <v>8246.7778850413215</v>
      </c>
      <c r="H27" s="193">
        <f t="shared" si="6"/>
        <v>18072.5529447765</v>
      </c>
      <c r="I27" s="193">
        <f t="shared" si="6"/>
        <v>18442.085877967922</v>
      </c>
      <c r="J27" s="193">
        <f t="shared" si="6"/>
        <v>10351.436602970998</v>
      </c>
      <c r="K27" s="193">
        <f t="shared" si="6"/>
        <v>6249.9406924887544</v>
      </c>
      <c r="L27" s="193">
        <f t="shared" si="6"/>
        <v>4740.3274220823851</v>
      </c>
      <c r="M27" s="193">
        <f t="shared" si="6"/>
        <v>6081.870325705092</v>
      </c>
      <c r="N27" s="193">
        <f t="shared" si="6"/>
        <v>6125.7906914644755</v>
      </c>
      <c r="O27" s="200">
        <f t="shared" si="6"/>
        <v>5618.8124075412197</v>
      </c>
    </row>
    <row r="29" spans="2:15" ht="15.75" thickBot="1">
      <c r="B29" s="108" t="s">
        <v>138</v>
      </c>
      <c r="C29" s="109" t="str">
        <f>VLOOKUP(B29,NodeList!$D$4:$E$121,2,FALSE)</f>
        <v>Emelle</v>
      </c>
      <c r="D29" s="6"/>
      <c r="E29" s="6"/>
      <c r="F29" s="6"/>
      <c r="G29" s="6"/>
      <c r="H29" s="7"/>
      <c r="I29" s="7"/>
      <c r="J29" s="7"/>
      <c r="K29" s="7"/>
      <c r="L29" s="7"/>
      <c r="M29" s="7"/>
      <c r="N29" s="7"/>
      <c r="O29" s="7"/>
    </row>
    <row r="30" spans="2:15" ht="15">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2:15" ht="14.25">
      <c r="B31" s="14" t="str">
        <f>+B29 &amp;" Node Inflow"</f>
        <v>Node 10.03 Node Inflow</v>
      </c>
      <c r="C31" s="13"/>
      <c r="D31" s="15">
        <f>+D27</f>
        <v>5388.071233917356</v>
      </c>
      <c r="E31" s="15">
        <f t="shared" ref="E31:O31" si="7">+E27</f>
        <v>4863.5999072231407</v>
      </c>
      <c r="F31" s="15">
        <f t="shared" si="7"/>
        <v>6777.0651309752056</v>
      </c>
      <c r="G31" s="15">
        <f t="shared" si="7"/>
        <v>8246.7778850413215</v>
      </c>
      <c r="H31" s="15">
        <f t="shared" si="7"/>
        <v>18072.5529447765</v>
      </c>
      <c r="I31" s="15">
        <f t="shared" si="7"/>
        <v>18442.085877967922</v>
      </c>
      <c r="J31" s="15">
        <f t="shared" si="7"/>
        <v>10351.436602970998</v>
      </c>
      <c r="K31" s="15">
        <f t="shared" si="7"/>
        <v>6249.9406924887544</v>
      </c>
      <c r="L31" s="15">
        <f t="shared" si="7"/>
        <v>4740.3274220823851</v>
      </c>
      <c r="M31" s="15">
        <f t="shared" si="7"/>
        <v>6081.870325705092</v>
      </c>
      <c r="N31" s="15">
        <f t="shared" si="7"/>
        <v>6125.7906914644755</v>
      </c>
      <c r="O31" s="16">
        <f t="shared" si="7"/>
        <v>5618.8124075412197</v>
      </c>
    </row>
    <row r="32" spans="2:15" ht="14.25">
      <c r="B32" s="14" t="str">
        <f>+B29 &amp;" Irrigation Returns"</f>
        <v>Node 10.03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54.438183140495873</v>
      </c>
      <c r="I32" s="54">
        <f>VLOOKUP(($B29),'Irrigation Returns'!$B$644:$P$930,9,FALSE)</f>
        <v>120.09329388429754</v>
      </c>
      <c r="J32" s="54">
        <f>VLOOKUP(($B29),'Irrigation Returns'!$B$644:$P$930,10,FALSE)</f>
        <v>92.630349752066095</v>
      </c>
      <c r="K32" s="54">
        <f>VLOOKUP(($B29),'Irrigation Returns'!$B$644:$P$930,11,FALSE)</f>
        <v>41.19014214876033</v>
      </c>
      <c r="L32" s="54">
        <f>VLOOKUP(($B29),'Irrigation Returns'!$B$644:$P$930,12,FALSE)</f>
        <v>12.901334876033056</v>
      </c>
      <c r="M32" s="54">
        <f>VLOOKUP(($B29),'Irrigation Returns'!$B$644:$P$930,13,FALSE)</f>
        <v>2.0874770247933885</v>
      </c>
      <c r="N32" s="54">
        <f>VLOOKUP(($B29),'Irrigation Returns'!$B$644:$P$930,14,FALSE)</f>
        <v>0.29045884297520663</v>
      </c>
      <c r="O32" s="110">
        <f>VLOOKUP(($B29),'Irrigation Returns'!$B$644:$P$930,15,FALSE)</f>
        <v>0</v>
      </c>
    </row>
    <row r="33" spans="2:15" ht="14.25">
      <c r="B33" s="14" t="s">
        <v>328</v>
      </c>
      <c r="C33" s="13" t="s">
        <v>180</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2:15" ht="14.25">
      <c r="B34" s="14" t="str">
        <f>+B29 &amp;" Import/Export"</f>
        <v>Node 10.03 Import/Export</v>
      </c>
      <c r="C34" s="13"/>
      <c r="D34" s="190">
        <f>VLOOKUP($B29,ImportExport!$B$6:$O$68,3,FALSE)</f>
        <v>0</v>
      </c>
      <c r="E34" s="190">
        <f>VLOOKUP($B29,ImportExport!$B$6:$O$68,4,FALSE)</f>
        <v>0</v>
      </c>
      <c r="F34" s="190">
        <f>VLOOKUP($B29,ImportExport!$B$6:$O$68,5,FALSE)</f>
        <v>0</v>
      </c>
      <c r="G34" s="190">
        <f>VLOOKUP($B29,ImportExport!$B$6:$O$68,6,FALSE)</f>
        <v>0</v>
      </c>
      <c r="H34" s="190">
        <f>VLOOKUP($B29,ImportExport!$B$6:$O$68,7,FALSE)</f>
        <v>0</v>
      </c>
      <c r="I34" s="190">
        <f>VLOOKUP($B29,ImportExport!$B$6:$O$68,8,FALSE)</f>
        <v>0</v>
      </c>
      <c r="J34" s="190">
        <f>VLOOKUP($B29,ImportExport!$B$6:$O$68,9,FALSE)</f>
        <v>0</v>
      </c>
      <c r="K34" s="190">
        <f>VLOOKUP($B29,ImportExport!$B$6:$O$68,10,FALSE)</f>
        <v>0</v>
      </c>
      <c r="L34" s="190">
        <f>VLOOKUP($B29,ImportExport!$B$6:$O$68,11,FALSE)</f>
        <v>0</v>
      </c>
      <c r="M34" s="190">
        <f>VLOOKUP($B29,ImportExport!$B$6:$O$68,12,FALSE)</f>
        <v>0</v>
      </c>
      <c r="N34" s="190">
        <f>VLOOKUP($B29,ImportExport!$B$6:$O$68,13,FALSE)</f>
        <v>0</v>
      </c>
      <c r="O34" s="197">
        <f>VLOOKUP($B29,ImportExport!$B$6:$O$68,14,FALSE)</f>
        <v>0</v>
      </c>
    </row>
    <row r="35" spans="2:15" ht="15.75" thickBot="1">
      <c r="B35" s="18" t="str">
        <f>"Total "&amp; (B29)&amp;" Inflow"</f>
        <v>Total Node 10.03 Inflow</v>
      </c>
      <c r="C35" s="17"/>
      <c r="D35" s="25">
        <f t="shared" ref="D35:O35" si="8">SUM(D31:D34)</f>
        <v>5388.071233917356</v>
      </c>
      <c r="E35" s="25">
        <f t="shared" si="8"/>
        <v>4863.5999072231407</v>
      </c>
      <c r="F35" s="25">
        <f t="shared" si="8"/>
        <v>6777.0651309752056</v>
      </c>
      <c r="G35" s="25">
        <f t="shared" si="8"/>
        <v>8246.7778850413215</v>
      </c>
      <c r="H35" s="25">
        <f t="shared" si="8"/>
        <v>18126.991127916997</v>
      </c>
      <c r="I35" s="25">
        <f t="shared" si="8"/>
        <v>18562.179171852218</v>
      </c>
      <c r="J35" s="25">
        <f t="shared" si="8"/>
        <v>10444.066952723064</v>
      </c>
      <c r="K35" s="25">
        <f t="shared" si="8"/>
        <v>6291.1308346375145</v>
      </c>
      <c r="L35" s="25">
        <f t="shared" si="8"/>
        <v>4753.2287569584178</v>
      </c>
      <c r="M35" s="25">
        <f t="shared" si="8"/>
        <v>6083.9578027298858</v>
      </c>
      <c r="N35" s="25">
        <f t="shared" si="8"/>
        <v>6126.081150307451</v>
      </c>
      <c r="O35" s="26">
        <f t="shared" si="8"/>
        <v>5618.8124075412197</v>
      </c>
    </row>
    <row r="36" spans="2:15" ht="15">
      <c r="B36" s="19" t="s">
        <v>17</v>
      </c>
      <c r="C36" s="20"/>
      <c r="D36" s="282" t="str">
        <f>IF(((VLOOKUP($B29,'Diversion Data'!$B$3:$O$227,3,FALSE))-D38)&gt;0,"Short","")</f>
        <v/>
      </c>
      <c r="E36" s="282" t="str">
        <f>IF(((VLOOKUP($B29,'Diversion Data'!$B$3:$O$227,4,FALSE))-E38)&gt;0,"Short","")</f>
        <v/>
      </c>
      <c r="F36" s="282" t="str">
        <f>IF(((VLOOKUP($B29,'Diversion Data'!$B$3:$O$227,5,FALSE))-F38)&gt;0,"Short","")</f>
        <v/>
      </c>
      <c r="G36" s="282" t="str">
        <f>IF(((VLOOKUP($B29,'Diversion Data'!$B$3:$O$227,6,FALSE))-G38)&gt;0,"Short","")</f>
        <v/>
      </c>
      <c r="H36" s="282" t="str">
        <f>IF(((VLOOKUP($B29,'Diversion Data'!$B$3:$O$227,7,FALSE))-H38)&gt;0,"Short","")</f>
        <v/>
      </c>
      <c r="I36" s="282" t="str">
        <f>IF(((VLOOKUP($B29,'Diversion Data'!$B$3:$O$227,8,FALSE))-I38)&gt;0,"Short","")</f>
        <v/>
      </c>
      <c r="J36" s="282" t="str">
        <f>IF(((VLOOKUP($B29,'Diversion Data'!$B$3:$O$227,9,FALSE))-J38)&gt;0,"Short","")</f>
        <v/>
      </c>
      <c r="K36" s="282" t="str">
        <f>IF(((VLOOKUP($B29,'Diversion Data'!$B$3:$O$227,10,FALSE))-K38)&gt;0,"Short","")</f>
        <v/>
      </c>
      <c r="L36" s="282" t="str">
        <f>IF(((VLOOKUP($B29,'Diversion Data'!$B$3:$O$227,11,FALSE))-L38)&gt;0,"Short","")</f>
        <v/>
      </c>
      <c r="M36" s="282" t="str">
        <f>IF(((VLOOKUP($B29,'Diversion Data'!$B$3:$O$227,12,FALSE))-M38)&gt;0,"Short","")</f>
        <v/>
      </c>
      <c r="N36" s="282" t="str">
        <f>IF(((VLOOKUP($B29,'Diversion Data'!$B$3:$O$227,13,FALSE))-N38)&gt;0,"Short","")</f>
        <v/>
      </c>
      <c r="O36" s="283" t="str">
        <f>IF(((VLOOKUP($B29,'Diversion Data'!$B$3:$O$227,14,FALSE))-O38)&gt;0,"Short","")</f>
        <v/>
      </c>
    </row>
    <row r="37" spans="2:15" ht="14.25">
      <c r="B37" s="14" t="s">
        <v>81</v>
      </c>
      <c r="C37" s="13" t="s">
        <v>181</v>
      </c>
      <c r="D37" s="171">
        <f>VLOOKUP($B37,GainLoss!$B$19:$O$27,3,FALSE)</f>
        <v>0</v>
      </c>
      <c r="E37" s="171">
        <f>VLOOKUP($B37,GainLoss!$B$19:$O$27,4,FALSE)</f>
        <v>0</v>
      </c>
      <c r="F37" s="171">
        <f>VLOOKUP($B37,GainLoss!$B$19:$O$27,5,FALSE)</f>
        <v>0</v>
      </c>
      <c r="G37" s="171">
        <f>VLOOKUP($B37,GainLoss!$B$19:$O$27,6,FALSE)</f>
        <v>0</v>
      </c>
      <c r="H37" s="171">
        <f>VLOOKUP($B37,GainLoss!$B$19:$O$27,7,FALSE)</f>
        <v>0</v>
      </c>
      <c r="I37" s="171">
        <f>VLOOKUP($B37,GainLoss!$B$19:$O$27,8,FALSE)</f>
        <v>0</v>
      </c>
      <c r="J37" s="171">
        <f>VLOOKUP($B37,GainLoss!$B$19:$O$27,9,FALSE)</f>
        <v>0</v>
      </c>
      <c r="K37" s="171">
        <f>VLOOKUP($B37,GainLoss!$B$19:$O$27,10,FALSE)</f>
        <v>0</v>
      </c>
      <c r="L37" s="171">
        <f>VLOOKUP($B37,GainLoss!$B$19:$O$27,11,FALSE)</f>
        <v>0</v>
      </c>
      <c r="M37" s="171">
        <f>VLOOKUP($B37,GainLoss!$B$19:$O$27,12,FALSE)</f>
        <v>0</v>
      </c>
      <c r="N37" s="171">
        <f>VLOOKUP($B37,GainLoss!$B$19:$O$27,13,FALSE)</f>
        <v>0</v>
      </c>
      <c r="O37" s="198">
        <f>VLOOKUP($B37,GainLoss!$B$19:$O$27,14,FALSE)</f>
        <v>0</v>
      </c>
    </row>
    <row r="38" spans="2:15" ht="14.25">
      <c r="B38" s="14" t="str">
        <f>+B29 &amp;" Diversions"</f>
        <v>Node 10.03 Diversions</v>
      </c>
      <c r="C38" s="13"/>
      <c r="D38" s="54">
        <f>MIN(VLOOKUP($B29,'Diversion Data'!$B$3:$O$227,3,FALSE),(D35-D37))</f>
        <v>0</v>
      </c>
      <c r="E38" s="54">
        <f>MIN(VLOOKUP($B29,'Diversion Data'!$B$3:$O$227,4,FALSE),(E35-E37))</f>
        <v>0</v>
      </c>
      <c r="F38" s="54">
        <f>MIN(VLOOKUP($B29,'Diversion Data'!$B$3:$O$227,5,FALSE),(F35-F37))</f>
        <v>0</v>
      </c>
      <c r="G38" s="54">
        <f>MIN(VLOOKUP($B29,'Diversion Data'!$B$3:$O$227,6,FALSE),(G35-G37))</f>
        <v>0</v>
      </c>
      <c r="H38" s="54">
        <f>MIN(VLOOKUP($B29,'Diversion Data'!$B$3:$O$227,7,FALSE),(H35-H37))</f>
        <v>269.93912190082642</v>
      </c>
      <c r="I38" s="54">
        <f>MIN(VLOOKUP($B29,'Diversion Data'!$B$3:$O$227,8,FALSE),(I35-I37))</f>
        <v>612.73541322314054</v>
      </c>
      <c r="J38" s="54">
        <f>MIN(VLOOKUP($B29,'Diversion Data'!$B$3:$O$227,9,FALSE),(J35-J37))</f>
        <v>404.82676652892559</v>
      </c>
      <c r="K38" s="54">
        <f>MIN(VLOOKUP($B29,'Diversion Data'!$B$3:$O$227,10,FALSE),(K35-K37))</f>
        <v>124.53765495867769</v>
      </c>
      <c r="L38" s="54">
        <f>MIN(VLOOKUP($B29,'Diversion Data'!$B$3:$O$227,11,FALSE),(L35-L37))</f>
        <v>27.124690082644626</v>
      </c>
      <c r="M38" s="54">
        <f>MIN(VLOOKUP($B29,'Diversion Data'!$B$3:$O$227,12,FALSE),(M35-M37))</f>
        <v>0</v>
      </c>
      <c r="N38" s="54">
        <f>MIN(VLOOKUP($B29,'Diversion Data'!$B$3:$O$227,13,FALSE),(N35-N37))</f>
        <v>0</v>
      </c>
      <c r="O38" s="110">
        <f>MIN(VLOOKUP($B29,'Diversion Data'!$B$3:$O$227,14,FALSE),(O35-O37))</f>
        <v>0</v>
      </c>
    </row>
    <row r="39" spans="2:15" ht="15.75" thickBot="1">
      <c r="B39" s="24" t="str">
        <f>"Total " &amp; (B29) &amp;" Outflow"</f>
        <v>Total Node 10.03 Outflow</v>
      </c>
      <c r="C39" s="23"/>
      <c r="D39" s="27">
        <f t="shared" ref="D39:O39" si="9">SUM(D37:D38)</f>
        <v>0</v>
      </c>
      <c r="E39" s="27">
        <f t="shared" si="9"/>
        <v>0</v>
      </c>
      <c r="F39" s="27">
        <f t="shared" si="9"/>
        <v>0</v>
      </c>
      <c r="G39" s="27">
        <f t="shared" si="9"/>
        <v>0</v>
      </c>
      <c r="H39" s="27">
        <f t="shared" si="9"/>
        <v>269.93912190082642</v>
      </c>
      <c r="I39" s="27">
        <f t="shared" si="9"/>
        <v>612.73541322314054</v>
      </c>
      <c r="J39" s="27">
        <f t="shared" si="9"/>
        <v>404.82676652892559</v>
      </c>
      <c r="K39" s="27">
        <f t="shared" si="9"/>
        <v>124.53765495867769</v>
      </c>
      <c r="L39" s="27">
        <f t="shared" si="9"/>
        <v>27.124690082644626</v>
      </c>
      <c r="M39" s="27">
        <f t="shared" si="9"/>
        <v>0</v>
      </c>
      <c r="N39" s="27">
        <f t="shared" si="9"/>
        <v>0</v>
      </c>
      <c r="O39" s="28">
        <f t="shared" si="9"/>
        <v>0</v>
      </c>
    </row>
    <row r="40" spans="2:15" ht="15.75" thickBot="1">
      <c r="B40" s="24" t="str">
        <f>(B29)&amp;" NET Flow (In - Out)"</f>
        <v>Node 10.03 NET Flow (In - Out)</v>
      </c>
      <c r="C40" s="23"/>
      <c r="D40" s="193">
        <f t="shared" ref="D40:O40" si="10">MAX(D35-D39,0)</f>
        <v>5388.071233917356</v>
      </c>
      <c r="E40" s="193">
        <f t="shared" si="10"/>
        <v>4863.5999072231407</v>
      </c>
      <c r="F40" s="193">
        <f t="shared" si="10"/>
        <v>6777.0651309752056</v>
      </c>
      <c r="G40" s="193">
        <f t="shared" si="10"/>
        <v>8246.7778850413215</v>
      </c>
      <c r="H40" s="193">
        <f t="shared" si="10"/>
        <v>17857.052006016173</v>
      </c>
      <c r="I40" s="193">
        <f t="shared" si="10"/>
        <v>17949.443758629077</v>
      </c>
      <c r="J40" s="193">
        <f t="shared" si="10"/>
        <v>10039.240186194138</v>
      </c>
      <c r="K40" s="193">
        <f t="shared" si="10"/>
        <v>6166.5931796788363</v>
      </c>
      <c r="L40" s="193">
        <f t="shared" si="10"/>
        <v>4726.1040668757732</v>
      </c>
      <c r="M40" s="193">
        <f t="shared" si="10"/>
        <v>6083.9578027298858</v>
      </c>
      <c r="N40" s="193">
        <f t="shared" si="10"/>
        <v>6126.081150307451</v>
      </c>
      <c r="O40" s="200">
        <f t="shared" si="10"/>
        <v>5618.8124075412197</v>
      </c>
    </row>
    <row r="42" spans="2:15" ht="15.75" thickBot="1">
      <c r="B42" s="108" t="s">
        <v>136</v>
      </c>
      <c r="C42" s="109" t="str">
        <f>VLOOKUP(B42,NodeList!$D$4:$E$121,2,FALSE)</f>
        <v>Cooper</v>
      </c>
      <c r="D42" s="6"/>
      <c r="E42" s="6"/>
      <c r="F42" s="6"/>
      <c r="G42" s="6"/>
      <c r="H42" s="7"/>
      <c r="I42" s="7"/>
      <c r="J42" s="7"/>
      <c r="K42" s="7"/>
      <c r="L42" s="7"/>
      <c r="M42" s="7"/>
      <c r="N42" s="7"/>
      <c r="O42" s="7"/>
    </row>
    <row r="43" spans="2:15" ht="15">
      <c r="B43" s="9" t="s">
        <v>16</v>
      </c>
      <c r="C43" s="10"/>
      <c r="D43" s="11" t="s">
        <v>0</v>
      </c>
      <c r="E43" s="11" t="s">
        <v>1</v>
      </c>
      <c r="F43" s="11" t="s">
        <v>2</v>
      </c>
      <c r="G43" s="11" t="s">
        <v>3</v>
      </c>
      <c r="H43" s="11" t="s">
        <v>4</v>
      </c>
      <c r="I43" s="11" t="s">
        <v>5</v>
      </c>
      <c r="J43" s="11" t="s">
        <v>6</v>
      </c>
      <c r="K43" s="11" t="s">
        <v>7</v>
      </c>
      <c r="L43" s="11" t="s">
        <v>8</v>
      </c>
      <c r="M43" s="11" t="s">
        <v>9</v>
      </c>
      <c r="N43" s="11" t="s">
        <v>10</v>
      </c>
      <c r="O43" s="12" t="s">
        <v>11</v>
      </c>
    </row>
    <row r="44" spans="2:15" ht="14.25">
      <c r="B44" s="14" t="str">
        <f>+B42 &amp;" Node Inflow"</f>
        <v>Node 10.04 Node Inflow</v>
      </c>
      <c r="C44" s="13"/>
      <c r="D44" s="15">
        <f>+D40</f>
        <v>5388.071233917356</v>
      </c>
      <c r="E44" s="15">
        <f t="shared" ref="E44:O44" si="11">+E40</f>
        <v>4863.5999072231407</v>
      </c>
      <c r="F44" s="15">
        <f t="shared" si="11"/>
        <v>6777.0651309752056</v>
      </c>
      <c r="G44" s="15">
        <f t="shared" si="11"/>
        <v>8246.7778850413215</v>
      </c>
      <c r="H44" s="15">
        <f t="shared" si="11"/>
        <v>17857.052006016173</v>
      </c>
      <c r="I44" s="15">
        <f t="shared" si="11"/>
        <v>17949.443758629077</v>
      </c>
      <c r="J44" s="15">
        <f t="shared" si="11"/>
        <v>10039.240186194138</v>
      </c>
      <c r="K44" s="15">
        <f t="shared" si="11"/>
        <v>6166.5931796788363</v>
      </c>
      <c r="L44" s="15">
        <f t="shared" si="11"/>
        <v>4726.1040668757732</v>
      </c>
      <c r="M44" s="15">
        <f t="shared" si="11"/>
        <v>6083.9578027298858</v>
      </c>
      <c r="N44" s="15">
        <f t="shared" si="11"/>
        <v>6126.081150307451</v>
      </c>
      <c r="O44" s="16">
        <f t="shared" si="11"/>
        <v>5618.8124075412197</v>
      </c>
    </row>
    <row r="45" spans="2:15" ht="14.25">
      <c r="B45" s="14" t="str">
        <f>+B42 &amp;" Irrigation Returns"</f>
        <v>Node 10.04 Irrigation Returns</v>
      </c>
      <c r="C45" s="13"/>
      <c r="D45" s="54">
        <f>VLOOKUP(($B42),'Irrigation Returns'!$B$644:$P$930,4,FALSE)</f>
        <v>0</v>
      </c>
      <c r="E45" s="54">
        <f>VLOOKUP(($B42),'Irrigation Returns'!$B$644:$P$930,5,FALSE)</f>
        <v>0</v>
      </c>
      <c r="F45" s="54">
        <f>VLOOKUP(($B42),'Irrigation Returns'!$B$644:$P$930,6,FALSE)</f>
        <v>0</v>
      </c>
      <c r="G45" s="54">
        <f>VLOOKUP(($B42),'Irrigation Returns'!$B$644:$P$930,7,FALSE)</f>
        <v>0</v>
      </c>
      <c r="H45" s="54">
        <f>VLOOKUP(($B42),'Irrigation Returns'!$B$644:$P$930,8,FALSE)</f>
        <v>60.466363305785116</v>
      </c>
      <c r="I45" s="54">
        <f>VLOOKUP(($B42),'Irrigation Returns'!$B$644:$P$930,9,FALSE)</f>
        <v>154.52883636363637</v>
      </c>
      <c r="J45" s="54">
        <f>VLOOKUP(($B42),'Irrigation Returns'!$B$644:$P$930,10,FALSE)</f>
        <v>138.53431404958678</v>
      </c>
      <c r="K45" s="54">
        <f>VLOOKUP(($B42),'Irrigation Returns'!$B$644:$P$930,11,FALSE)</f>
        <v>73.412880991735534</v>
      </c>
      <c r="L45" s="54">
        <f>VLOOKUP(($B42),'Irrigation Returns'!$B$644:$P$930,12,FALSE)</f>
        <v>27.000797024793386</v>
      </c>
      <c r="M45" s="54">
        <f>VLOOKUP(($B42),'Irrigation Returns'!$B$644:$P$930,13,FALSE)</f>
        <v>5.7211851239669427</v>
      </c>
      <c r="N45" s="54">
        <f>VLOOKUP(($B42),'Irrigation Returns'!$B$644:$P$930,14,FALSE)</f>
        <v>0.86799008264462807</v>
      </c>
      <c r="O45" s="110">
        <f>VLOOKUP(($B42),'Irrigation Returns'!$B$644:$P$930,15,FALSE)</f>
        <v>0</v>
      </c>
    </row>
    <row r="46" spans="2:15" ht="14.25">
      <c r="B46" s="14" t="s">
        <v>328</v>
      </c>
      <c r="C46" s="13" t="s">
        <v>180</v>
      </c>
      <c r="D46" s="54">
        <f>VLOOKUP($B46,GainLoss!$B$5:$O$14,3,FALSE)</f>
        <v>0</v>
      </c>
      <c r="E46" s="54">
        <f>VLOOKUP($B46,GainLoss!$B$5:$O$14,4,FALSE)</f>
        <v>0</v>
      </c>
      <c r="F46" s="54">
        <f>VLOOKUP($B46,GainLoss!$B$5:$O$14,5,FALSE)</f>
        <v>0</v>
      </c>
      <c r="G46" s="54">
        <f>VLOOKUP($B46,GainLoss!$B$5:$O$14,6,FALSE)</f>
        <v>0</v>
      </c>
      <c r="H46" s="54">
        <f>VLOOKUP($B46,GainLoss!$B$5:$O$14,7,FALSE)</f>
        <v>0</v>
      </c>
      <c r="I46" s="54">
        <f>VLOOKUP($B46,GainLoss!$B$5:$O$14,8,FALSE)</f>
        <v>0</v>
      </c>
      <c r="J46" s="54">
        <f>VLOOKUP($B46,GainLoss!$B$5:$O$14,9,FALSE)</f>
        <v>0</v>
      </c>
      <c r="K46" s="54">
        <f>VLOOKUP($B46,GainLoss!$B$5:$O$14,10,FALSE)</f>
        <v>0</v>
      </c>
      <c r="L46" s="54">
        <f>VLOOKUP($B46,GainLoss!$B$5:$O$14,11,FALSE)</f>
        <v>0</v>
      </c>
      <c r="M46" s="54">
        <f>VLOOKUP($B46,GainLoss!$B$5:$O$14,12,FALSE)</f>
        <v>0</v>
      </c>
      <c r="N46" s="54">
        <f>VLOOKUP($B46,GainLoss!$B$5:$O$14,13,FALSE)</f>
        <v>0</v>
      </c>
      <c r="O46" s="110">
        <f>VLOOKUP($B46,GainLoss!$B$5:$O$14,14,FALSE)</f>
        <v>0</v>
      </c>
    </row>
    <row r="47" spans="2:15" ht="14.25">
      <c r="B47" s="14" t="str">
        <f>+B42 &amp;" Import/Export"</f>
        <v>Node 10.04 Import/Export</v>
      </c>
      <c r="C47" s="13"/>
      <c r="D47" s="190">
        <f>VLOOKUP($B42,ImportExport!$B$6:$O$68,3,FALSE)</f>
        <v>0</v>
      </c>
      <c r="E47" s="190">
        <f>VLOOKUP($B42,ImportExport!$B$6:$O$68,4,FALSE)</f>
        <v>0</v>
      </c>
      <c r="F47" s="190">
        <f>VLOOKUP($B42,ImportExport!$B$6:$O$68,5,FALSE)</f>
        <v>0</v>
      </c>
      <c r="G47" s="190">
        <f>VLOOKUP($B42,ImportExport!$B$6:$O$68,6,FALSE)</f>
        <v>0</v>
      </c>
      <c r="H47" s="190">
        <f>VLOOKUP($B42,ImportExport!$B$6:$O$68,7,FALSE)</f>
        <v>0</v>
      </c>
      <c r="I47" s="190">
        <f>VLOOKUP($B42,ImportExport!$B$6:$O$68,8,FALSE)</f>
        <v>0</v>
      </c>
      <c r="J47" s="190">
        <f>VLOOKUP($B42,ImportExport!$B$6:$O$68,9,FALSE)</f>
        <v>0</v>
      </c>
      <c r="K47" s="190">
        <f>VLOOKUP($B42,ImportExport!$B$6:$O$68,10,FALSE)</f>
        <v>0</v>
      </c>
      <c r="L47" s="190">
        <f>VLOOKUP($B42,ImportExport!$B$6:$O$68,11,FALSE)</f>
        <v>0</v>
      </c>
      <c r="M47" s="190">
        <f>VLOOKUP($B42,ImportExport!$B$6:$O$68,12,FALSE)</f>
        <v>0</v>
      </c>
      <c r="N47" s="190">
        <f>VLOOKUP($B42,ImportExport!$B$6:$O$68,13,FALSE)</f>
        <v>0</v>
      </c>
      <c r="O47" s="197">
        <f>VLOOKUP($B42,ImportExport!$B$6:$O$68,14,FALSE)</f>
        <v>0</v>
      </c>
    </row>
    <row r="48" spans="2:15" ht="15.75" thickBot="1">
      <c r="B48" s="18" t="str">
        <f>"Total "&amp; (B42)&amp;" Inflow"</f>
        <v>Total Node 10.04 Inflow</v>
      </c>
      <c r="C48" s="17"/>
      <c r="D48" s="25">
        <f t="shared" ref="D48:O48" si="12">SUM(D44:D47)</f>
        <v>5388.071233917356</v>
      </c>
      <c r="E48" s="25">
        <f t="shared" si="12"/>
        <v>4863.5999072231407</v>
      </c>
      <c r="F48" s="25">
        <f t="shared" si="12"/>
        <v>6777.0651309752056</v>
      </c>
      <c r="G48" s="25">
        <f t="shared" si="12"/>
        <v>8246.7778850413215</v>
      </c>
      <c r="H48" s="25">
        <f t="shared" si="12"/>
        <v>17917.518369321959</v>
      </c>
      <c r="I48" s="25">
        <f t="shared" si="12"/>
        <v>18103.972594992712</v>
      </c>
      <c r="J48" s="25">
        <f t="shared" si="12"/>
        <v>10177.774500243724</v>
      </c>
      <c r="K48" s="25">
        <f t="shared" si="12"/>
        <v>6240.006060670572</v>
      </c>
      <c r="L48" s="25">
        <f t="shared" si="12"/>
        <v>4753.1048639005667</v>
      </c>
      <c r="M48" s="25">
        <f t="shared" si="12"/>
        <v>6089.678987853853</v>
      </c>
      <c r="N48" s="25">
        <f t="shared" si="12"/>
        <v>6126.9491403900956</v>
      </c>
      <c r="O48" s="26">
        <f t="shared" si="12"/>
        <v>5618.8124075412197</v>
      </c>
    </row>
    <row r="49" spans="2:15" ht="15">
      <c r="B49" s="19" t="s">
        <v>17</v>
      </c>
      <c r="C49" s="20"/>
      <c r="D49" s="282" t="str">
        <f>IF(((VLOOKUP($B42,'Diversion Data'!$B$3:$O$227,3,FALSE))-D51)&gt;0,"Short","")</f>
        <v/>
      </c>
      <c r="E49" s="282" t="str">
        <f>IF(((VLOOKUP($B42,'Diversion Data'!$B$3:$O$227,4,FALSE))-E51)&gt;0,"Short","")</f>
        <v/>
      </c>
      <c r="F49" s="282" t="str">
        <f>IF(((VLOOKUP($B42,'Diversion Data'!$B$3:$O$227,5,FALSE))-F51)&gt;0,"Short","")</f>
        <v/>
      </c>
      <c r="G49" s="282" t="str">
        <f>IF(((VLOOKUP($B42,'Diversion Data'!$B$3:$O$227,6,FALSE))-G51)&gt;0,"Short","")</f>
        <v/>
      </c>
      <c r="H49" s="282" t="str">
        <f>IF(((VLOOKUP($B42,'Diversion Data'!$B$3:$O$227,7,FALSE))-H51)&gt;0,"Short","")</f>
        <v/>
      </c>
      <c r="I49" s="282" t="str">
        <f>IF(((VLOOKUP($B42,'Diversion Data'!$B$3:$O$227,8,FALSE))-I51)&gt;0,"Short","")</f>
        <v/>
      </c>
      <c r="J49" s="282" t="str">
        <f>IF(((VLOOKUP($B42,'Diversion Data'!$B$3:$O$227,9,FALSE))-J51)&gt;0,"Short","")</f>
        <v/>
      </c>
      <c r="K49" s="282" t="str">
        <f>IF(((VLOOKUP($B42,'Diversion Data'!$B$3:$O$227,10,FALSE))-K51)&gt;0,"Short","")</f>
        <v/>
      </c>
      <c r="L49" s="282" t="str">
        <f>IF(((VLOOKUP($B42,'Diversion Data'!$B$3:$O$227,11,FALSE))-L51)&gt;0,"Short","")</f>
        <v/>
      </c>
      <c r="M49" s="282" t="str">
        <f>IF(((VLOOKUP($B42,'Diversion Data'!$B$3:$O$227,12,FALSE))-M51)&gt;0,"Short","")</f>
        <v/>
      </c>
      <c r="N49" s="282" t="str">
        <f>IF(((VLOOKUP($B42,'Diversion Data'!$B$3:$O$227,13,FALSE))-N51)&gt;0,"Short","")</f>
        <v/>
      </c>
      <c r="O49" s="283" t="str">
        <f>IF(((VLOOKUP($B42,'Diversion Data'!$B$3:$O$227,14,FALSE))-O51)&gt;0,"Short","")</f>
        <v/>
      </c>
    </row>
    <row r="50" spans="2:15" ht="14.25">
      <c r="B50" s="14" t="s">
        <v>81</v>
      </c>
      <c r="C50" s="13" t="s">
        <v>181</v>
      </c>
      <c r="D50" s="171">
        <f>VLOOKUP($B50,GainLoss!$B$19:$O$27,3,FALSE)</f>
        <v>0</v>
      </c>
      <c r="E50" s="171">
        <f>VLOOKUP($B50,GainLoss!$B$19:$O$27,4,FALSE)</f>
        <v>0</v>
      </c>
      <c r="F50" s="171">
        <f>VLOOKUP($B50,GainLoss!$B$19:$O$27,5,FALSE)</f>
        <v>0</v>
      </c>
      <c r="G50" s="171">
        <f>VLOOKUP($B50,GainLoss!$B$19:$O$27,6,FALSE)</f>
        <v>0</v>
      </c>
      <c r="H50" s="171">
        <f>VLOOKUP($B50,GainLoss!$B$19:$O$27,7,FALSE)</f>
        <v>0</v>
      </c>
      <c r="I50" s="171">
        <f>VLOOKUP($B50,GainLoss!$B$19:$O$27,8,FALSE)</f>
        <v>0</v>
      </c>
      <c r="J50" s="171">
        <f>VLOOKUP($B50,GainLoss!$B$19:$O$27,9,FALSE)</f>
        <v>0</v>
      </c>
      <c r="K50" s="171">
        <f>VLOOKUP($B50,GainLoss!$B$19:$O$27,10,FALSE)</f>
        <v>0</v>
      </c>
      <c r="L50" s="171">
        <f>VLOOKUP($B50,GainLoss!$B$19:$O$27,11,FALSE)</f>
        <v>0</v>
      </c>
      <c r="M50" s="171">
        <f>VLOOKUP($B50,GainLoss!$B$19:$O$27,12,FALSE)</f>
        <v>0</v>
      </c>
      <c r="N50" s="171">
        <f>VLOOKUP($B50,GainLoss!$B$19:$O$27,13,FALSE)</f>
        <v>0</v>
      </c>
      <c r="O50" s="198">
        <f>VLOOKUP($B50,GainLoss!$B$19:$O$27,14,FALSE)</f>
        <v>0</v>
      </c>
    </row>
    <row r="51" spans="2:15" ht="14.25">
      <c r="B51" s="14" t="str">
        <f>+B42 &amp;" Diversions"</f>
        <v>Node 10.04 Diversions</v>
      </c>
      <c r="C51" s="13"/>
      <c r="D51" s="54">
        <f>MIN(VLOOKUP($B42,'Diversion Data'!$B$3:$O$227,3,FALSE),(D48-D50))</f>
        <v>0</v>
      </c>
      <c r="E51" s="54">
        <f>MIN(VLOOKUP($B42,'Diversion Data'!$B$3:$O$227,4,FALSE),(E48-E50))</f>
        <v>0</v>
      </c>
      <c r="F51" s="54">
        <f>MIN(VLOOKUP($B42,'Diversion Data'!$B$3:$O$227,5,FALSE),(F48-F50))</f>
        <v>0</v>
      </c>
      <c r="G51" s="54">
        <f>MIN(VLOOKUP($B42,'Diversion Data'!$B$3:$O$227,6,FALSE),(G48-G50))</f>
        <v>0</v>
      </c>
      <c r="H51" s="54">
        <f>MIN(VLOOKUP($B42,'Diversion Data'!$B$3:$O$227,7,FALSE),(H48-H50))</f>
        <v>278.47495867768595</v>
      </c>
      <c r="I51" s="54">
        <f>MIN(VLOOKUP($B42,'Diversion Data'!$B$3:$O$227,8,FALSE),(I48-I50))</f>
        <v>351.79234504132233</v>
      </c>
      <c r="J51" s="54">
        <f>MIN(VLOOKUP($B42,'Diversion Data'!$B$3:$O$227,9,FALSE),(J48-J50))</f>
        <v>87.380578512396681</v>
      </c>
      <c r="K51" s="54">
        <f>MIN(VLOOKUP($B42,'Diversion Data'!$B$3:$O$227,10,FALSE),(K48-K50))</f>
        <v>16.762200413223141</v>
      </c>
      <c r="L51" s="54">
        <f>MIN(VLOOKUP($B42,'Diversion Data'!$B$3:$O$227,11,FALSE),(L48-L50))</f>
        <v>0</v>
      </c>
      <c r="M51" s="54">
        <f>MIN(VLOOKUP($B42,'Diversion Data'!$B$3:$O$227,12,FALSE),(M48-M50))</f>
        <v>0</v>
      </c>
      <c r="N51" s="54">
        <f>MIN(VLOOKUP($B42,'Diversion Data'!$B$3:$O$227,13,FALSE),(N48-N50))</f>
        <v>0</v>
      </c>
      <c r="O51" s="110">
        <f>MIN(VLOOKUP($B42,'Diversion Data'!$B$3:$O$227,14,FALSE),(O48-O50))</f>
        <v>0</v>
      </c>
    </row>
    <row r="52" spans="2:15" ht="15.75" thickBot="1">
      <c r="B52" s="24" t="str">
        <f>"Total " &amp; (B42) &amp;" Outflow"</f>
        <v>Total Node 10.04 Outflow</v>
      </c>
      <c r="C52" s="23"/>
      <c r="D52" s="27">
        <f t="shared" ref="D52:O52" si="13">SUM(D50:D51)</f>
        <v>0</v>
      </c>
      <c r="E52" s="27">
        <f t="shared" si="13"/>
        <v>0</v>
      </c>
      <c r="F52" s="27">
        <f t="shared" si="13"/>
        <v>0</v>
      </c>
      <c r="G52" s="27">
        <f t="shared" si="13"/>
        <v>0</v>
      </c>
      <c r="H52" s="27">
        <f t="shared" si="13"/>
        <v>278.47495867768595</v>
      </c>
      <c r="I52" s="27">
        <f t="shared" si="13"/>
        <v>351.79234504132233</v>
      </c>
      <c r="J52" s="27">
        <f t="shared" si="13"/>
        <v>87.380578512396681</v>
      </c>
      <c r="K52" s="27">
        <f t="shared" si="13"/>
        <v>16.762200413223141</v>
      </c>
      <c r="L52" s="27">
        <f t="shared" si="13"/>
        <v>0</v>
      </c>
      <c r="M52" s="27">
        <f t="shared" si="13"/>
        <v>0</v>
      </c>
      <c r="N52" s="27">
        <f t="shared" si="13"/>
        <v>0</v>
      </c>
      <c r="O52" s="28">
        <f t="shared" si="13"/>
        <v>0</v>
      </c>
    </row>
    <row r="53" spans="2:15" ht="15.75" thickBot="1">
      <c r="B53" s="24" t="str">
        <f>(B42)&amp;" NET Flow (In - Out)"</f>
        <v>Node 10.04 NET Flow (In - Out)</v>
      </c>
      <c r="C53" s="23"/>
      <c r="D53" s="193">
        <f t="shared" ref="D53:O53" si="14">MAX(D48-D52,0)</f>
        <v>5388.071233917356</v>
      </c>
      <c r="E53" s="193">
        <f t="shared" si="14"/>
        <v>4863.5999072231407</v>
      </c>
      <c r="F53" s="193">
        <f t="shared" si="14"/>
        <v>6777.0651309752056</v>
      </c>
      <c r="G53" s="193">
        <f t="shared" si="14"/>
        <v>8246.7778850413215</v>
      </c>
      <c r="H53" s="193">
        <f t="shared" si="14"/>
        <v>17639.043410644274</v>
      </c>
      <c r="I53" s="193">
        <f t="shared" si="14"/>
        <v>17752.180249951391</v>
      </c>
      <c r="J53" s="193">
        <f t="shared" si="14"/>
        <v>10090.393921731327</v>
      </c>
      <c r="K53" s="193">
        <f t="shared" si="14"/>
        <v>6223.2438602573484</v>
      </c>
      <c r="L53" s="193">
        <f t="shared" si="14"/>
        <v>4753.1048639005667</v>
      </c>
      <c r="M53" s="193">
        <f t="shared" si="14"/>
        <v>6089.678987853853</v>
      </c>
      <c r="N53" s="193">
        <f t="shared" si="14"/>
        <v>6126.9491403900956</v>
      </c>
      <c r="O53" s="200">
        <f t="shared" si="14"/>
        <v>5618.8124075412197</v>
      </c>
    </row>
    <row r="55" spans="2:15" ht="15.75" thickBot="1">
      <c r="B55" s="108" t="s">
        <v>137</v>
      </c>
      <c r="C55" s="109" t="str">
        <f>VLOOKUP(B55,NodeList!$D$4:$E$121,2,FALSE)</f>
        <v>Covey</v>
      </c>
      <c r="D55" s="6"/>
      <c r="E55" s="6"/>
      <c r="F55" s="6"/>
      <c r="G55" s="6"/>
      <c r="H55" s="7"/>
      <c r="I55" s="7"/>
      <c r="J55" s="7"/>
      <c r="K55" s="7"/>
      <c r="L55" s="7"/>
      <c r="M55" s="7"/>
      <c r="N55" s="7"/>
      <c r="O55" s="7"/>
    </row>
    <row r="56" spans="2:15" ht="15">
      <c r="B56" s="9" t="s">
        <v>16</v>
      </c>
      <c r="C56" s="10"/>
      <c r="D56" s="11" t="s">
        <v>0</v>
      </c>
      <c r="E56" s="11" t="s">
        <v>1</v>
      </c>
      <c r="F56" s="11" t="s">
        <v>2</v>
      </c>
      <c r="G56" s="11" t="s">
        <v>3</v>
      </c>
      <c r="H56" s="11" t="s">
        <v>4</v>
      </c>
      <c r="I56" s="11" t="s">
        <v>5</v>
      </c>
      <c r="J56" s="11" t="s">
        <v>6</v>
      </c>
      <c r="K56" s="11" t="s">
        <v>7</v>
      </c>
      <c r="L56" s="11" t="s">
        <v>8</v>
      </c>
      <c r="M56" s="11" t="s">
        <v>9</v>
      </c>
      <c r="N56" s="11" t="s">
        <v>10</v>
      </c>
      <c r="O56" s="12" t="s">
        <v>11</v>
      </c>
    </row>
    <row r="57" spans="2:15" ht="14.25">
      <c r="B57" s="14" t="str">
        <f>+B55 &amp;" Node Inflow"</f>
        <v>Node 10.05 Node Inflow</v>
      </c>
      <c r="C57" s="13"/>
      <c r="D57" s="15">
        <f>+D53</f>
        <v>5388.071233917356</v>
      </c>
      <c r="E57" s="15">
        <f t="shared" ref="E57:O57" si="15">+E53</f>
        <v>4863.5999072231407</v>
      </c>
      <c r="F57" s="15">
        <f t="shared" si="15"/>
        <v>6777.0651309752056</v>
      </c>
      <c r="G57" s="15">
        <f t="shared" si="15"/>
        <v>8246.7778850413215</v>
      </c>
      <c r="H57" s="15">
        <f t="shared" si="15"/>
        <v>17639.043410644274</v>
      </c>
      <c r="I57" s="15">
        <f t="shared" si="15"/>
        <v>17752.180249951391</v>
      </c>
      <c r="J57" s="15">
        <f t="shared" si="15"/>
        <v>10090.393921731327</v>
      </c>
      <c r="K57" s="15">
        <f t="shared" si="15"/>
        <v>6223.2438602573484</v>
      </c>
      <c r="L57" s="15">
        <f t="shared" si="15"/>
        <v>4753.1048639005667</v>
      </c>
      <c r="M57" s="15">
        <f t="shared" si="15"/>
        <v>6089.678987853853</v>
      </c>
      <c r="N57" s="15">
        <f t="shared" si="15"/>
        <v>6126.9491403900956</v>
      </c>
      <c r="O57" s="16">
        <f t="shared" si="15"/>
        <v>5618.8124075412197</v>
      </c>
    </row>
    <row r="58" spans="2:15" ht="14.25">
      <c r="B58" s="14" t="str">
        <f>+B55 &amp;" Irrigation Returns"</f>
        <v>Node 10.05 Irrigation Returns</v>
      </c>
      <c r="C58" s="13"/>
      <c r="D58" s="54">
        <f>VLOOKUP(($B55),'Irrigation Returns'!$B$644:$P$930,4,FALSE)</f>
        <v>0</v>
      </c>
      <c r="E58" s="54">
        <f>VLOOKUP(($B55),'Irrigation Returns'!$B$644:$P$930,5,FALSE)</f>
        <v>0</v>
      </c>
      <c r="F58" s="54">
        <f>VLOOKUP(($B55),'Irrigation Returns'!$B$644:$P$930,6,FALSE)</f>
        <v>0</v>
      </c>
      <c r="G58" s="54">
        <f>VLOOKUP(($B55),'Irrigation Returns'!$B$644:$P$930,7,FALSE)</f>
        <v>0</v>
      </c>
      <c r="H58" s="54">
        <f>VLOOKUP(($B55),'Irrigation Returns'!$B$644:$P$930,8,FALSE)</f>
        <v>185.22314479338843</v>
      </c>
      <c r="I58" s="54">
        <f>VLOOKUP(($B55),'Irrigation Returns'!$B$644:$P$930,9,FALSE)</f>
        <v>347.77660165289257</v>
      </c>
      <c r="J58" s="54">
        <f>VLOOKUP(($B55),'Irrigation Returns'!$B$644:$P$930,10,FALSE)</f>
        <v>240.53263074380163</v>
      </c>
      <c r="K58" s="54">
        <f>VLOOKUP(($B55),'Irrigation Returns'!$B$644:$P$930,11,FALSE)</f>
        <v>114.62177090909091</v>
      </c>
      <c r="L58" s="54">
        <f>VLOOKUP(($B55),'Irrigation Returns'!$B$644:$P$930,12,FALSE)</f>
        <v>34.738715702479332</v>
      </c>
      <c r="M58" s="54">
        <f>VLOOKUP(($B55),'Irrigation Returns'!$B$644:$P$930,13,FALSE)</f>
        <v>6.7939659504132237</v>
      </c>
      <c r="N58" s="54">
        <f>VLOOKUP(($B55),'Irrigation Returns'!$B$644:$P$930,14,FALSE)</f>
        <v>0.86799008264462807</v>
      </c>
      <c r="O58" s="110">
        <f>VLOOKUP(($B55),'Irrigation Returns'!$B$644:$P$930,15,FALSE)</f>
        <v>0</v>
      </c>
    </row>
    <row r="59" spans="2:15" ht="14.25">
      <c r="B59" s="14" t="s">
        <v>328</v>
      </c>
      <c r="C59" s="13" t="s">
        <v>180</v>
      </c>
      <c r="D59" s="54">
        <f>VLOOKUP($B59,GainLoss!$B$5:$O$14,3,FALSE)</f>
        <v>0</v>
      </c>
      <c r="E59" s="54">
        <f>VLOOKUP($B59,GainLoss!$B$5:$O$14,4,FALSE)</f>
        <v>0</v>
      </c>
      <c r="F59" s="54">
        <f>VLOOKUP($B59,GainLoss!$B$5:$O$14,5,FALSE)</f>
        <v>0</v>
      </c>
      <c r="G59" s="54">
        <f>VLOOKUP($B59,GainLoss!$B$5:$O$14,6,FALSE)</f>
        <v>0</v>
      </c>
      <c r="H59" s="54">
        <f>VLOOKUP($B59,GainLoss!$B$5:$O$14,7,FALSE)</f>
        <v>0</v>
      </c>
      <c r="I59" s="54">
        <f>VLOOKUP($B59,GainLoss!$B$5:$O$14,8,FALSE)</f>
        <v>0</v>
      </c>
      <c r="J59" s="54">
        <f>VLOOKUP($B59,GainLoss!$B$5:$O$14,9,FALSE)</f>
        <v>0</v>
      </c>
      <c r="K59" s="54">
        <f>VLOOKUP($B59,GainLoss!$B$5:$O$14,10,FALSE)</f>
        <v>0</v>
      </c>
      <c r="L59" s="54">
        <f>VLOOKUP($B59,GainLoss!$B$5:$O$14,11,FALSE)</f>
        <v>0</v>
      </c>
      <c r="M59" s="54">
        <f>VLOOKUP($B59,GainLoss!$B$5:$O$14,12,FALSE)</f>
        <v>0</v>
      </c>
      <c r="N59" s="54">
        <f>VLOOKUP($B59,GainLoss!$B$5:$O$14,13,FALSE)</f>
        <v>0</v>
      </c>
      <c r="O59" s="110">
        <f>VLOOKUP($B59,GainLoss!$B$5:$O$14,14,FALSE)</f>
        <v>0</v>
      </c>
    </row>
    <row r="60" spans="2:15" ht="14.25">
      <c r="B60" s="14" t="str">
        <f>+B55 &amp;" Import/Export"</f>
        <v>Node 10.05 Import/Export</v>
      </c>
      <c r="C60" s="13"/>
      <c r="D60" s="190">
        <f>VLOOKUP($B55,ImportExport!$B$6:$O$68,3,FALSE)</f>
        <v>0</v>
      </c>
      <c r="E60" s="190">
        <f>VLOOKUP($B55,ImportExport!$B$6:$O$68,4,FALSE)</f>
        <v>0</v>
      </c>
      <c r="F60" s="190">
        <f>VLOOKUP($B55,ImportExport!$B$6:$O$68,5,FALSE)</f>
        <v>0</v>
      </c>
      <c r="G60" s="190">
        <f>VLOOKUP($B55,ImportExport!$B$6:$O$68,6,FALSE)</f>
        <v>0</v>
      </c>
      <c r="H60" s="190">
        <f>VLOOKUP($B55,ImportExport!$B$6:$O$68,7,FALSE)</f>
        <v>0</v>
      </c>
      <c r="I60" s="190">
        <f>VLOOKUP($B55,ImportExport!$B$6:$O$68,8,FALSE)</f>
        <v>0</v>
      </c>
      <c r="J60" s="190">
        <f>VLOOKUP($B55,ImportExport!$B$6:$O$68,9,FALSE)</f>
        <v>0</v>
      </c>
      <c r="K60" s="190">
        <f>VLOOKUP($B55,ImportExport!$B$6:$O$68,10,FALSE)</f>
        <v>0</v>
      </c>
      <c r="L60" s="190">
        <f>VLOOKUP($B55,ImportExport!$B$6:$O$68,11,FALSE)</f>
        <v>0</v>
      </c>
      <c r="M60" s="190">
        <f>VLOOKUP($B55,ImportExport!$B$6:$O$68,12,FALSE)</f>
        <v>0</v>
      </c>
      <c r="N60" s="190">
        <f>VLOOKUP($B55,ImportExport!$B$6:$O$68,13,FALSE)</f>
        <v>0</v>
      </c>
      <c r="O60" s="197">
        <f>VLOOKUP($B55,ImportExport!$B$6:$O$68,14,FALSE)</f>
        <v>0</v>
      </c>
    </row>
    <row r="61" spans="2:15" ht="15.75" thickBot="1">
      <c r="B61" s="18" t="str">
        <f>"Total "&amp; (B55)&amp;" Inflow"</f>
        <v>Total Node 10.05 Inflow</v>
      </c>
      <c r="C61" s="17"/>
      <c r="D61" s="25">
        <f t="shared" ref="D61:O61" si="16">SUM(D57:D60)</f>
        <v>5388.071233917356</v>
      </c>
      <c r="E61" s="25">
        <f t="shared" si="16"/>
        <v>4863.5999072231407</v>
      </c>
      <c r="F61" s="25">
        <f t="shared" si="16"/>
        <v>6777.0651309752056</v>
      </c>
      <c r="G61" s="25">
        <f t="shared" si="16"/>
        <v>8246.7778850413215</v>
      </c>
      <c r="H61" s="25">
        <f t="shared" si="16"/>
        <v>17824.266555437662</v>
      </c>
      <c r="I61" s="25">
        <f t="shared" si="16"/>
        <v>18099.956851604282</v>
      </c>
      <c r="J61" s="25">
        <f t="shared" si="16"/>
        <v>10330.926552475128</v>
      </c>
      <c r="K61" s="25">
        <f t="shared" si="16"/>
        <v>6337.865631166439</v>
      </c>
      <c r="L61" s="25">
        <f t="shared" si="16"/>
        <v>4787.8435796030462</v>
      </c>
      <c r="M61" s="25">
        <f t="shared" si="16"/>
        <v>6096.4729538042666</v>
      </c>
      <c r="N61" s="25">
        <f t="shared" si="16"/>
        <v>6127.8171304727402</v>
      </c>
      <c r="O61" s="26">
        <f t="shared" si="16"/>
        <v>5618.8124075412197</v>
      </c>
    </row>
    <row r="62" spans="2:15" ht="15">
      <c r="B62" s="19" t="s">
        <v>17</v>
      </c>
      <c r="C62" s="20"/>
      <c r="D62" s="282" t="str">
        <f>IF(((VLOOKUP($B55,'Diversion Data'!$B$3:$O$227,3,FALSE))-D64)&gt;0,"Short","")</f>
        <v/>
      </c>
      <c r="E62" s="282" t="str">
        <f>IF(((VLOOKUP($B55,'Diversion Data'!$B$3:$O$227,4,FALSE))-E64)&gt;0,"Short","")</f>
        <v/>
      </c>
      <c r="F62" s="282" t="str">
        <f>IF(((VLOOKUP($B55,'Diversion Data'!$B$3:$O$227,5,FALSE))-F64)&gt;0,"Short","")</f>
        <v/>
      </c>
      <c r="G62" s="282" t="str">
        <f>IF(((VLOOKUP($B55,'Diversion Data'!$B$3:$O$227,6,FALSE))-G64)&gt;0,"Short","")</f>
        <v/>
      </c>
      <c r="H62" s="282" t="str">
        <f>IF(((VLOOKUP($B55,'Diversion Data'!$B$3:$O$227,7,FALSE))-H64)&gt;0,"Short","")</f>
        <v/>
      </c>
      <c r="I62" s="282" t="str">
        <f>IF(((VLOOKUP($B55,'Diversion Data'!$B$3:$O$227,8,FALSE))-I64)&gt;0,"Short","")</f>
        <v/>
      </c>
      <c r="J62" s="282" t="str">
        <f>IF(((VLOOKUP($B55,'Diversion Data'!$B$3:$O$227,9,FALSE))-J64)&gt;0,"Short","")</f>
        <v/>
      </c>
      <c r="K62" s="282" t="str">
        <f>IF(((VLOOKUP($B55,'Diversion Data'!$B$3:$O$227,10,FALSE))-K64)&gt;0,"Short","")</f>
        <v/>
      </c>
      <c r="L62" s="282" t="str">
        <f>IF(((VLOOKUP($B55,'Diversion Data'!$B$3:$O$227,11,FALSE))-L64)&gt;0,"Short","")</f>
        <v/>
      </c>
      <c r="M62" s="282" t="str">
        <f>IF(((VLOOKUP($B55,'Diversion Data'!$B$3:$O$227,12,FALSE))-M64)&gt;0,"Short","")</f>
        <v/>
      </c>
      <c r="N62" s="282" t="str">
        <f>IF(((VLOOKUP($B55,'Diversion Data'!$B$3:$O$227,13,FALSE))-N64)&gt;0,"Short","")</f>
        <v/>
      </c>
      <c r="O62" s="283" t="str">
        <f>IF(((VLOOKUP($B55,'Diversion Data'!$B$3:$O$227,14,FALSE))-O64)&gt;0,"Short","")</f>
        <v/>
      </c>
    </row>
    <row r="63" spans="2:15" ht="14.25">
      <c r="B63" s="14" t="s">
        <v>81</v>
      </c>
      <c r="C63" s="13" t="s">
        <v>181</v>
      </c>
      <c r="D63" s="171">
        <f>VLOOKUP($B63,GainLoss!$B$19:$O$27,3,FALSE)</f>
        <v>0</v>
      </c>
      <c r="E63" s="171">
        <f>VLOOKUP($B63,GainLoss!$B$19:$O$27,4,FALSE)</f>
        <v>0</v>
      </c>
      <c r="F63" s="171">
        <f>VLOOKUP($B63,GainLoss!$B$19:$O$27,5,FALSE)</f>
        <v>0</v>
      </c>
      <c r="G63" s="171">
        <f>VLOOKUP($B63,GainLoss!$B$19:$O$27,6,FALSE)</f>
        <v>0</v>
      </c>
      <c r="H63" s="171">
        <f>VLOOKUP($B63,GainLoss!$B$19:$O$27,7,FALSE)</f>
        <v>0</v>
      </c>
      <c r="I63" s="171">
        <f>VLOOKUP($B63,GainLoss!$B$19:$O$27,8,FALSE)</f>
        <v>0</v>
      </c>
      <c r="J63" s="171">
        <f>VLOOKUP($B63,GainLoss!$B$19:$O$27,9,FALSE)</f>
        <v>0</v>
      </c>
      <c r="K63" s="171">
        <f>VLOOKUP($B63,GainLoss!$B$19:$O$27,10,FALSE)</f>
        <v>0</v>
      </c>
      <c r="L63" s="171">
        <f>VLOOKUP($B63,GainLoss!$B$19:$O$27,11,FALSE)</f>
        <v>0</v>
      </c>
      <c r="M63" s="171">
        <f>VLOOKUP($B63,GainLoss!$B$19:$O$27,12,FALSE)</f>
        <v>0</v>
      </c>
      <c r="N63" s="171">
        <f>VLOOKUP($B63,GainLoss!$B$19:$O$27,13,FALSE)</f>
        <v>0</v>
      </c>
      <c r="O63" s="198">
        <f>VLOOKUP($B63,GainLoss!$B$19:$O$27,14,FALSE)</f>
        <v>0</v>
      </c>
    </row>
    <row r="64" spans="2:15" ht="14.25">
      <c r="B64" s="14" t="str">
        <f>+B55 &amp;" Diversions"</f>
        <v>Node 10.05 Diversions</v>
      </c>
      <c r="C64" s="13"/>
      <c r="D64" s="54">
        <f>MIN(VLOOKUP($B55,'Diversion Data'!$B$3:$O$227,3,FALSE),(D61-D63))</f>
        <v>0</v>
      </c>
      <c r="E64" s="54">
        <f>MIN(VLOOKUP($B55,'Diversion Data'!$B$3:$O$227,4,FALSE),(E61-E63))</f>
        <v>0</v>
      </c>
      <c r="F64" s="54">
        <f>MIN(VLOOKUP($B55,'Diversion Data'!$B$3:$O$227,5,FALSE),(F61-F63))</f>
        <v>0</v>
      </c>
      <c r="G64" s="54">
        <f>MIN(VLOOKUP($B55,'Diversion Data'!$B$3:$O$227,6,FALSE),(G61-G63))</f>
        <v>0</v>
      </c>
      <c r="H64" s="54">
        <f>MIN(VLOOKUP($B55,'Diversion Data'!$B$3:$O$227,7,FALSE),(H61-H63))</f>
        <v>2110.5698760330579</v>
      </c>
      <c r="I64" s="54">
        <f>MIN(VLOOKUP($B55,'Diversion Data'!$B$3:$O$227,8,FALSE),(I61-I63))</f>
        <v>2902.3072830578512</v>
      </c>
      <c r="J64" s="54">
        <f>MIN(VLOOKUP($B55,'Diversion Data'!$B$3:$O$227,9,FALSE),(J61-J63))</f>
        <v>1469.1835433884298</v>
      </c>
      <c r="K64" s="54">
        <f>MIN(VLOOKUP($B55,'Diversion Data'!$B$3:$O$227,10,FALSE),(K61-K63))</f>
        <v>590.62847107438017</v>
      </c>
      <c r="L64" s="54">
        <f>MIN(VLOOKUP($B55,'Diversion Data'!$B$3:$O$227,11,FALSE),(L61-L63))</f>
        <v>300.00727272727278</v>
      </c>
      <c r="M64" s="54">
        <f>MIN(VLOOKUP($B55,'Diversion Data'!$B$3:$O$227,12,FALSE),(M61-M63))</f>
        <v>0</v>
      </c>
      <c r="N64" s="54">
        <f>MIN(VLOOKUP($B55,'Diversion Data'!$B$3:$O$227,13,FALSE),(N61-N63))</f>
        <v>0</v>
      </c>
      <c r="O64" s="110">
        <f>MIN(VLOOKUP($B55,'Diversion Data'!$B$3:$O$227,14,FALSE),(O61-O63))</f>
        <v>0</v>
      </c>
    </row>
    <row r="65" spans="2:15" ht="15.75" thickBot="1">
      <c r="B65" s="24" t="str">
        <f>"Total " &amp; (B55) &amp;" Outflow"</f>
        <v>Total Node 10.05 Outflow</v>
      </c>
      <c r="C65" s="23"/>
      <c r="D65" s="27">
        <f t="shared" ref="D65:O65" si="17">SUM(D63:D64)</f>
        <v>0</v>
      </c>
      <c r="E65" s="27">
        <f t="shared" si="17"/>
        <v>0</v>
      </c>
      <c r="F65" s="27">
        <f t="shared" si="17"/>
        <v>0</v>
      </c>
      <c r="G65" s="27">
        <f t="shared" si="17"/>
        <v>0</v>
      </c>
      <c r="H65" s="27">
        <f t="shared" si="17"/>
        <v>2110.5698760330579</v>
      </c>
      <c r="I65" s="27">
        <f t="shared" si="17"/>
        <v>2902.3072830578512</v>
      </c>
      <c r="J65" s="27">
        <f t="shared" si="17"/>
        <v>1469.1835433884298</v>
      </c>
      <c r="K65" s="27">
        <f t="shared" si="17"/>
        <v>590.62847107438017</v>
      </c>
      <c r="L65" s="27">
        <f t="shared" si="17"/>
        <v>300.00727272727278</v>
      </c>
      <c r="M65" s="27">
        <f t="shared" si="17"/>
        <v>0</v>
      </c>
      <c r="N65" s="27">
        <f t="shared" si="17"/>
        <v>0</v>
      </c>
      <c r="O65" s="28">
        <f t="shared" si="17"/>
        <v>0</v>
      </c>
    </row>
    <row r="66" spans="2:15" ht="15.75" thickBot="1">
      <c r="B66" s="24" t="str">
        <f>(B55)&amp;" NET Flow (In - Out)"</f>
        <v>Node 10.05 NET Flow (In - Out)</v>
      </c>
      <c r="C66" s="23"/>
      <c r="D66" s="193">
        <f t="shared" ref="D66:O66" si="18">MAX(D61-D65,0)</f>
        <v>5388.071233917356</v>
      </c>
      <c r="E66" s="193">
        <f t="shared" si="18"/>
        <v>4863.5999072231407</v>
      </c>
      <c r="F66" s="193">
        <f t="shared" si="18"/>
        <v>6777.0651309752056</v>
      </c>
      <c r="G66" s="193">
        <f t="shared" si="18"/>
        <v>8246.7778850413215</v>
      </c>
      <c r="H66" s="193">
        <f t="shared" si="18"/>
        <v>15713.696679404604</v>
      </c>
      <c r="I66" s="193">
        <f t="shared" si="18"/>
        <v>15197.649568546431</v>
      </c>
      <c r="J66" s="193">
        <f t="shared" si="18"/>
        <v>8861.7430090866983</v>
      </c>
      <c r="K66" s="193">
        <f t="shared" si="18"/>
        <v>5747.2371600920587</v>
      </c>
      <c r="L66" s="193">
        <f t="shared" si="18"/>
        <v>4487.8363068757735</v>
      </c>
      <c r="M66" s="193">
        <f t="shared" si="18"/>
        <v>6096.4729538042666</v>
      </c>
      <c r="N66" s="193">
        <f t="shared" si="18"/>
        <v>6127.8171304727402</v>
      </c>
      <c r="O66" s="200">
        <f t="shared" si="18"/>
        <v>5618.8124075412197</v>
      </c>
    </row>
    <row r="68" spans="2:15" ht="15.75" thickBot="1">
      <c r="B68" s="108" t="s">
        <v>157</v>
      </c>
      <c r="C68" s="109" t="str">
        <f>VLOOKUP(B68,NodeList!$D$4:$E$121,2,FALSE)</f>
        <v>VH Canal</v>
      </c>
      <c r="D68" s="6"/>
      <c r="E68" s="6"/>
      <c r="F68" s="6"/>
      <c r="G68" s="6"/>
      <c r="H68" s="7"/>
      <c r="I68" s="7"/>
      <c r="J68" s="7"/>
      <c r="K68" s="7"/>
      <c r="L68" s="7"/>
      <c r="M68" s="7"/>
      <c r="N68" s="7"/>
      <c r="O68" s="7"/>
    </row>
    <row r="69" spans="2:15" ht="15">
      <c r="B69" s="9" t="s">
        <v>16</v>
      </c>
      <c r="C69" s="10"/>
      <c r="D69" s="11" t="s">
        <v>0</v>
      </c>
      <c r="E69" s="11" t="s">
        <v>1</v>
      </c>
      <c r="F69" s="11" t="s">
        <v>2</v>
      </c>
      <c r="G69" s="11" t="s">
        <v>3</v>
      </c>
      <c r="H69" s="11" t="s">
        <v>4</v>
      </c>
      <c r="I69" s="11" t="s">
        <v>5</v>
      </c>
      <c r="J69" s="11" t="s">
        <v>6</v>
      </c>
      <c r="K69" s="11" t="s">
        <v>7</v>
      </c>
      <c r="L69" s="11" t="s">
        <v>8</v>
      </c>
      <c r="M69" s="11" t="s">
        <v>9</v>
      </c>
      <c r="N69" s="11" t="s">
        <v>10</v>
      </c>
      <c r="O69" s="12" t="s">
        <v>11</v>
      </c>
    </row>
    <row r="70" spans="2:15" ht="14.25">
      <c r="B70" s="14" t="str">
        <f>+B68 &amp;" Node Inflow"</f>
        <v>Node 10.06 Node Inflow</v>
      </c>
      <c r="C70" s="13"/>
      <c r="D70" s="15">
        <f>+D66</f>
        <v>5388.071233917356</v>
      </c>
      <c r="E70" s="15">
        <f t="shared" ref="E70:O70" si="19">+E66</f>
        <v>4863.5999072231407</v>
      </c>
      <c r="F70" s="15">
        <f t="shared" si="19"/>
        <v>6777.0651309752056</v>
      </c>
      <c r="G70" s="15">
        <f t="shared" si="19"/>
        <v>8246.7778850413215</v>
      </c>
      <c r="H70" s="15">
        <f t="shared" si="19"/>
        <v>15713.696679404604</v>
      </c>
      <c r="I70" s="15">
        <f t="shared" si="19"/>
        <v>15197.649568546431</v>
      </c>
      <c r="J70" s="15">
        <f t="shared" si="19"/>
        <v>8861.7430090866983</v>
      </c>
      <c r="K70" s="15">
        <f t="shared" si="19"/>
        <v>5747.2371600920587</v>
      </c>
      <c r="L70" s="15">
        <f t="shared" si="19"/>
        <v>4487.8363068757735</v>
      </c>
      <c r="M70" s="15">
        <f t="shared" si="19"/>
        <v>6096.4729538042666</v>
      </c>
      <c r="N70" s="15">
        <f t="shared" si="19"/>
        <v>6127.8171304727402</v>
      </c>
      <c r="O70" s="16">
        <f t="shared" si="19"/>
        <v>5618.8124075412197</v>
      </c>
    </row>
    <row r="71" spans="2:15" ht="14.25">
      <c r="B71" s="14" t="str">
        <f>+B68 &amp;" Irrigation Returns"</f>
        <v>Node 10.06 Irrigation Returns</v>
      </c>
      <c r="C71" s="13"/>
      <c r="D71" s="54">
        <f>VLOOKUP(($B68),'Irrigation Returns'!$B$644:$P$930,4,FALSE)</f>
        <v>0</v>
      </c>
      <c r="E71" s="54">
        <f>VLOOKUP(($B68),'Irrigation Returns'!$B$644:$P$930,5,FALSE)</f>
        <v>0</v>
      </c>
      <c r="F71" s="54">
        <f>VLOOKUP(($B68),'Irrigation Returns'!$B$644:$P$930,6,FALSE)</f>
        <v>0</v>
      </c>
      <c r="G71" s="54">
        <f>VLOOKUP(($B68),'Irrigation Returns'!$B$644:$P$930,7,FALSE)</f>
        <v>0</v>
      </c>
      <c r="H71" s="54">
        <f>VLOOKUP(($B68),'Irrigation Returns'!$B$644:$P$930,8,FALSE)</f>
        <v>0</v>
      </c>
      <c r="I71" s="54">
        <f>VLOOKUP(($B68),'Irrigation Returns'!$B$644:$P$930,9,FALSE)</f>
        <v>0</v>
      </c>
      <c r="J71" s="54">
        <f>VLOOKUP(($B68),'Irrigation Returns'!$B$644:$P$930,10,FALSE)</f>
        <v>0</v>
      </c>
      <c r="K71" s="54">
        <f>VLOOKUP(($B68),'Irrigation Returns'!$B$644:$P$930,11,FALSE)</f>
        <v>0</v>
      </c>
      <c r="L71" s="54">
        <f>VLOOKUP(($B68),'Irrigation Returns'!$B$644:$P$930,12,FALSE)</f>
        <v>0</v>
      </c>
      <c r="M71" s="54">
        <f>VLOOKUP(($B68),'Irrigation Returns'!$B$644:$P$930,13,FALSE)</f>
        <v>0</v>
      </c>
      <c r="N71" s="54">
        <f>VLOOKUP(($B68),'Irrigation Returns'!$B$644:$P$930,14,FALSE)</f>
        <v>0</v>
      </c>
      <c r="O71" s="110">
        <f>VLOOKUP(($B68),'Irrigation Returns'!$B$644:$P$930,15,FALSE)</f>
        <v>0</v>
      </c>
    </row>
    <row r="72" spans="2:15" ht="14.25">
      <c r="B72" s="14" t="s">
        <v>328</v>
      </c>
      <c r="C72" s="13" t="s">
        <v>180</v>
      </c>
      <c r="D72" s="54">
        <f>VLOOKUP($B72,GainLoss!$B$5:$O$14,3,FALSE)</f>
        <v>0</v>
      </c>
      <c r="E72" s="54">
        <f>VLOOKUP($B72,GainLoss!$B$5:$O$14,4,FALSE)</f>
        <v>0</v>
      </c>
      <c r="F72" s="54">
        <f>VLOOKUP($B72,GainLoss!$B$5:$O$14,5,FALSE)</f>
        <v>0</v>
      </c>
      <c r="G72" s="54">
        <f>VLOOKUP($B72,GainLoss!$B$5:$O$14,6,FALSE)</f>
        <v>0</v>
      </c>
      <c r="H72" s="54">
        <f>VLOOKUP($B72,GainLoss!$B$5:$O$14,7,FALSE)</f>
        <v>0</v>
      </c>
      <c r="I72" s="54">
        <f>VLOOKUP($B72,GainLoss!$B$5:$O$14,8,FALSE)</f>
        <v>0</v>
      </c>
      <c r="J72" s="54">
        <f>VLOOKUP($B72,GainLoss!$B$5:$O$14,9,FALSE)</f>
        <v>0</v>
      </c>
      <c r="K72" s="54">
        <f>VLOOKUP($B72,GainLoss!$B$5:$O$14,10,FALSE)</f>
        <v>0</v>
      </c>
      <c r="L72" s="54">
        <f>VLOOKUP($B72,GainLoss!$B$5:$O$14,11,FALSE)</f>
        <v>0</v>
      </c>
      <c r="M72" s="54">
        <f>VLOOKUP($B72,GainLoss!$B$5:$O$14,12,FALSE)</f>
        <v>0</v>
      </c>
      <c r="N72" s="54">
        <f>VLOOKUP($B72,GainLoss!$B$5:$O$14,13,FALSE)</f>
        <v>0</v>
      </c>
      <c r="O72" s="110">
        <f>VLOOKUP($B72,GainLoss!$B$5:$O$14,14,FALSE)</f>
        <v>0</v>
      </c>
    </row>
    <row r="73" spans="2:15" ht="14.25">
      <c r="B73" s="14" t="str">
        <f>+B68 &amp;" Import/Export"</f>
        <v>Node 10.06 Import/Export</v>
      </c>
      <c r="C73" s="13"/>
      <c r="D73" s="190">
        <f>VLOOKUP($B68,ImportExport!$B$6:$O$68,3,FALSE)</f>
        <v>0</v>
      </c>
      <c r="E73" s="190">
        <f>VLOOKUP($B68,ImportExport!$B$6:$O$68,4,FALSE)</f>
        <v>0</v>
      </c>
      <c r="F73" s="190">
        <f>VLOOKUP($B68,ImportExport!$B$6:$O$68,5,FALSE)</f>
        <v>0</v>
      </c>
      <c r="G73" s="190">
        <f>VLOOKUP($B68,ImportExport!$B$6:$O$68,6,FALSE)</f>
        <v>0</v>
      </c>
      <c r="H73" s="190">
        <f>VLOOKUP($B68,ImportExport!$B$6:$O$68,7,FALSE)</f>
        <v>0</v>
      </c>
      <c r="I73" s="190">
        <f>VLOOKUP($B68,ImportExport!$B$6:$O$68,8,FALSE)</f>
        <v>0</v>
      </c>
      <c r="J73" s="190">
        <f>VLOOKUP($B68,ImportExport!$B$6:$O$68,9,FALSE)</f>
        <v>0</v>
      </c>
      <c r="K73" s="190">
        <f>VLOOKUP($B68,ImportExport!$B$6:$O$68,10,FALSE)</f>
        <v>0</v>
      </c>
      <c r="L73" s="190">
        <f>VLOOKUP($B68,ImportExport!$B$6:$O$68,11,FALSE)</f>
        <v>0</v>
      </c>
      <c r="M73" s="190">
        <f>VLOOKUP($B68,ImportExport!$B$6:$O$68,12,FALSE)</f>
        <v>0</v>
      </c>
      <c r="N73" s="190">
        <f>VLOOKUP($B68,ImportExport!$B$6:$O$68,13,FALSE)</f>
        <v>0</v>
      </c>
      <c r="O73" s="197">
        <f>VLOOKUP($B68,ImportExport!$B$6:$O$68,14,FALSE)</f>
        <v>0</v>
      </c>
    </row>
    <row r="74" spans="2:15" ht="15.75" thickBot="1">
      <c r="B74" s="18" t="str">
        <f>"Total "&amp; (B68)&amp;" Inflow"</f>
        <v>Total Node 10.06 Inflow</v>
      </c>
      <c r="C74" s="17"/>
      <c r="D74" s="25">
        <f t="shared" ref="D74:O74" si="20">SUM(D70:D73)</f>
        <v>5388.071233917356</v>
      </c>
      <c r="E74" s="25">
        <f t="shared" si="20"/>
        <v>4863.5999072231407</v>
      </c>
      <c r="F74" s="25">
        <f t="shared" si="20"/>
        <v>6777.0651309752056</v>
      </c>
      <c r="G74" s="25">
        <f t="shared" si="20"/>
        <v>8246.7778850413215</v>
      </c>
      <c r="H74" s="25">
        <f t="shared" si="20"/>
        <v>15713.696679404604</v>
      </c>
      <c r="I74" s="25">
        <f t="shared" si="20"/>
        <v>15197.649568546431</v>
      </c>
      <c r="J74" s="25">
        <f t="shared" si="20"/>
        <v>8861.7430090866983</v>
      </c>
      <c r="K74" s="25">
        <f t="shared" si="20"/>
        <v>5747.2371600920587</v>
      </c>
      <c r="L74" s="25">
        <f t="shared" si="20"/>
        <v>4487.8363068757735</v>
      </c>
      <c r="M74" s="25">
        <f t="shared" si="20"/>
        <v>6096.4729538042666</v>
      </c>
      <c r="N74" s="25">
        <f t="shared" si="20"/>
        <v>6127.8171304727402</v>
      </c>
      <c r="O74" s="26">
        <f t="shared" si="20"/>
        <v>5618.8124075412197</v>
      </c>
    </row>
    <row r="75" spans="2:15" ht="15">
      <c r="B75" s="19" t="s">
        <v>17</v>
      </c>
      <c r="C75" s="20"/>
      <c r="D75" s="282" t="str">
        <f>IF(((VLOOKUP($B68,'Diversion Data'!$B$3:$O$227,3,FALSE))-D77)&gt;0,"Short","")</f>
        <v/>
      </c>
      <c r="E75" s="282" t="str">
        <f>IF(((VLOOKUP($B68,'Diversion Data'!$B$3:$O$227,4,FALSE))-E77)&gt;0,"Short","")</f>
        <v/>
      </c>
      <c r="F75" s="282" t="str">
        <f>IF(((VLOOKUP($B68,'Diversion Data'!$B$3:$O$227,5,FALSE))-F77)&gt;0,"Short","")</f>
        <v/>
      </c>
      <c r="G75" s="282" t="str">
        <f>IF(((VLOOKUP($B68,'Diversion Data'!$B$3:$O$227,6,FALSE))-G77)&gt;0,"Short","")</f>
        <v/>
      </c>
      <c r="H75" s="282" t="str">
        <f>IF(((VLOOKUP($B68,'Diversion Data'!$B$3:$O$227,7,FALSE))-H77)&gt;0,"Short","")</f>
        <v/>
      </c>
      <c r="I75" s="282" t="str">
        <f>IF(((VLOOKUP($B68,'Diversion Data'!$B$3:$O$227,8,FALSE))-I77)&gt;0,"Short","")</f>
        <v/>
      </c>
      <c r="J75" s="282" t="str">
        <f>IF(((VLOOKUP($B68,'Diversion Data'!$B$3:$O$227,9,FALSE))-J77)&gt;0,"Short","")</f>
        <v/>
      </c>
      <c r="K75" s="282" t="str">
        <f>IF(((VLOOKUP($B68,'Diversion Data'!$B$3:$O$227,10,FALSE))-K77)&gt;0,"Short","")</f>
        <v/>
      </c>
      <c r="L75" s="282" t="str">
        <f>IF(((VLOOKUP($B68,'Diversion Data'!$B$3:$O$227,11,FALSE))-L77)&gt;0,"Short","")</f>
        <v/>
      </c>
      <c r="M75" s="282" t="str">
        <f>IF(((VLOOKUP($B68,'Diversion Data'!$B$3:$O$227,12,FALSE))-M77)&gt;0,"Short","")</f>
        <v/>
      </c>
      <c r="N75" s="282" t="str">
        <f>IF(((VLOOKUP($B68,'Diversion Data'!$B$3:$O$227,13,FALSE))-N77)&gt;0,"Short","")</f>
        <v/>
      </c>
      <c r="O75" s="283" t="str">
        <f>IF(((VLOOKUP($B68,'Diversion Data'!$B$3:$O$227,14,FALSE))-O77)&gt;0,"Short","")</f>
        <v/>
      </c>
    </row>
    <row r="76" spans="2:15" ht="14.25">
      <c r="B76" s="14" t="s">
        <v>81</v>
      </c>
      <c r="C76" s="13" t="s">
        <v>181</v>
      </c>
      <c r="D76" s="171">
        <f>VLOOKUP($B76,GainLoss!$B$19:$O$27,3,FALSE)</f>
        <v>0</v>
      </c>
      <c r="E76" s="171">
        <f>VLOOKUP($B76,GainLoss!$B$19:$O$27,4,FALSE)</f>
        <v>0</v>
      </c>
      <c r="F76" s="171">
        <f>VLOOKUP($B76,GainLoss!$B$19:$O$27,5,FALSE)</f>
        <v>0</v>
      </c>
      <c r="G76" s="171">
        <f>VLOOKUP($B76,GainLoss!$B$19:$O$27,6,FALSE)</f>
        <v>0</v>
      </c>
      <c r="H76" s="171">
        <f>VLOOKUP($B76,GainLoss!$B$19:$O$27,7,FALSE)</f>
        <v>0</v>
      </c>
      <c r="I76" s="171">
        <f>VLOOKUP($B76,GainLoss!$B$19:$O$27,8,FALSE)</f>
        <v>0</v>
      </c>
      <c r="J76" s="171">
        <f>VLOOKUP($B76,GainLoss!$B$19:$O$27,9,FALSE)</f>
        <v>0</v>
      </c>
      <c r="K76" s="171">
        <f>VLOOKUP($B76,GainLoss!$B$19:$O$27,10,FALSE)</f>
        <v>0</v>
      </c>
      <c r="L76" s="171">
        <f>VLOOKUP($B76,GainLoss!$B$19:$O$27,11,FALSE)</f>
        <v>0</v>
      </c>
      <c r="M76" s="171">
        <f>VLOOKUP($B76,GainLoss!$B$19:$O$27,12,FALSE)</f>
        <v>0</v>
      </c>
      <c r="N76" s="171">
        <f>VLOOKUP($B76,GainLoss!$B$19:$O$27,13,FALSE)</f>
        <v>0</v>
      </c>
      <c r="O76" s="198">
        <f>VLOOKUP($B76,GainLoss!$B$19:$O$27,14,FALSE)</f>
        <v>0</v>
      </c>
    </row>
    <row r="77" spans="2:15" ht="14.25">
      <c r="B77" s="14" t="str">
        <f>+B68 &amp;" Diversions"</f>
        <v>Node 10.06 Diversions</v>
      </c>
      <c r="C77" s="13"/>
      <c r="D77" s="54">
        <f>MIN(VLOOKUP($B68,'Diversion Data'!$B$3:$O$227,3,FALSE),(D74-D76))</f>
        <v>0</v>
      </c>
      <c r="E77" s="54">
        <f>MIN(VLOOKUP($B68,'Diversion Data'!$B$3:$O$227,4,FALSE),(E74-E76))</f>
        <v>0</v>
      </c>
      <c r="F77" s="54">
        <f>MIN(VLOOKUP($B68,'Diversion Data'!$B$3:$O$227,5,FALSE),(F74-F76))</f>
        <v>0</v>
      </c>
      <c r="G77" s="54">
        <f>MIN(VLOOKUP($B68,'Diversion Data'!$B$3:$O$227,6,FALSE),(G74-G76))</f>
        <v>0</v>
      </c>
      <c r="H77" s="54">
        <f>MIN(VLOOKUP($B68,'Diversion Data'!$B$3:$O$227,7,FALSE),(H74-H76))</f>
        <v>454.30265495867769</v>
      </c>
      <c r="I77" s="54">
        <f>MIN(VLOOKUP($B68,'Diversion Data'!$B$3:$O$227,8,FALSE),(I74-I76))</f>
        <v>475.21441115702481</v>
      </c>
      <c r="J77" s="54">
        <f>MIN(VLOOKUP($B68,'Diversion Data'!$B$3:$O$227,9,FALSE),(J74-J76))</f>
        <v>458.11577479338848</v>
      </c>
      <c r="K77" s="54">
        <f>MIN(VLOOKUP($B68,'Diversion Data'!$B$3:$O$227,10,FALSE),(K74-K76))</f>
        <v>443.59338842975211</v>
      </c>
      <c r="L77" s="54">
        <f>MIN(VLOOKUP($B68,'Diversion Data'!$B$3:$O$227,11,FALSE),(L74-L76))</f>
        <v>349.51825413223133</v>
      </c>
      <c r="M77" s="54">
        <f>MIN(VLOOKUP($B68,'Diversion Data'!$B$3:$O$227,12,FALSE),(M74-M76))</f>
        <v>0</v>
      </c>
      <c r="N77" s="54">
        <f>MIN(VLOOKUP($B68,'Diversion Data'!$B$3:$O$227,13,FALSE),(N74-N76))</f>
        <v>0</v>
      </c>
      <c r="O77" s="110">
        <f>MIN(VLOOKUP($B68,'Diversion Data'!$B$3:$O$227,14,FALSE),(O74-O76))</f>
        <v>0</v>
      </c>
    </row>
    <row r="78" spans="2:15" ht="15.75" thickBot="1">
      <c r="B78" s="24" t="str">
        <f>"Total " &amp; (B68) &amp;" Outflow"</f>
        <v>Total Node 10.06 Outflow</v>
      </c>
      <c r="C78" s="23"/>
      <c r="D78" s="27">
        <f t="shared" ref="D78:O78" si="21">SUM(D76:D77)</f>
        <v>0</v>
      </c>
      <c r="E78" s="27">
        <f t="shared" si="21"/>
        <v>0</v>
      </c>
      <c r="F78" s="27">
        <f t="shared" si="21"/>
        <v>0</v>
      </c>
      <c r="G78" s="27">
        <f t="shared" si="21"/>
        <v>0</v>
      </c>
      <c r="H78" s="27">
        <f t="shared" si="21"/>
        <v>454.30265495867769</v>
      </c>
      <c r="I78" s="27">
        <f t="shared" si="21"/>
        <v>475.21441115702481</v>
      </c>
      <c r="J78" s="27">
        <f t="shared" si="21"/>
        <v>458.11577479338848</v>
      </c>
      <c r="K78" s="27">
        <f t="shared" si="21"/>
        <v>443.59338842975211</v>
      </c>
      <c r="L78" s="27">
        <f t="shared" si="21"/>
        <v>349.51825413223133</v>
      </c>
      <c r="M78" s="27">
        <f t="shared" si="21"/>
        <v>0</v>
      </c>
      <c r="N78" s="27">
        <f t="shared" si="21"/>
        <v>0</v>
      </c>
      <c r="O78" s="28">
        <f t="shared" si="21"/>
        <v>0</v>
      </c>
    </row>
    <row r="79" spans="2:15" ht="15.75" thickBot="1">
      <c r="B79" s="24" t="str">
        <f>(B68)&amp;" NET Flow (In - Out)"</f>
        <v>Node 10.06 NET Flow (In - Out)</v>
      </c>
      <c r="C79" s="23"/>
      <c r="D79" s="193">
        <f t="shared" ref="D79:O79" si="22">MAX(D74-D78,0)</f>
        <v>5388.071233917356</v>
      </c>
      <c r="E79" s="193">
        <f t="shared" si="22"/>
        <v>4863.5999072231407</v>
      </c>
      <c r="F79" s="193">
        <f t="shared" si="22"/>
        <v>6777.0651309752056</v>
      </c>
      <c r="G79" s="193">
        <f t="shared" si="22"/>
        <v>8246.7778850413215</v>
      </c>
      <c r="H79" s="193">
        <f t="shared" si="22"/>
        <v>15259.394024445926</v>
      </c>
      <c r="I79" s="193">
        <f t="shared" si="22"/>
        <v>14722.435157389406</v>
      </c>
      <c r="J79" s="193">
        <f t="shared" si="22"/>
        <v>8403.6272342933098</v>
      </c>
      <c r="K79" s="193">
        <f t="shared" si="22"/>
        <v>5303.6437716623068</v>
      </c>
      <c r="L79" s="193">
        <f t="shared" si="22"/>
        <v>4138.3180527435425</v>
      </c>
      <c r="M79" s="193">
        <f t="shared" si="22"/>
        <v>6096.4729538042666</v>
      </c>
      <c r="N79" s="193">
        <f t="shared" si="22"/>
        <v>6127.8171304727402</v>
      </c>
      <c r="O79" s="200">
        <f t="shared" si="22"/>
        <v>5618.8124075412197</v>
      </c>
    </row>
    <row r="81" spans="2:15" ht="15.75" thickBot="1">
      <c r="B81" s="108" t="s">
        <v>140</v>
      </c>
      <c r="C81" s="109" t="str">
        <f>VLOOKUP(B81,NodeList!$D$4:$E$121,2,FALSE)</f>
        <v>Goodell</v>
      </c>
      <c r="D81" s="6"/>
      <c r="E81" s="6"/>
      <c r="F81" s="6"/>
      <c r="G81" s="6"/>
      <c r="H81" s="7"/>
      <c r="I81" s="7"/>
      <c r="J81" s="7"/>
      <c r="K81" s="7"/>
      <c r="L81" s="7"/>
      <c r="M81" s="7"/>
      <c r="N81" s="7"/>
      <c r="O81" s="7"/>
    </row>
    <row r="82" spans="2:15" ht="15">
      <c r="B82" s="9" t="s">
        <v>16</v>
      </c>
      <c r="C82" s="10"/>
      <c r="D82" s="11" t="s">
        <v>0</v>
      </c>
      <c r="E82" s="11" t="s">
        <v>1</v>
      </c>
      <c r="F82" s="11" t="s">
        <v>2</v>
      </c>
      <c r="G82" s="11" t="s">
        <v>3</v>
      </c>
      <c r="H82" s="11" t="s">
        <v>4</v>
      </c>
      <c r="I82" s="11" t="s">
        <v>5</v>
      </c>
      <c r="J82" s="11" t="s">
        <v>6</v>
      </c>
      <c r="K82" s="11" t="s">
        <v>7</v>
      </c>
      <c r="L82" s="11" t="s">
        <v>8</v>
      </c>
      <c r="M82" s="11" t="s">
        <v>9</v>
      </c>
      <c r="N82" s="11" t="s">
        <v>10</v>
      </c>
      <c r="O82" s="12" t="s">
        <v>11</v>
      </c>
    </row>
    <row r="83" spans="2:15" ht="14.25">
      <c r="B83" s="14" t="str">
        <f>+B81 &amp;" Node Inflow"</f>
        <v>Node 10.07 Node Inflow</v>
      </c>
      <c r="C83" s="13"/>
      <c r="D83" s="15">
        <f>+D79</f>
        <v>5388.071233917356</v>
      </c>
      <c r="E83" s="15">
        <f t="shared" ref="E83:O83" si="23">+E79</f>
        <v>4863.5999072231407</v>
      </c>
      <c r="F83" s="15">
        <f t="shared" si="23"/>
        <v>6777.0651309752056</v>
      </c>
      <c r="G83" s="15">
        <f t="shared" si="23"/>
        <v>8246.7778850413215</v>
      </c>
      <c r="H83" s="15">
        <f t="shared" si="23"/>
        <v>15259.394024445926</v>
      </c>
      <c r="I83" s="15">
        <f t="shared" si="23"/>
        <v>14722.435157389406</v>
      </c>
      <c r="J83" s="15">
        <f t="shared" si="23"/>
        <v>8403.6272342933098</v>
      </c>
      <c r="K83" s="15">
        <f t="shared" si="23"/>
        <v>5303.6437716623068</v>
      </c>
      <c r="L83" s="15">
        <f t="shared" si="23"/>
        <v>4138.3180527435425</v>
      </c>
      <c r="M83" s="15">
        <f t="shared" si="23"/>
        <v>6096.4729538042666</v>
      </c>
      <c r="N83" s="15">
        <f t="shared" si="23"/>
        <v>6127.8171304727402</v>
      </c>
      <c r="O83" s="16">
        <f t="shared" si="23"/>
        <v>5618.8124075412197</v>
      </c>
    </row>
    <row r="84" spans="2:15" ht="14.25">
      <c r="B84" s="14" t="str">
        <f>+B81 &amp;" Irrigation Returns"</f>
        <v>Node 10.07 Irrigation Returns</v>
      </c>
      <c r="C84" s="13"/>
      <c r="D84" s="54">
        <f>VLOOKUP(($B81),'Irrigation Returns'!$B$644:$P$930,4,FALSE)</f>
        <v>0</v>
      </c>
      <c r="E84" s="54">
        <f>VLOOKUP(($B81),'Irrigation Returns'!$B$644:$P$930,5,FALSE)</f>
        <v>0</v>
      </c>
      <c r="F84" s="54">
        <f>VLOOKUP(($B81),'Irrigation Returns'!$B$644:$P$930,6,FALSE)</f>
        <v>0</v>
      </c>
      <c r="G84" s="54">
        <f>VLOOKUP(($B81),'Irrigation Returns'!$B$644:$P$930,7,FALSE)</f>
        <v>0</v>
      </c>
      <c r="H84" s="54">
        <f>VLOOKUP(($B81),'Irrigation Returns'!$B$644:$P$930,8,FALSE)</f>
        <v>0</v>
      </c>
      <c r="I84" s="54">
        <f>VLOOKUP(($B81),'Irrigation Returns'!$B$644:$P$930,9,FALSE)</f>
        <v>0</v>
      </c>
      <c r="J84" s="54">
        <f>VLOOKUP(($B81),'Irrigation Returns'!$B$644:$P$930,10,FALSE)</f>
        <v>0</v>
      </c>
      <c r="K84" s="54">
        <f>VLOOKUP(($B81),'Irrigation Returns'!$B$644:$P$930,11,FALSE)</f>
        <v>0</v>
      </c>
      <c r="L84" s="54">
        <f>VLOOKUP(($B81),'Irrigation Returns'!$B$644:$P$930,12,FALSE)</f>
        <v>0</v>
      </c>
      <c r="M84" s="54">
        <f>VLOOKUP(($B81),'Irrigation Returns'!$B$644:$P$930,13,FALSE)</f>
        <v>0</v>
      </c>
      <c r="N84" s="54">
        <f>VLOOKUP(($B81),'Irrigation Returns'!$B$644:$P$930,14,FALSE)</f>
        <v>0</v>
      </c>
      <c r="O84" s="110">
        <f>VLOOKUP(($B81),'Irrigation Returns'!$B$644:$P$930,15,FALSE)</f>
        <v>0</v>
      </c>
    </row>
    <row r="85" spans="2:15" ht="14.25">
      <c r="B85" s="14" t="s">
        <v>328</v>
      </c>
      <c r="C85" s="13" t="s">
        <v>180</v>
      </c>
      <c r="D85" s="54">
        <f>VLOOKUP($B85,GainLoss!$B$5:$O$14,3,FALSE)</f>
        <v>0</v>
      </c>
      <c r="E85" s="54">
        <f>VLOOKUP($B85,GainLoss!$B$5:$O$14,4,FALSE)</f>
        <v>0</v>
      </c>
      <c r="F85" s="54">
        <f>VLOOKUP($B85,GainLoss!$B$5:$O$14,5,FALSE)</f>
        <v>0</v>
      </c>
      <c r="G85" s="54">
        <f>VLOOKUP($B85,GainLoss!$B$5:$O$14,6,FALSE)</f>
        <v>0</v>
      </c>
      <c r="H85" s="54">
        <f>VLOOKUP($B85,GainLoss!$B$5:$O$14,7,FALSE)</f>
        <v>0</v>
      </c>
      <c r="I85" s="54">
        <f>VLOOKUP($B85,GainLoss!$B$5:$O$14,8,FALSE)</f>
        <v>0</v>
      </c>
      <c r="J85" s="54">
        <f>VLOOKUP($B85,GainLoss!$B$5:$O$14,9,FALSE)</f>
        <v>0</v>
      </c>
      <c r="K85" s="54">
        <f>VLOOKUP($B85,GainLoss!$B$5:$O$14,10,FALSE)</f>
        <v>0</v>
      </c>
      <c r="L85" s="54">
        <f>VLOOKUP($B85,GainLoss!$B$5:$O$14,11,FALSE)</f>
        <v>0</v>
      </c>
      <c r="M85" s="54">
        <f>VLOOKUP($B85,GainLoss!$B$5:$O$14,12,FALSE)</f>
        <v>0</v>
      </c>
      <c r="N85" s="54">
        <f>VLOOKUP($B85,GainLoss!$B$5:$O$14,13,FALSE)</f>
        <v>0</v>
      </c>
      <c r="O85" s="110">
        <f>VLOOKUP($B85,GainLoss!$B$5:$O$14,14,FALSE)</f>
        <v>0</v>
      </c>
    </row>
    <row r="86" spans="2:15" ht="14.25">
      <c r="B86" s="14" t="str">
        <f>+B81 &amp;" Import/Export"</f>
        <v>Node 10.07 Import/Export</v>
      </c>
      <c r="C86" s="13"/>
      <c r="D86" s="190">
        <f>VLOOKUP($B81,ImportExport!$B$6:$O$68,3,FALSE)</f>
        <v>0</v>
      </c>
      <c r="E86" s="190">
        <f>VLOOKUP($B81,ImportExport!$B$6:$O$68,4,FALSE)</f>
        <v>0</v>
      </c>
      <c r="F86" s="190">
        <f>VLOOKUP($B81,ImportExport!$B$6:$O$68,5,FALSE)</f>
        <v>0</v>
      </c>
      <c r="G86" s="190">
        <f>VLOOKUP($B81,ImportExport!$B$6:$O$68,6,FALSE)</f>
        <v>0</v>
      </c>
      <c r="H86" s="190">
        <f>VLOOKUP($B81,ImportExport!$B$6:$O$68,7,FALSE)</f>
        <v>0</v>
      </c>
      <c r="I86" s="190">
        <f>VLOOKUP($B81,ImportExport!$B$6:$O$68,8,FALSE)</f>
        <v>0</v>
      </c>
      <c r="J86" s="190">
        <f>VLOOKUP($B81,ImportExport!$B$6:$O$68,9,FALSE)</f>
        <v>0</v>
      </c>
      <c r="K86" s="190">
        <f>VLOOKUP($B81,ImportExport!$B$6:$O$68,10,FALSE)</f>
        <v>0</v>
      </c>
      <c r="L86" s="190">
        <f>VLOOKUP($B81,ImportExport!$B$6:$O$68,11,FALSE)</f>
        <v>0</v>
      </c>
      <c r="M86" s="190">
        <f>VLOOKUP($B81,ImportExport!$B$6:$O$68,12,FALSE)</f>
        <v>0</v>
      </c>
      <c r="N86" s="190">
        <f>VLOOKUP($B81,ImportExport!$B$6:$O$68,13,FALSE)</f>
        <v>0</v>
      </c>
      <c r="O86" s="197">
        <f>VLOOKUP($B81,ImportExport!$B$6:$O$68,14,FALSE)</f>
        <v>0</v>
      </c>
    </row>
    <row r="87" spans="2:15" ht="15.75" thickBot="1">
      <c r="B87" s="18" t="str">
        <f>"Total "&amp; (B81)&amp;" Inflow"</f>
        <v>Total Node 10.07 Inflow</v>
      </c>
      <c r="C87" s="17"/>
      <c r="D87" s="25">
        <f t="shared" ref="D87:O87" si="24">SUM(D83:D86)</f>
        <v>5388.071233917356</v>
      </c>
      <c r="E87" s="25">
        <f t="shared" si="24"/>
        <v>4863.5999072231407</v>
      </c>
      <c r="F87" s="25">
        <f t="shared" si="24"/>
        <v>6777.0651309752056</v>
      </c>
      <c r="G87" s="25">
        <f t="shared" si="24"/>
        <v>8246.7778850413215</v>
      </c>
      <c r="H87" s="25">
        <f t="shared" si="24"/>
        <v>15259.394024445926</v>
      </c>
      <c r="I87" s="25">
        <f t="shared" si="24"/>
        <v>14722.435157389406</v>
      </c>
      <c r="J87" s="25">
        <f t="shared" si="24"/>
        <v>8403.6272342933098</v>
      </c>
      <c r="K87" s="25">
        <f t="shared" si="24"/>
        <v>5303.6437716623068</v>
      </c>
      <c r="L87" s="25">
        <f t="shared" si="24"/>
        <v>4138.3180527435425</v>
      </c>
      <c r="M87" s="25">
        <f t="shared" si="24"/>
        <v>6096.4729538042666</v>
      </c>
      <c r="N87" s="25">
        <f t="shared" si="24"/>
        <v>6127.8171304727402</v>
      </c>
      <c r="O87" s="26">
        <f t="shared" si="24"/>
        <v>5618.8124075412197</v>
      </c>
    </row>
    <row r="88" spans="2:15" ht="15">
      <c r="B88" s="19" t="s">
        <v>17</v>
      </c>
      <c r="C88" s="20"/>
      <c r="D88" s="282" t="str">
        <f>IF(((VLOOKUP($B81,'Diversion Data'!$B$3:$O$227,3,FALSE))-D90)&gt;0,"Short","")</f>
        <v/>
      </c>
      <c r="E88" s="282" t="str">
        <f>IF(((VLOOKUP($B81,'Diversion Data'!$B$3:$O$227,4,FALSE))-E90)&gt;0,"Short","")</f>
        <v/>
      </c>
      <c r="F88" s="282" t="str">
        <f>IF(((VLOOKUP($B81,'Diversion Data'!$B$3:$O$227,5,FALSE))-F90)&gt;0,"Short","")</f>
        <v/>
      </c>
      <c r="G88" s="282" t="str">
        <f>IF(((VLOOKUP($B81,'Diversion Data'!$B$3:$O$227,6,FALSE))-G90)&gt;0,"Short","")</f>
        <v/>
      </c>
      <c r="H88" s="282" t="str">
        <f>IF(((VLOOKUP($B81,'Diversion Data'!$B$3:$O$227,7,FALSE))-H90)&gt;0,"Short","")</f>
        <v/>
      </c>
      <c r="I88" s="282" t="str">
        <f>IF(((VLOOKUP($B81,'Diversion Data'!$B$3:$O$227,8,FALSE))-I90)&gt;0,"Short","")</f>
        <v/>
      </c>
      <c r="J88" s="282" t="str">
        <f>IF(((VLOOKUP($B81,'Diversion Data'!$B$3:$O$227,9,FALSE))-J90)&gt;0,"Short","")</f>
        <v/>
      </c>
      <c r="K88" s="282" t="str">
        <f>IF(((VLOOKUP($B81,'Diversion Data'!$B$3:$O$227,10,FALSE))-K90)&gt;0,"Short","")</f>
        <v/>
      </c>
      <c r="L88" s="282" t="str">
        <f>IF(((VLOOKUP($B81,'Diversion Data'!$B$3:$O$227,11,FALSE))-L90)&gt;0,"Short","")</f>
        <v/>
      </c>
      <c r="M88" s="282" t="str">
        <f>IF(((VLOOKUP($B81,'Diversion Data'!$B$3:$O$227,12,FALSE))-M90)&gt;0,"Short","")</f>
        <v/>
      </c>
      <c r="N88" s="282" t="str">
        <f>IF(((VLOOKUP($B81,'Diversion Data'!$B$3:$O$227,13,FALSE))-N90)&gt;0,"Short","")</f>
        <v/>
      </c>
      <c r="O88" s="283" t="str">
        <f>IF(((VLOOKUP($B81,'Diversion Data'!$B$3:$O$227,14,FALSE))-O90)&gt;0,"Short","")</f>
        <v/>
      </c>
    </row>
    <row r="89" spans="2:15" ht="14.25">
      <c r="B89" s="14" t="s">
        <v>81</v>
      </c>
      <c r="C89" s="13" t="s">
        <v>181</v>
      </c>
      <c r="D89" s="171">
        <f>VLOOKUP($B89,GainLoss!$B$19:$O$27,3,FALSE)</f>
        <v>0</v>
      </c>
      <c r="E89" s="171">
        <f>VLOOKUP($B89,GainLoss!$B$19:$O$27,4,FALSE)</f>
        <v>0</v>
      </c>
      <c r="F89" s="171">
        <f>VLOOKUP($B89,GainLoss!$B$19:$O$27,5,FALSE)</f>
        <v>0</v>
      </c>
      <c r="G89" s="171">
        <f>VLOOKUP($B89,GainLoss!$B$19:$O$27,6,FALSE)</f>
        <v>0</v>
      </c>
      <c r="H89" s="171">
        <f>VLOOKUP($B89,GainLoss!$B$19:$O$27,7,FALSE)</f>
        <v>0</v>
      </c>
      <c r="I89" s="171">
        <f>VLOOKUP($B89,GainLoss!$B$19:$O$27,8,FALSE)</f>
        <v>0</v>
      </c>
      <c r="J89" s="171">
        <f>VLOOKUP($B89,GainLoss!$B$19:$O$27,9,FALSE)</f>
        <v>0</v>
      </c>
      <c r="K89" s="171">
        <f>VLOOKUP($B89,GainLoss!$B$19:$O$27,10,FALSE)</f>
        <v>0</v>
      </c>
      <c r="L89" s="171">
        <f>VLOOKUP($B89,GainLoss!$B$19:$O$27,11,FALSE)</f>
        <v>0</v>
      </c>
      <c r="M89" s="171">
        <f>VLOOKUP($B89,GainLoss!$B$19:$O$27,12,FALSE)</f>
        <v>0</v>
      </c>
      <c r="N89" s="171">
        <f>VLOOKUP($B89,GainLoss!$B$19:$O$27,13,FALSE)</f>
        <v>0</v>
      </c>
      <c r="O89" s="198">
        <f>VLOOKUP($B89,GainLoss!$B$19:$O$27,14,FALSE)</f>
        <v>0</v>
      </c>
    </row>
    <row r="90" spans="2:15" ht="14.25">
      <c r="B90" s="14" t="str">
        <f>+B81 &amp;" Diversions"</f>
        <v>Node 10.07 Diversions</v>
      </c>
      <c r="C90" s="13"/>
      <c r="D90" s="54">
        <f>MIN(VLOOKUP($B81,'Diversion Data'!$B$3:$O$227,3,FALSE),(D87-D89))</f>
        <v>0</v>
      </c>
      <c r="E90" s="54">
        <f>MIN(VLOOKUP($B81,'Diversion Data'!$B$3:$O$227,4,FALSE),(E87-E89))</f>
        <v>0</v>
      </c>
      <c r="F90" s="54">
        <f>MIN(VLOOKUP($B81,'Diversion Data'!$B$3:$O$227,5,FALSE),(F87-F89))</f>
        <v>0</v>
      </c>
      <c r="G90" s="54">
        <f>MIN(VLOOKUP($B81,'Diversion Data'!$B$3:$O$227,6,FALSE),(G87-G89))</f>
        <v>0</v>
      </c>
      <c r="H90" s="54">
        <f>MIN(VLOOKUP($B81,'Diversion Data'!$B$3:$O$227,7,FALSE),(H87-H89))</f>
        <v>292.54706611570248</v>
      </c>
      <c r="I90" s="54">
        <f>MIN(VLOOKUP($B81,'Diversion Data'!$B$3:$O$227,8,FALSE),(I87-I89))</f>
        <v>402.99261363636361</v>
      </c>
      <c r="J90" s="54">
        <f>MIN(VLOOKUP($B81,'Diversion Data'!$B$3:$O$227,9,FALSE),(J87-J89))</f>
        <v>422.15431818181821</v>
      </c>
      <c r="K90" s="54">
        <f>MIN(VLOOKUP($B81,'Diversion Data'!$B$3:$O$227,10,FALSE),(K87-K89))</f>
        <v>387.31329545454548</v>
      </c>
      <c r="L90" s="54">
        <f>MIN(VLOOKUP($B81,'Diversion Data'!$B$3:$O$227,11,FALSE),(L87-L89))</f>
        <v>366.32446280991735</v>
      </c>
      <c r="M90" s="54">
        <f>MIN(VLOOKUP($B81,'Diversion Data'!$B$3:$O$227,12,FALSE),(M87-M89))</f>
        <v>0</v>
      </c>
      <c r="N90" s="54">
        <f>MIN(VLOOKUP($B81,'Diversion Data'!$B$3:$O$227,13,FALSE),(N87-N89))</f>
        <v>0</v>
      </c>
      <c r="O90" s="110">
        <f>MIN(VLOOKUP($B81,'Diversion Data'!$B$3:$O$227,14,FALSE),(O87-O89))</f>
        <v>0</v>
      </c>
    </row>
    <row r="91" spans="2:15" ht="15.75" thickBot="1">
      <c r="B91" s="24" t="str">
        <f>"Total " &amp; (B81) &amp;" Outflow"</f>
        <v>Total Node 10.07 Outflow</v>
      </c>
      <c r="C91" s="23"/>
      <c r="D91" s="27">
        <f t="shared" ref="D91:O91" si="25">SUM(D89:D90)</f>
        <v>0</v>
      </c>
      <c r="E91" s="27">
        <f t="shared" si="25"/>
        <v>0</v>
      </c>
      <c r="F91" s="27">
        <f t="shared" si="25"/>
        <v>0</v>
      </c>
      <c r="G91" s="27">
        <f t="shared" si="25"/>
        <v>0</v>
      </c>
      <c r="H91" s="27">
        <f t="shared" si="25"/>
        <v>292.54706611570248</v>
      </c>
      <c r="I91" s="27">
        <f t="shared" si="25"/>
        <v>402.99261363636361</v>
      </c>
      <c r="J91" s="27">
        <f t="shared" si="25"/>
        <v>422.15431818181821</v>
      </c>
      <c r="K91" s="27">
        <f t="shared" si="25"/>
        <v>387.31329545454548</v>
      </c>
      <c r="L91" s="27">
        <f t="shared" si="25"/>
        <v>366.32446280991735</v>
      </c>
      <c r="M91" s="27">
        <f t="shared" si="25"/>
        <v>0</v>
      </c>
      <c r="N91" s="27">
        <f t="shared" si="25"/>
        <v>0</v>
      </c>
      <c r="O91" s="28">
        <f t="shared" si="25"/>
        <v>0</v>
      </c>
    </row>
    <row r="92" spans="2:15" ht="15.75" thickBot="1">
      <c r="B92" s="24" t="str">
        <f>(B81)&amp;" NET Flow (In - Out)"</f>
        <v>Node 10.07 NET Flow (In - Out)</v>
      </c>
      <c r="C92" s="23"/>
      <c r="D92" s="193">
        <f t="shared" ref="D92:O92" si="26">MAX(D87-D91,0)</f>
        <v>5388.071233917356</v>
      </c>
      <c r="E92" s="193">
        <f t="shared" si="26"/>
        <v>4863.5999072231407</v>
      </c>
      <c r="F92" s="193">
        <f t="shared" si="26"/>
        <v>6777.0651309752056</v>
      </c>
      <c r="G92" s="193">
        <f t="shared" si="26"/>
        <v>8246.7778850413215</v>
      </c>
      <c r="H92" s="193">
        <f t="shared" si="26"/>
        <v>14966.846958330223</v>
      </c>
      <c r="I92" s="193">
        <f t="shared" si="26"/>
        <v>14319.442543753043</v>
      </c>
      <c r="J92" s="193">
        <f t="shared" si="26"/>
        <v>7981.4729161114919</v>
      </c>
      <c r="K92" s="193">
        <f t="shared" si="26"/>
        <v>4916.3304762077614</v>
      </c>
      <c r="L92" s="193">
        <f t="shared" si="26"/>
        <v>3771.9935899336251</v>
      </c>
      <c r="M92" s="193">
        <f t="shared" si="26"/>
        <v>6096.4729538042666</v>
      </c>
      <c r="N92" s="193">
        <f t="shared" si="26"/>
        <v>6127.8171304727402</v>
      </c>
      <c r="O92" s="200">
        <f t="shared" si="26"/>
        <v>5618.8124075412197</v>
      </c>
    </row>
    <row r="94" spans="2:15" ht="15.75" thickBot="1">
      <c r="B94" s="108" t="s">
        <v>159</v>
      </c>
      <c r="C94" s="109" t="str">
        <f>VLOOKUP(B94,NodeList!$D$4:$E$121,2,FALSE)</f>
        <v>Whites Water</v>
      </c>
      <c r="D94" s="6"/>
      <c r="E94" s="6"/>
      <c r="F94" s="6"/>
      <c r="G94" s="6"/>
      <c r="H94" s="7"/>
      <c r="I94" s="7"/>
      <c r="J94" s="7"/>
      <c r="K94" s="7"/>
      <c r="L94" s="7"/>
      <c r="M94" s="7"/>
      <c r="N94" s="7"/>
      <c r="O94" s="7"/>
    </row>
    <row r="95" spans="2:15" ht="15">
      <c r="B95" s="9" t="s">
        <v>16</v>
      </c>
      <c r="C95" s="10"/>
      <c r="D95" s="11" t="s">
        <v>0</v>
      </c>
      <c r="E95" s="11" t="s">
        <v>1</v>
      </c>
      <c r="F95" s="11" t="s">
        <v>2</v>
      </c>
      <c r="G95" s="11" t="s">
        <v>3</v>
      </c>
      <c r="H95" s="11" t="s">
        <v>4</v>
      </c>
      <c r="I95" s="11" t="s">
        <v>5</v>
      </c>
      <c r="J95" s="11" t="s">
        <v>6</v>
      </c>
      <c r="K95" s="11" t="s">
        <v>7</v>
      </c>
      <c r="L95" s="11" t="s">
        <v>8</v>
      </c>
      <c r="M95" s="11" t="s">
        <v>9</v>
      </c>
      <c r="N95" s="11" t="s">
        <v>10</v>
      </c>
      <c r="O95" s="12" t="s">
        <v>11</v>
      </c>
    </row>
    <row r="96" spans="2:15" ht="14.25">
      <c r="B96" s="14" t="str">
        <f>+B94 &amp;" Node Inflow"</f>
        <v>Node 10.08 Node Inflow</v>
      </c>
      <c r="C96" s="13"/>
      <c r="D96" s="15">
        <f>+D92</f>
        <v>5388.071233917356</v>
      </c>
      <c r="E96" s="15">
        <f t="shared" ref="E96:O96" si="27">+E92</f>
        <v>4863.5999072231407</v>
      </c>
      <c r="F96" s="15">
        <f t="shared" si="27"/>
        <v>6777.0651309752056</v>
      </c>
      <c r="G96" s="15">
        <f t="shared" si="27"/>
        <v>8246.7778850413215</v>
      </c>
      <c r="H96" s="15">
        <f t="shared" si="27"/>
        <v>14966.846958330223</v>
      </c>
      <c r="I96" s="15">
        <f t="shared" si="27"/>
        <v>14319.442543753043</v>
      </c>
      <c r="J96" s="15">
        <f t="shared" si="27"/>
        <v>7981.4729161114919</v>
      </c>
      <c r="K96" s="15">
        <f t="shared" si="27"/>
        <v>4916.3304762077614</v>
      </c>
      <c r="L96" s="15">
        <f t="shared" si="27"/>
        <v>3771.9935899336251</v>
      </c>
      <c r="M96" s="15">
        <f t="shared" si="27"/>
        <v>6096.4729538042666</v>
      </c>
      <c r="N96" s="15">
        <f t="shared" si="27"/>
        <v>6127.8171304727402</v>
      </c>
      <c r="O96" s="16">
        <f t="shared" si="27"/>
        <v>5618.8124075412197</v>
      </c>
    </row>
    <row r="97" spans="2:15" ht="14.25">
      <c r="B97" s="14" t="str">
        <f>+B94 &amp;" Irrigation Returns"</f>
        <v>Node 10.08 Irrigation Returns</v>
      </c>
      <c r="C97" s="13"/>
      <c r="D97" s="54">
        <f>VLOOKUP(($B94),'Irrigation Returns'!$B$644:$P$930,4,FALSE)</f>
        <v>0</v>
      </c>
      <c r="E97" s="54">
        <f>VLOOKUP(($B94),'Irrigation Returns'!$B$644:$P$930,5,FALSE)</f>
        <v>0</v>
      </c>
      <c r="F97" s="54">
        <f>VLOOKUP(($B94),'Irrigation Returns'!$B$644:$P$930,6,FALSE)</f>
        <v>0</v>
      </c>
      <c r="G97" s="54">
        <f>VLOOKUP(($B94),'Irrigation Returns'!$B$644:$P$930,7,FALSE)</f>
        <v>0</v>
      </c>
      <c r="H97" s="54">
        <f>VLOOKUP(($B94),'Irrigation Returns'!$B$644:$P$930,8,FALSE)</f>
        <v>271.7851217458678</v>
      </c>
      <c r="I97" s="54">
        <f>VLOOKUP(($B94),'Irrigation Returns'!$B$644:$P$930,9,FALSE)</f>
        <v>470.19817735020672</v>
      </c>
      <c r="J97" s="54">
        <f>VLOOKUP(($B94),'Irrigation Returns'!$B$644:$P$930,10,FALSE)</f>
        <v>533.38134341942157</v>
      </c>
      <c r="K97" s="54">
        <f>VLOOKUP(($B94),'Irrigation Returns'!$B$644:$P$930,11,FALSE)</f>
        <v>537.85747633781</v>
      </c>
      <c r="L97" s="54">
        <f>VLOOKUP(($B94),'Irrigation Returns'!$B$644:$P$930,12,FALSE)</f>
        <v>472.89873128615699</v>
      </c>
      <c r="M97" s="54">
        <f>VLOOKUP(($B94),'Irrigation Returns'!$B$644:$P$930,13,FALSE)</f>
        <v>229.29656731404958</v>
      </c>
      <c r="N97" s="54">
        <f>VLOOKUP(($B94),'Irrigation Returns'!$B$644:$P$930,14,FALSE)</f>
        <v>108.23202590392562</v>
      </c>
      <c r="O97" s="110">
        <f>VLOOKUP(($B94),'Irrigation Returns'!$B$644:$P$930,15,FALSE)</f>
        <v>40.039714907024788</v>
      </c>
    </row>
    <row r="98" spans="2:15" ht="14.25">
      <c r="B98" s="14" t="s">
        <v>328</v>
      </c>
      <c r="C98" s="13" t="s">
        <v>180</v>
      </c>
      <c r="D98" s="54">
        <f>VLOOKUP($B98,GainLoss!$B$5:$O$14,3,FALSE)</f>
        <v>0</v>
      </c>
      <c r="E98" s="54">
        <f>VLOOKUP($B98,GainLoss!$B$5:$O$14,4,FALSE)</f>
        <v>0</v>
      </c>
      <c r="F98" s="54">
        <f>VLOOKUP($B98,GainLoss!$B$5:$O$14,5,FALSE)</f>
        <v>0</v>
      </c>
      <c r="G98" s="54">
        <f>VLOOKUP($B98,GainLoss!$B$5:$O$14,6,FALSE)</f>
        <v>0</v>
      </c>
      <c r="H98" s="54">
        <f>VLOOKUP($B98,GainLoss!$B$5:$O$14,7,FALSE)</f>
        <v>0</v>
      </c>
      <c r="I98" s="54">
        <f>VLOOKUP($B98,GainLoss!$B$5:$O$14,8,FALSE)</f>
        <v>0</v>
      </c>
      <c r="J98" s="54">
        <f>VLOOKUP($B98,GainLoss!$B$5:$O$14,9,FALSE)</f>
        <v>0</v>
      </c>
      <c r="K98" s="54">
        <f>VLOOKUP($B98,GainLoss!$B$5:$O$14,10,FALSE)</f>
        <v>0</v>
      </c>
      <c r="L98" s="54">
        <f>VLOOKUP($B98,GainLoss!$B$5:$O$14,11,FALSE)</f>
        <v>0</v>
      </c>
      <c r="M98" s="54">
        <f>VLOOKUP($B98,GainLoss!$B$5:$O$14,12,FALSE)</f>
        <v>0</v>
      </c>
      <c r="N98" s="54">
        <f>VLOOKUP($B98,GainLoss!$B$5:$O$14,13,FALSE)</f>
        <v>0</v>
      </c>
      <c r="O98" s="110">
        <f>VLOOKUP($B98,GainLoss!$B$5:$O$14,14,FALSE)</f>
        <v>0</v>
      </c>
    </row>
    <row r="99" spans="2:15" ht="14.25">
      <c r="B99" s="14" t="str">
        <f>+B94 &amp;" Import/Export"</f>
        <v>Node 10.08 Import/Export</v>
      </c>
      <c r="C99" s="13"/>
      <c r="D99" s="190">
        <f>VLOOKUP($B94,ImportExport!$B$6:$O$68,3,FALSE)</f>
        <v>0</v>
      </c>
      <c r="E99" s="190">
        <f>VLOOKUP($B94,ImportExport!$B$6:$O$68,4,FALSE)</f>
        <v>0</v>
      </c>
      <c r="F99" s="190">
        <f>VLOOKUP($B94,ImportExport!$B$6:$O$68,5,FALSE)</f>
        <v>0</v>
      </c>
      <c r="G99" s="190">
        <f>VLOOKUP($B94,ImportExport!$B$6:$O$68,6,FALSE)</f>
        <v>0</v>
      </c>
      <c r="H99" s="190">
        <f>VLOOKUP($B94,ImportExport!$B$6:$O$68,7,FALSE)</f>
        <v>0</v>
      </c>
      <c r="I99" s="190">
        <f>VLOOKUP($B94,ImportExport!$B$6:$O$68,8,FALSE)</f>
        <v>0</v>
      </c>
      <c r="J99" s="190">
        <f>VLOOKUP($B94,ImportExport!$B$6:$O$68,9,FALSE)</f>
        <v>0</v>
      </c>
      <c r="K99" s="190">
        <f>VLOOKUP($B94,ImportExport!$B$6:$O$68,10,FALSE)</f>
        <v>0</v>
      </c>
      <c r="L99" s="190">
        <f>VLOOKUP($B94,ImportExport!$B$6:$O$68,11,FALSE)</f>
        <v>0</v>
      </c>
      <c r="M99" s="190">
        <f>VLOOKUP($B94,ImportExport!$B$6:$O$68,12,FALSE)</f>
        <v>0</v>
      </c>
      <c r="N99" s="190">
        <f>VLOOKUP($B94,ImportExport!$B$6:$O$68,13,FALSE)</f>
        <v>0</v>
      </c>
      <c r="O99" s="197">
        <f>VLOOKUP($B94,ImportExport!$B$6:$O$68,14,FALSE)</f>
        <v>0</v>
      </c>
    </row>
    <row r="100" spans="2:15" ht="15.75" thickBot="1">
      <c r="B100" s="18" t="str">
        <f>"Total "&amp; (B94)&amp;" Inflow"</f>
        <v>Total Node 10.08 Inflow</v>
      </c>
      <c r="C100" s="17"/>
      <c r="D100" s="25">
        <f t="shared" ref="D100:O100" si="28">SUM(D96:D99)</f>
        <v>5388.071233917356</v>
      </c>
      <c r="E100" s="25">
        <f t="shared" si="28"/>
        <v>4863.5999072231407</v>
      </c>
      <c r="F100" s="25">
        <f t="shared" si="28"/>
        <v>6777.0651309752056</v>
      </c>
      <c r="G100" s="25">
        <f t="shared" si="28"/>
        <v>8246.7778850413215</v>
      </c>
      <c r="H100" s="25">
        <f t="shared" si="28"/>
        <v>15238.632080076091</v>
      </c>
      <c r="I100" s="25">
        <f t="shared" si="28"/>
        <v>14789.640721103249</v>
      </c>
      <c r="J100" s="25">
        <f t="shared" si="28"/>
        <v>8514.8542595309136</v>
      </c>
      <c r="K100" s="25">
        <f t="shared" si="28"/>
        <v>5454.1879525455715</v>
      </c>
      <c r="L100" s="25">
        <f t="shared" si="28"/>
        <v>4244.8923212197824</v>
      </c>
      <c r="M100" s="25">
        <f t="shared" si="28"/>
        <v>6325.7695211183163</v>
      </c>
      <c r="N100" s="25">
        <f t="shared" si="28"/>
        <v>6236.0491563766655</v>
      </c>
      <c r="O100" s="26">
        <f t="shared" si="28"/>
        <v>5658.8521224482447</v>
      </c>
    </row>
    <row r="101" spans="2:15" ht="15">
      <c r="B101" s="19" t="s">
        <v>17</v>
      </c>
      <c r="C101" s="20"/>
      <c r="D101" s="282" t="str">
        <f>IF(((VLOOKUP($B94,'Diversion Data'!$B$3:$O$227,3,FALSE))-D103)&gt;0,"Short","")</f>
        <v/>
      </c>
      <c r="E101" s="282" t="str">
        <f>IF(((VLOOKUP($B94,'Diversion Data'!$B$3:$O$227,4,FALSE))-E103)&gt;0,"Short","")</f>
        <v/>
      </c>
      <c r="F101" s="282" t="str">
        <f>IF(((VLOOKUP($B94,'Diversion Data'!$B$3:$O$227,5,FALSE))-F103)&gt;0,"Short","")</f>
        <v/>
      </c>
      <c r="G101" s="282" t="str">
        <f>IF(((VLOOKUP($B94,'Diversion Data'!$B$3:$O$227,6,FALSE))-G103)&gt;0,"Short","")</f>
        <v/>
      </c>
      <c r="H101" s="282" t="str">
        <f>IF(((VLOOKUP($B94,'Diversion Data'!$B$3:$O$227,7,FALSE))-H103)&gt;0,"Short","")</f>
        <v/>
      </c>
      <c r="I101" s="282" t="str">
        <f>IF(((VLOOKUP($B94,'Diversion Data'!$B$3:$O$227,8,FALSE))-I103)&gt;0,"Short","")</f>
        <v/>
      </c>
      <c r="J101" s="282" t="str">
        <f>IF(((VLOOKUP($B94,'Diversion Data'!$B$3:$O$227,9,FALSE))-J103)&gt;0,"Short","")</f>
        <v/>
      </c>
      <c r="K101" s="282" t="str">
        <f>IF(((VLOOKUP($B94,'Diversion Data'!$B$3:$O$227,10,FALSE))-K103)&gt;0,"Short","")</f>
        <v/>
      </c>
      <c r="L101" s="282" t="str">
        <f>IF(((VLOOKUP($B94,'Diversion Data'!$B$3:$O$227,11,FALSE))-L103)&gt;0,"Short","")</f>
        <v/>
      </c>
      <c r="M101" s="282" t="str">
        <f>IF(((VLOOKUP($B94,'Diversion Data'!$B$3:$O$227,12,FALSE))-M103)&gt;0,"Short","")</f>
        <v/>
      </c>
      <c r="N101" s="282" t="str">
        <f>IF(((VLOOKUP($B94,'Diversion Data'!$B$3:$O$227,13,FALSE))-N103)&gt;0,"Short","")</f>
        <v/>
      </c>
      <c r="O101" s="283" t="str">
        <f>IF(((VLOOKUP($B94,'Diversion Data'!$B$3:$O$227,14,FALSE))-O103)&gt;0,"Short","")</f>
        <v/>
      </c>
    </row>
    <row r="102" spans="2:15" ht="14.25">
      <c r="B102" s="14" t="s">
        <v>81</v>
      </c>
      <c r="C102" s="13" t="s">
        <v>181</v>
      </c>
      <c r="D102" s="171">
        <f>VLOOKUP($B102,GainLoss!$B$19:$O$27,3,FALSE)</f>
        <v>0</v>
      </c>
      <c r="E102" s="171">
        <f>VLOOKUP($B102,GainLoss!$B$19:$O$27,4,FALSE)</f>
        <v>0</v>
      </c>
      <c r="F102" s="171">
        <f>VLOOKUP($B102,GainLoss!$B$19:$O$27,5,FALSE)</f>
        <v>0</v>
      </c>
      <c r="G102" s="171">
        <f>VLOOKUP($B102,GainLoss!$B$19:$O$27,6,FALSE)</f>
        <v>0</v>
      </c>
      <c r="H102" s="171">
        <f>VLOOKUP($B102,GainLoss!$B$19:$O$27,7,FALSE)</f>
        <v>0</v>
      </c>
      <c r="I102" s="171">
        <f>VLOOKUP($B102,GainLoss!$B$19:$O$27,8,FALSE)</f>
        <v>0</v>
      </c>
      <c r="J102" s="171">
        <f>VLOOKUP($B102,GainLoss!$B$19:$O$27,9,FALSE)</f>
        <v>0</v>
      </c>
      <c r="K102" s="171">
        <f>VLOOKUP($B102,GainLoss!$B$19:$O$27,10,FALSE)</f>
        <v>0</v>
      </c>
      <c r="L102" s="171">
        <f>VLOOKUP($B102,GainLoss!$B$19:$O$27,11,FALSE)</f>
        <v>0</v>
      </c>
      <c r="M102" s="171">
        <f>VLOOKUP($B102,GainLoss!$B$19:$O$27,12,FALSE)</f>
        <v>0</v>
      </c>
      <c r="N102" s="171">
        <f>VLOOKUP($B102,GainLoss!$B$19:$O$27,13,FALSE)</f>
        <v>0</v>
      </c>
      <c r="O102" s="198">
        <f>VLOOKUP($B102,GainLoss!$B$19:$O$27,14,FALSE)</f>
        <v>0</v>
      </c>
    </row>
    <row r="103" spans="2:15" ht="14.25">
      <c r="B103" s="14" t="str">
        <f>+B94 &amp;" Diversions"</f>
        <v>Node 10.08 Diversions</v>
      </c>
      <c r="C103" s="13"/>
      <c r="D103" s="54">
        <f>MIN(VLOOKUP($B94,'Diversion Data'!$B$3:$O$227,3,FALSE),(D100-D102))</f>
        <v>0</v>
      </c>
      <c r="E103" s="54">
        <f>MIN(VLOOKUP($B94,'Diversion Data'!$B$3:$O$227,4,FALSE),(E100-E102))</f>
        <v>0</v>
      </c>
      <c r="F103" s="54">
        <f>MIN(VLOOKUP($B94,'Diversion Data'!$B$3:$O$227,5,FALSE),(F100-F102))</f>
        <v>0</v>
      </c>
      <c r="G103" s="54">
        <f>MIN(VLOOKUP($B94,'Diversion Data'!$B$3:$O$227,6,FALSE),(G100-G102))</f>
        <v>0</v>
      </c>
      <c r="H103" s="54">
        <f>MIN(VLOOKUP($B94,'Diversion Data'!$B$3:$O$227,7,FALSE),(H100-H102))</f>
        <v>906.07383264462817</v>
      </c>
      <c r="I103" s="54">
        <f>MIN(VLOOKUP($B94,'Diversion Data'!$B$3:$O$227,8,FALSE),(I100-I102))</f>
        <v>1072.3909917355372</v>
      </c>
      <c r="J103" s="54">
        <f>MIN(VLOOKUP($B94,'Diversion Data'!$B$3:$O$227,9,FALSE),(J100-J102))</f>
        <v>982.21366735537197</v>
      </c>
      <c r="K103" s="54">
        <f>MIN(VLOOKUP($B94,'Diversion Data'!$B$3:$O$227,10,FALSE),(K100-K102))</f>
        <v>477.69111570247929</v>
      </c>
      <c r="L103" s="54">
        <f>MIN(VLOOKUP($B94,'Diversion Data'!$B$3:$O$227,11,FALSE),(L100-L102))</f>
        <v>274.75726239669422</v>
      </c>
      <c r="M103" s="54">
        <f>MIN(VLOOKUP($B94,'Diversion Data'!$B$3:$O$227,12,FALSE),(M100-M102))</f>
        <v>0</v>
      </c>
      <c r="N103" s="54">
        <f>MIN(VLOOKUP($B94,'Diversion Data'!$B$3:$O$227,13,FALSE),(N100-N102))</f>
        <v>0</v>
      </c>
      <c r="O103" s="110">
        <f>MIN(VLOOKUP($B94,'Diversion Data'!$B$3:$O$227,14,FALSE),(O100-O102))</f>
        <v>0</v>
      </c>
    </row>
    <row r="104" spans="2:15" ht="15.75" thickBot="1">
      <c r="B104" s="24" t="str">
        <f>"Total " &amp; (B94) &amp;" Outflow"</f>
        <v>Total Node 10.08 Outflow</v>
      </c>
      <c r="C104" s="23"/>
      <c r="D104" s="27">
        <f t="shared" ref="D104:O104" si="29">SUM(D102:D103)</f>
        <v>0</v>
      </c>
      <c r="E104" s="27">
        <f t="shared" si="29"/>
        <v>0</v>
      </c>
      <c r="F104" s="27">
        <f t="shared" si="29"/>
        <v>0</v>
      </c>
      <c r="G104" s="27">
        <f t="shared" si="29"/>
        <v>0</v>
      </c>
      <c r="H104" s="27">
        <f t="shared" si="29"/>
        <v>906.07383264462817</v>
      </c>
      <c r="I104" s="27">
        <f t="shared" si="29"/>
        <v>1072.3909917355372</v>
      </c>
      <c r="J104" s="27">
        <f t="shared" si="29"/>
        <v>982.21366735537197</v>
      </c>
      <c r="K104" s="27">
        <f t="shared" si="29"/>
        <v>477.69111570247929</v>
      </c>
      <c r="L104" s="27">
        <f t="shared" si="29"/>
        <v>274.75726239669422</v>
      </c>
      <c r="M104" s="27">
        <f t="shared" si="29"/>
        <v>0</v>
      </c>
      <c r="N104" s="27">
        <f t="shared" si="29"/>
        <v>0</v>
      </c>
      <c r="O104" s="28">
        <f t="shared" si="29"/>
        <v>0</v>
      </c>
    </row>
    <row r="105" spans="2:15" ht="15.75" thickBot="1">
      <c r="B105" s="24" t="str">
        <f>(B94)&amp;" NET Flow (In - Out)"</f>
        <v>Node 10.08 NET Flow (In - Out)</v>
      </c>
      <c r="C105" s="23"/>
      <c r="D105" s="193">
        <f t="shared" ref="D105:O105" si="30">MAX(D100-D104,0)</f>
        <v>5388.071233917356</v>
      </c>
      <c r="E105" s="193">
        <f t="shared" si="30"/>
        <v>4863.5999072231407</v>
      </c>
      <c r="F105" s="193">
        <f t="shared" si="30"/>
        <v>6777.0651309752056</v>
      </c>
      <c r="G105" s="193">
        <f t="shared" si="30"/>
        <v>8246.7778850413215</v>
      </c>
      <c r="H105" s="193">
        <f t="shared" si="30"/>
        <v>14332.558247431463</v>
      </c>
      <c r="I105" s="193">
        <f t="shared" si="30"/>
        <v>13717.249729367712</v>
      </c>
      <c r="J105" s="193">
        <f t="shared" si="30"/>
        <v>7532.6405921755413</v>
      </c>
      <c r="K105" s="193">
        <f t="shared" si="30"/>
        <v>4976.4968368430918</v>
      </c>
      <c r="L105" s="193">
        <f t="shared" si="30"/>
        <v>3970.135058823088</v>
      </c>
      <c r="M105" s="193">
        <f t="shared" si="30"/>
        <v>6325.7695211183163</v>
      </c>
      <c r="N105" s="193">
        <f t="shared" si="30"/>
        <v>6236.0491563766655</v>
      </c>
      <c r="O105" s="200">
        <f t="shared" si="30"/>
        <v>5658.8521224482447</v>
      </c>
    </row>
    <row r="107" spans="2:15" ht="15.75" thickBot="1">
      <c r="B107" s="108" t="s">
        <v>151</v>
      </c>
      <c r="C107" s="109" t="str">
        <f>VLOOKUP(B107,NodeList!$D$4:$E$121,2,FALSE)</f>
        <v>S Branch Irrigating</v>
      </c>
      <c r="D107" s="6"/>
      <c r="E107" s="6"/>
      <c r="F107" s="6"/>
      <c r="G107" s="6"/>
      <c r="H107" s="7"/>
      <c r="I107" s="7"/>
      <c r="J107" s="7"/>
      <c r="K107" s="7"/>
      <c r="L107" s="7"/>
      <c r="M107" s="7"/>
      <c r="N107" s="7"/>
      <c r="O107" s="7"/>
    </row>
    <row r="108" spans="2:15" ht="15">
      <c r="B108" s="9" t="s">
        <v>16</v>
      </c>
      <c r="C108" s="10"/>
      <c r="D108" s="11" t="s">
        <v>0</v>
      </c>
      <c r="E108" s="11" t="s">
        <v>1</v>
      </c>
      <c r="F108" s="11" t="s">
        <v>2</v>
      </c>
      <c r="G108" s="11" t="s">
        <v>3</v>
      </c>
      <c r="H108" s="11" t="s">
        <v>4</v>
      </c>
      <c r="I108" s="11" t="s">
        <v>5</v>
      </c>
      <c r="J108" s="11" t="s">
        <v>6</v>
      </c>
      <c r="K108" s="11" t="s">
        <v>7</v>
      </c>
      <c r="L108" s="11" t="s">
        <v>8</v>
      </c>
      <c r="M108" s="11" t="s">
        <v>9</v>
      </c>
      <c r="N108" s="11" t="s">
        <v>10</v>
      </c>
      <c r="O108" s="12" t="s">
        <v>11</v>
      </c>
    </row>
    <row r="109" spans="2:15" ht="14.25">
      <c r="B109" s="14" t="str">
        <f>+B107 &amp;" Node Inflow"</f>
        <v>Node 10.09 Node Inflow</v>
      </c>
      <c r="C109" s="13"/>
      <c r="D109" s="15">
        <f>+D105</f>
        <v>5388.071233917356</v>
      </c>
      <c r="E109" s="15">
        <f t="shared" ref="E109:O109" si="31">+E105</f>
        <v>4863.5999072231407</v>
      </c>
      <c r="F109" s="15">
        <f t="shared" si="31"/>
        <v>6777.0651309752056</v>
      </c>
      <c r="G109" s="15">
        <f t="shared" si="31"/>
        <v>8246.7778850413215</v>
      </c>
      <c r="H109" s="15">
        <f t="shared" si="31"/>
        <v>14332.558247431463</v>
      </c>
      <c r="I109" s="15">
        <f t="shared" si="31"/>
        <v>13717.249729367712</v>
      </c>
      <c r="J109" s="15">
        <f t="shared" si="31"/>
        <v>7532.6405921755413</v>
      </c>
      <c r="K109" s="15">
        <f t="shared" si="31"/>
        <v>4976.4968368430918</v>
      </c>
      <c r="L109" s="15">
        <f t="shared" si="31"/>
        <v>3970.135058823088</v>
      </c>
      <c r="M109" s="15">
        <f t="shared" si="31"/>
        <v>6325.7695211183163</v>
      </c>
      <c r="N109" s="15">
        <f t="shared" si="31"/>
        <v>6236.0491563766655</v>
      </c>
      <c r="O109" s="16">
        <f t="shared" si="31"/>
        <v>5658.8521224482447</v>
      </c>
    </row>
    <row r="110" spans="2:15" ht="14.25">
      <c r="B110" s="14" t="str">
        <f>+B107 &amp;" Irrigation Returns"</f>
        <v>Node 10.09 Irrigation Returns</v>
      </c>
      <c r="C110" s="13"/>
      <c r="D110" s="54">
        <f>VLOOKUP(($B107),'Irrigation Returns'!$B$644:$P$930,4,FALSE)</f>
        <v>0</v>
      </c>
      <c r="E110" s="54">
        <f>VLOOKUP(($B107),'Irrigation Returns'!$B$644:$P$930,5,FALSE)</f>
        <v>0</v>
      </c>
      <c r="F110" s="54">
        <f>VLOOKUP(($B107),'Irrigation Returns'!$B$644:$P$930,6,FALSE)</f>
        <v>0</v>
      </c>
      <c r="G110" s="54">
        <f>VLOOKUP(($B107),'Irrigation Returns'!$B$644:$P$930,7,FALSE)</f>
        <v>0</v>
      </c>
      <c r="H110" s="54">
        <f>VLOOKUP(($B107),'Irrigation Returns'!$B$644:$P$930,8,FALSE)</f>
        <v>0</v>
      </c>
      <c r="I110" s="54">
        <f>VLOOKUP(($B107),'Irrigation Returns'!$B$644:$P$930,9,FALSE)</f>
        <v>0</v>
      </c>
      <c r="J110" s="54">
        <f>VLOOKUP(($B107),'Irrigation Returns'!$B$644:$P$930,10,FALSE)</f>
        <v>0</v>
      </c>
      <c r="K110" s="54">
        <f>VLOOKUP(($B107),'Irrigation Returns'!$B$644:$P$930,11,FALSE)</f>
        <v>0</v>
      </c>
      <c r="L110" s="54">
        <f>VLOOKUP(($B107),'Irrigation Returns'!$B$644:$P$930,12,FALSE)</f>
        <v>0</v>
      </c>
      <c r="M110" s="54">
        <f>VLOOKUP(($B107),'Irrigation Returns'!$B$644:$P$930,13,FALSE)</f>
        <v>0</v>
      </c>
      <c r="N110" s="54">
        <f>VLOOKUP(($B107),'Irrigation Returns'!$B$644:$P$930,14,FALSE)</f>
        <v>0</v>
      </c>
      <c r="O110" s="110">
        <f>VLOOKUP(($B107),'Irrigation Returns'!$B$644:$P$930,15,FALSE)</f>
        <v>0</v>
      </c>
    </row>
    <row r="111" spans="2:15" ht="14.25">
      <c r="B111" s="14" t="s">
        <v>328</v>
      </c>
      <c r="C111" s="13" t="s">
        <v>180</v>
      </c>
      <c r="D111" s="54">
        <f>VLOOKUP($B111,GainLoss!$B$5:$O$14,3,FALSE)</f>
        <v>0</v>
      </c>
      <c r="E111" s="54">
        <f>VLOOKUP($B111,GainLoss!$B$5:$O$14,4,FALSE)</f>
        <v>0</v>
      </c>
      <c r="F111" s="54">
        <f>VLOOKUP($B111,GainLoss!$B$5:$O$14,5,FALSE)</f>
        <v>0</v>
      </c>
      <c r="G111" s="54">
        <f>VLOOKUP($B111,GainLoss!$B$5:$O$14,6,FALSE)</f>
        <v>0</v>
      </c>
      <c r="H111" s="54">
        <f>VLOOKUP($B111,GainLoss!$B$5:$O$14,7,FALSE)</f>
        <v>0</v>
      </c>
      <c r="I111" s="54">
        <f>VLOOKUP($B111,GainLoss!$B$5:$O$14,8,FALSE)</f>
        <v>0</v>
      </c>
      <c r="J111" s="54">
        <f>VLOOKUP($B111,GainLoss!$B$5:$O$14,9,FALSE)</f>
        <v>0</v>
      </c>
      <c r="K111" s="54">
        <f>VLOOKUP($B111,GainLoss!$B$5:$O$14,10,FALSE)</f>
        <v>0</v>
      </c>
      <c r="L111" s="54">
        <f>VLOOKUP($B111,GainLoss!$B$5:$O$14,11,FALSE)</f>
        <v>0</v>
      </c>
      <c r="M111" s="54">
        <f>VLOOKUP($B111,GainLoss!$B$5:$O$14,12,FALSE)</f>
        <v>0</v>
      </c>
      <c r="N111" s="54">
        <f>VLOOKUP($B111,GainLoss!$B$5:$O$14,13,FALSE)</f>
        <v>0</v>
      </c>
      <c r="O111" s="110">
        <f>VLOOKUP($B111,GainLoss!$B$5:$O$14,14,FALSE)</f>
        <v>0</v>
      </c>
    </row>
    <row r="112" spans="2:15" ht="14.25">
      <c r="B112" s="14" t="str">
        <f>+B107 &amp;" Import/Export"</f>
        <v>Node 10.09 Import/Export</v>
      </c>
      <c r="C112" s="13"/>
      <c r="D112" s="190">
        <f>VLOOKUP($B107,ImportExport!$B$6:$O$68,3,FALSE)</f>
        <v>0</v>
      </c>
      <c r="E112" s="190">
        <f>VLOOKUP($B107,ImportExport!$B$6:$O$68,4,FALSE)</f>
        <v>0</v>
      </c>
      <c r="F112" s="190">
        <f>VLOOKUP($B107,ImportExport!$B$6:$O$68,5,FALSE)</f>
        <v>0</v>
      </c>
      <c r="G112" s="190">
        <f>VLOOKUP($B107,ImportExport!$B$6:$O$68,6,FALSE)</f>
        <v>0</v>
      </c>
      <c r="H112" s="190">
        <f>VLOOKUP($B107,ImportExport!$B$6:$O$68,7,FALSE)</f>
        <v>0</v>
      </c>
      <c r="I112" s="190">
        <f>VLOOKUP($B107,ImportExport!$B$6:$O$68,8,FALSE)</f>
        <v>0</v>
      </c>
      <c r="J112" s="190">
        <f>VLOOKUP($B107,ImportExport!$B$6:$O$68,9,FALSE)</f>
        <v>0</v>
      </c>
      <c r="K112" s="190">
        <f>VLOOKUP($B107,ImportExport!$B$6:$O$68,10,FALSE)</f>
        <v>0</v>
      </c>
      <c r="L112" s="190">
        <f>VLOOKUP($B107,ImportExport!$B$6:$O$68,11,FALSE)</f>
        <v>0</v>
      </c>
      <c r="M112" s="190">
        <f>VLOOKUP($B107,ImportExport!$B$6:$O$68,12,FALSE)</f>
        <v>0</v>
      </c>
      <c r="N112" s="190">
        <f>VLOOKUP($B107,ImportExport!$B$6:$O$68,13,FALSE)</f>
        <v>0</v>
      </c>
      <c r="O112" s="197">
        <f>VLOOKUP($B107,ImportExport!$B$6:$O$68,14,FALSE)</f>
        <v>0</v>
      </c>
    </row>
    <row r="113" spans="2:15" ht="15.75" thickBot="1">
      <c r="B113" s="18" t="str">
        <f>"Total "&amp; (B107)&amp;" Inflow"</f>
        <v>Total Node 10.09 Inflow</v>
      </c>
      <c r="C113" s="17"/>
      <c r="D113" s="25">
        <f t="shared" ref="D113:O113" si="32">SUM(D109:D112)</f>
        <v>5388.071233917356</v>
      </c>
      <c r="E113" s="25">
        <f t="shared" si="32"/>
        <v>4863.5999072231407</v>
      </c>
      <c r="F113" s="25">
        <f t="shared" si="32"/>
        <v>6777.0651309752056</v>
      </c>
      <c r="G113" s="25">
        <f t="shared" si="32"/>
        <v>8246.7778850413215</v>
      </c>
      <c r="H113" s="25">
        <f t="shared" si="32"/>
        <v>14332.558247431463</v>
      </c>
      <c r="I113" s="25">
        <f t="shared" si="32"/>
        <v>13717.249729367712</v>
      </c>
      <c r="J113" s="25">
        <f t="shared" si="32"/>
        <v>7532.6405921755413</v>
      </c>
      <c r="K113" s="25">
        <f t="shared" si="32"/>
        <v>4976.4968368430918</v>
      </c>
      <c r="L113" s="25">
        <f t="shared" si="32"/>
        <v>3970.135058823088</v>
      </c>
      <c r="M113" s="25">
        <f t="shared" si="32"/>
        <v>6325.7695211183163</v>
      </c>
      <c r="N113" s="25">
        <f t="shared" si="32"/>
        <v>6236.0491563766655</v>
      </c>
      <c r="O113" s="26">
        <f t="shared" si="32"/>
        <v>5658.8521224482447</v>
      </c>
    </row>
    <row r="114" spans="2:15" ht="15">
      <c r="B114" s="19" t="s">
        <v>17</v>
      </c>
      <c r="C114" s="20"/>
      <c r="D114" s="282" t="str">
        <f>IF(((VLOOKUP($B107,'Diversion Data'!$B$3:$O$227,3,FALSE))-D116)&gt;0,"Short","")</f>
        <v/>
      </c>
      <c r="E114" s="282" t="str">
        <f>IF(((VLOOKUP($B107,'Diversion Data'!$B$3:$O$227,4,FALSE))-E116)&gt;0,"Short","")</f>
        <v/>
      </c>
      <c r="F114" s="282" t="str">
        <f>IF(((VLOOKUP($B107,'Diversion Data'!$B$3:$O$227,5,FALSE))-F116)&gt;0,"Short","")</f>
        <v/>
      </c>
      <c r="G114" s="282" t="str">
        <f>IF(((VLOOKUP($B107,'Diversion Data'!$B$3:$O$227,6,FALSE))-G116)&gt;0,"Short","")</f>
        <v/>
      </c>
      <c r="H114" s="282" t="str">
        <f>IF(((VLOOKUP($B107,'Diversion Data'!$B$3:$O$227,7,FALSE))-H116)&gt;0,"Short","")</f>
        <v/>
      </c>
      <c r="I114" s="282" t="str">
        <f>IF(((VLOOKUP($B107,'Diversion Data'!$B$3:$O$227,8,FALSE))-I116)&gt;0,"Short","")</f>
        <v/>
      </c>
      <c r="J114" s="282" t="str">
        <f>IF(((VLOOKUP($B107,'Diversion Data'!$B$3:$O$227,9,FALSE))-J116)&gt;0,"Short","")</f>
        <v/>
      </c>
      <c r="K114" s="282" t="str">
        <f>IF(((VLOOKUP($B107,'Diversion Data'!$B$3:$O$227,10,FALSE))-K116)&gt;0,"Short","")</f>
        <v/>
      </c>
      <c r="L114" s="282" t="str">
        <f>IF(((VLOOKUP($B107,'Diversion Data'!$B$3:$O$227,11,FALSE))-L116)&gt;0,"Short","")</f>
        <v/>
      </c>
      <c r="M114" s="282" t="str">
        <f>IF(((VLOOKUP($B107,'Diversion Data'!$B$3:$O$227,12,FALSE))-M116)&gt;0,"Short","")</f>
        <v/>
      </c>
      <c r="N114" s="282" t="str">
        <f>IF(((VLOOKUP($B107,'Diversion Data'!$B$3:$O$227,13,FALSE))-N116)&gt;0,"Short","")</f>
        <v/>
      </c>
      <c r="O114" s="283" t="str">
        <f>IF(((VLOOKUP($B107,'Diversion Data'!$B$3:$O$227,14,FALSE))-O116)&gt;0,"Short","")</f>
        <v/>
      </c>
    </row>
    <row r="115" spans="2:15" ht="14.25">
      <c r="B115" s="14" t="s">
        <v>81</v>
      </c>
      <c r="C115" s="13" t="s">
        <v>181</v>
      </c>
      <c r="D115" s="171">
        <f>VLOOKUP($B115,GainLoss!$B$19:$O$27,3,FALSE)</f>
        <v>0</v>
      </c>
      <c r="E115" s="171">
        <f>VLOOKUP($B115,GainLoss!$B$19:$O$27,4,FALSE)</f>
        <v>0</v>
      </c>
      <c r="F115" s="171">
        <f>VLOOKUP($B115,GainLoss!$B$19:$O$27,5,FALSE)</f>
        <v>0</v>
      </c>
      <c r="G115" s="171">
        <f>VLOOKUP($B115,GainLoss!$B$19:$O$27,6,FALSE)</f>
        <v>0</v>
      </c>
      <c r="H115" s="171">
        <f>VLOOKUP($B115,GainLoss!$B$19:$O$27,7,FALSE)</f>
        <v>0</v>
      </c>
      <c r="I115" s="171">
        <f>VLOOKUP($B115,GainLoss!$B$19:$O$27,8,FALSE)</f>
        <v>0</v>
      </c>
      <c r="J115" s="171">
        <f>VLOOKUP($B115,GainLoss!$B$19:$O$27,9,FALSE)</f>
        <v>0</v>
      </c>
      <c r="K115" s="171">
        <f>VLOOKUP($B115,GainLoss!$B$19:$O$27,10,FALSE)</f>
        <v>0</v>
      </c>
      <c r="L115" s="171">
        <f>VLOOKUP($B115,GainLoss!$B$19:$O$27,11,FALSE)</f>
        <v>0</v>
      </c>
      <c r="M115" s="171">
        <f>VLOOKUP($B115,GainLoss!$B$19:$O$27,12,FALSE)</f>
        <v>0</v>
      </c>
      <c r="N115" s="171">
        <f>VLOOKUP($B115,GainLoss!$B$19:$O$27,13,FALSE)</f>
        <v>0</v>
      </c>
      <c r="O115" s="198">
        <f>VLOOKUP($B115,GainLoss!$B$19:$O$27,14,FALSE)</f>
        <v>0</v>
      </c>
    </row>
    <row r="116" spans="2:15" ht="14.25">
      <c r="B116" s="14" t="str">
        <f>+B107 &amp;" Diversions"</f>
        <v>Node 10.09 Diversions</v>
      </c>
      <c r="C116" s="13"/>
      <c r="D116" s="54">
        <f>MIN(VLOOKUP($B107,'Diversion Data'!$B$3:$O$227,3,FALSE),(D113-D115))</f>
        <v>0</v>
      </c>
      <c r="E116" s="54">
        <f>MIN(VLOOKUP($B107,'Diversion Data'!$B$3:$O$227,4,FALSE),(E113-E115))</f>
        <v>0</v>
      </c>
      <c r="F116" s="54">
        <f>MIN(VLOOKUP($B107,'Diversion Data'!$B$3:$O$227,5,FALSE),(F113-F115))</f>
        <v>0</v>
      </c>
      <c r="G116" s="54">
        <f>MIN(VLOOKUP($B107,'Diversion Data'!$B$3:$O$227,6,FALSE),(G113-G115))</f>
        <v>0</v>
      </c>
      <c r="H116" s="54">
        <f>MIN(VLOOKUP($B107,'Diversion Data'!$B$3:$O$227,7,FALSE),(H113-H115))</f>
        <v>660.24105371900828</v>
      </c>
      <c r="I116" s="54">
        <f>MIN(VLOOKUP($B107,'Diversion Data'!$B$3:$O$227,8,FALSE),(I113-I115))</f>
        <v>556.07561983471078</v>
      </c>
      <c r="J116" s="54">
        <f>MIN(VLOOKUP($B107,'Diversion Data'!$B$3:$O$227,9,FALSE),(J113-J115))</f>
        <v>311.0227066115703</v>
      </c>
      <c r="K116" s="54">
        <f>MIN(VLOOKUP($B107,'Diversion Data'!$B$3:$O$227,10,FALSE),(K113-K115))</f>
        <v>82.094886363636363</v>
      </c>
      <c r="L116" s="54">
        <f>MIN(VLOOKUP($B107,'Diversion Data'!$B$3:$O$227,11,FALSE),(L113-L115))</f>
        <v>38.907386363636363</v>
      </c>
      <c r="M116" s="54">
        <f>MIN(VLOOKUP($B107,'Diversion Data'!$B$3:$O$227,12,FALSE),(M113-M115))</f>
        <v>0</v>
      </c>
      <c r="N116" s="54">
        <f>MIN(VLOOKUP($B107,'Diversion Data'!$B$3:$O$227,13,FALSE),(N113-N115))</f>
        <v>0</v>
      </c>
      <c r="O116" s="110">
        <f>MIN(VLOOKUP($B107,'Diversion Data'!$B$3:$O$227,14,FALSE),(O113-O115))</f>
        <v>0</v>
      </c>
    </row>
    <row r="117" spans="2:15" ht="15.75" thickBot="1">
      <c r="B117" s="24" t="str">
        <f>"Total " &amp; (B107) &amp;" Outflow"</f>
        <v>Total Node 10.09 Outflow</v>
      </c>
      <c r="C117" s="23"/>
      <c r="D117" s="27">
        <f t="shared" ref="D117:O117" si="33">SUM(D115:D116)</f>
        <v>0</v>
      </c>
      <c r="E117" s="27">
        <f t="shared" si="33"/>
        <v>0</v>
      </c>
      <c r="F117" s="27">
        <f t="shared" si="33"/>
        <v>0</v>
      </c>
      <c r="G117" s="27">
        <f t="shared" si="33"/>
        <v>0</v>
      </c>
      <c r="H117" s="27">
        <f t="shared" si="33"/>
        <v>660.24105371900828</v>
      </c>
      <c r="I117" s="27">
        <f t="shared" si="33"/>
        <v>556.07561983471078</v>
      </c>
      <c r="J117" s="27">
        <f t="shared" si="33"/>
        <v>311.0227066115703</v>
      </c>
      <c r="K117" s="27">
        <f t="shared" si="33"/>
        <v>82.094886363636363</v>
      </c>
      <c r="L117" s="27">
        <f t="shared" si="33"/>
        <v>38.907386363636363</v>
      </c>
      <c r="M117" s="27">
        <f t="shared" si="33"/>
        <v>0</v>
      </c>
      <c r="N117" s="27">
        <f t="shared" si="33"/>
        <v>0</v>
      </c>
      <c r="O117" s="28">
        <f t="shared" si="33"/>
        <v>0</v>
      </c>
    </row>
    <row r="118" spans="2:15" ht="15.75" thickBot="1">
      <c r="B118" s="24" t="str">
        <f>(B107)&amp;" NET Flow (In - Out)"</f>
        <v>Node 10.09 NET Flow (In - Out)</v>
      </c>
      <c r="C118" s="23"/>
      <c r="D118" s="193">
        <f t="shared" ref="D118:O118" si="34">MAX(D113-D117,0)</f>
        <v>5388.071233917356</v>
      </c>
      <c r="E118" s="193">
        <f t="shared" si="34"/>
        <v>4863.5999072231407</v>
      </c>
      <c r="F118" s="193">
        <f t="shared" si="34"/>
        <v>6777.0651309752056</v>
      </c>
      <c r="G118" s="193">
        <f t="shared" si="34"/>
        <v>8246.7778850413215</v>
      </c>
      <c r="H118" s="193">
        <f t="shared" si="34"/>
        <v>13672.317193712455</v>
      </c>
      <c r="I118" s="193">
        <f t="shared" si="34"/>
        <v>13161.174109533</v>
      </c>
      <c r="J118" s="193">
        <f t="shared" si="34"/>
        <v>7221.617885563971</v>
      </c>
      <c r="K118" s="193">
        <f t="shared" si="34"/>
        <v>4894.4019504794551</v>
      </c>
      <c r="L118" s="193">
        <f t="shared" si="34"/>
        <v>3931.2276724594517</v>
      </c>
      <c r="M118" s="193">
        <f t="shared" si="34"/>
        <v>6325.7695211183163</v>
      </c>
      <c r="N118" s="193">
        <f t="shared" si="34"/>
        <v>6236.0491563766655</v>
      </c>
      <c r="O118" s="200">
        <f t="shared" si="34"/>
        <v>5658.8521224482447</v>
      </c>
    </row>
    <row r="120" spans="2:15" ht="15.75" thickBot="1">
      <c r="B120" s="108" t="s">
        <v>312</v>
      </c>
      <c r="C120" s="109" t="str">
        <f>VLOOKUP(B120,NodeList!$D$4:$E$121,2,FALSE)</f>
        <v>AggDiv SF-1</v>
      </c>
      <c r="D120" s="6"/>
      <c r="E120" s="6"/>
      <c r="F120" s="6"/>
      <c r="G120" s="6"/>
      <c r="H120" s="7"/>
      <c r="I120" s="7"/>
      <c r="J120" s="7"/>
      <c r="K120" s="7"/>
      <c r="L120" s="7"/>
      <c r="M120" s="7"/>
      <c r="N120" s="7"/>
      <c r="O120" s="7"/>
    </row>
    <row r="121" spans="2:15" ht="15">
      <c r="B121" s="9" t="s">
        <v>16</v>
      </c>
      <c r="C121" s="10"/>
      <c r="D121" s="11" t="s">
        <v>0</v>
      </c>
      <c r="E121" s="11" t="s">
        <v>1</v>
      </c>
      <c r="F121" s="11" t="s">
        <v>2</v>
      </c>
      <c r="G121" s="11" t="s">
        <v>3</v>
      </c>
      <c r="H121" s="11" t="s">
        <v>4</v>
      </c>
      <c r="I121" s="11" t="s">
        <v>5</v>
      </c>
      <c r="J121" s="11" t="s">
        <v>6</v>
      </c>
      <c r="K121" s="11" t="s">
        <v>7</v>
      </c>
      <c r="L121" s="11" t="s">
        <v>8</v>
      </c>
      <c r="M121" s="11" t="s">
        <v>9</v>
      </c>
      <c r="N121" s="11" t="s">
        <v>10</v>
      </c>
      <c r="O121" s="12" t="s">
        <v>11</v>
      </c>
    </row>
    <row r="122" spans="2:15" ht="14.25">
      <c r="B122" s="14" t="str">
        <f>+B120 &amp;" Node Inflow"</f>
        <v>Node 10.10 Node Inflow</v>
      </c>
      <c r="C122" s="13"/>
      <c r="D122" s="15">
        <f>+D118</f>
        <v>5388.071233917356</v>
      </c>
      <c r="E122" s="15">
        <f t="shared" ref="E122:O122" si="35">+E118</f>
        <v>4863.5999072231407</v>
      </c>
      <c r="F122" s="15">
        <f t="shared" si="35"/>
        <v>6777.0651309752056</v>
      </c>
      <c r="G122" s="15">
        <f t="shared" si="35"/>
        <v>8246.7778850413215</v>
      </c>
      <c r="H122" s="15">
        <f t="shared" si="35"/>
        <v>13672.317193712455</v>
      </c>
      <c r="I122" s="15">
        <f t="shared" si="35"/>
        <v>13161.174109533</v>
      </c>
      <c r="J122" s="15">
        <f t="shared" si="35"/>
        <v>7221.617885563971</v>
      </c>
      <c r="K122" s="15">
        <f t="shared" si="35"/>
        <v>4894.4019504794551</v>
      </c>
      <c r="L122" s="15">
        <f t="shared" si="35"/>
        <v>3931.2276724594517</v>
      </c>
      <c r="M122" s="15">
        <f t="shared" si="35"/>
        <v>6325.7695211183163</v>
      </c>
      <c r="N122" s="15">
        <f t="shared" si="35"/>
        <v>6236.0491563766655</v>
      </c>
      <c r="O122" s="16">
        <f t="shared" si="35"/>
        <v>5658.8521224482447</v>
      </c>
    </row>
    <row r="123" spans="2:15" ht="14.25">
      <c r="B123" s="14" t="str">
        <f>+B120 &amp;" Irrigation Returns"</f>
        <v>Node 10.10 Irrigation Returns</v>
      </c>
      <c r="C123" s="13"/>
      <c r="D123" s="54">
        <f>VLOOKUP(($B120),'Irrigation Returns'!$B$644:$P$930,4,FALSE)</f>
        <v>0</v>
      </c>
      <c r="E123" s="54">
        <f>VLOOKUP(($B120),'Irrigation Returns'!$B$644:$P$930,5,FALSE)</f>
        <v>0</v>
      </c>
      <c r="F123" s="54">
        <f>VLOOKUP(($B120),'Irrigation Returns'!$B$644:$P$930,6,FALSE)</f>
        <v>0</v>
      </c>
      <c r="G123" s="54">
        <f>VLOOKUP(($B120),'Irrigation Returns'!$B$644:$P$930,7,FALSE)</f>
        <v>0</v>
      </c>
      <c r="H123" s="54">
        <f>VLOOKUP(($B120),'Irrigation Returns'!$B$644:$P$930,8,FALSE)</f>
        <v>0</v>
      </c>
      <c r="I123" s="54">
        <f>VLOOKUP(($B120),'Irrigation Returns'!$B$644:$P$930,9,FALSE)</f>
        <v>0</v>
      </c>
      <c r="J123" s="54">
        <f>VLOOKUP(($B120),'Irrigation Returns'!$B$644:$P$930,10,FALSE)</f>
        <v>0</v>
      </c>
      <c r="K123" s="54">
        <f>VLOOKUP(($B120),'Irrigation Returns'!$B$644:$P$930,11,FALSE)</f>
        <v>0</v>
      </c>
      <c r="L123" s="54">
        <f>VLOOKUP(($B120),'Irrigation Returns'!$B$644:$P$930,12,FALSE)</f>
        <v>0</v>
      </c>
      <c r="M123" s="54">
        <f>VLOOKUP(($B120),'Irrigation Returns'!$B$644:$P$930,13,FALSE)</f>
        <v>0</v>
      </c>
      <c r="N123" s="54">
        <f>VLOOKUP(($B120),'Irrigation Returns'!$B$644:$P$930,14,FALSE)</f>
        <v>0</v>
      </c>
      <c r="O123" s="110">
        <f>VLOOKUP(($B120),'Irrigation Returns'!$B$644:$P$930,15,FALSE)</f>
        <v>0</v>
      </c>
    </row>
    <row r="124" spans="2:15" ht="14.25">
      <c r="B124" s="14" t="s">
        <v>328</v>
      </c>
      <c r="C124" s="13" t="s">
        <v>180</v>
      </c>
      <c r="D124" s="54">
        <f>VLOOKUP($B124,GainLoss!$B$5:$O$14,3,FALSE)</f>
        <v>0</v>
      </c>
      <c r="E124" s="54">
        <f>VLOOKUP($B124,GainLoss!$B$5:$O$14,4,FALSE)</f>
        <v>0</v>
      </c>
      <c r="F124" s="54">
        <f>VLOOKUP($B124,GainLoss!$B$5:$O$14,5,FALSE)</f>
        <v>0</v>
      </c>
      <c r="G124" s="54">
        <f>VLOOKUP($B124,GainLoss!$B$5:$O$14,6,FALSE)</f>
        <v>0</v>
      </c>
      <c r="H124" s="54">
        <f>VLOOKUP($B124,GainLoss!$B$5:$O$14,7,FALSE)</f>
        <v>0</v>
      </c>
      <c r="I124" s="54">
        <f>VLOOKUP($B124,GainLoss!$B$5:$O$14,8,FALSE)</f>
        <v>0</v>
      </c>
      <c r="J124" s="54">
        <f>VLOOKUP($B124,GainLoss!$B$5:$O$14,9,FALSE)</f>
        <v>0</v>
      </c>
      <c r="K124" s="54">
        <f>VLOOKUP($B124,GainLoss!$B$5:$O$14,10,FALSE)</f>
        <v>0</v>
      </c>
      <c r="L124" s="54">
        <f>VLOOKUP($B124,GainLoss!$B$5:$O$14,11,FALSE)</f>
        <v>0</v>
      </c>
      <c r="M124" s="54">
        <f>VLOOKUP($B124,GainLoss!$B$5:$O$14,12,FALSE)</f>
        <v>0</v>
      </c>
      <c r="N124" s="54">
        <f>VLOOKUP($B124,GainLoss!$B$5:$O$14,13,FALSE)</f>
        <v>0</v>
      </c>
      <c r="O124" s="110">
        <f>VLOOKUP($B124,GainLoss!$B$5:$O$14,14,FALSE)</f>
        <v>0</v>
      </c>
    </row>
    <row r="125" spans="2:15" ht="14.25">
      <c r="B125" s="14" t="str">
        <f>+B120 &amp;" Import/Export"</f>
        <v>Node 10.10 Import/Export</v>
      </c>
      <c r="C125" s="13"/>
      <c r="D125" s="190">
        <f>VLOOKUP($B120,ImportExport!$B$6:$O$68,3,FALSE)</f>
        <v>0</v>
      </c>
      <c r="E125" s="190">
        <f>VLOOKUP($B120,ImportExport!$B$6:$O$68,4,FALSE)</f>
        <v>0</v>
      </c>
      <c r="F125" s="190">
        <f>VLOOKUP($B120,ImportExport!$B$6:$O$68,5,FALSE)</f>
        <v>0</v>
      </c>
      <c r="G125" s="190">
        <f>VLOOKUP($B120,ImportExport!$B$6:$O$68,6,FALSE)</f>
        <v>0</v>
      </c>
      <c r="H125" s="190">
        <f>VLOOKUP($B120,ImportExport!$B$6:$O$68,7,FALSE)</f>
        <v>0</v>
      </c>
      <c r="I125" s="190">
        <f>VLOOKUP($B120,ImportExport!$B$6:$O$68,8,FALSE)</f>
        <v>0</v>
      </c>
      <c r="J125" s="190">
        <f>VLOOKUP($B120,ImportExport!$B$6:$O$68,9,FALSE)</f>
        <v>0</v>
      </c>
      <c r="K125" s="190">
        <f>VLOOKUP($B120,ImportExport!$B$6:$O$68,10,FALSE)</f>
        <v>0</v>
      </c>
      <c r="L125" s="190">
        <f>VLOOKUP($B120,ImportExport!$B$6:$O$68,11,FALSE)</f>
        <v>0</v>
      </c>
      <c r="M125" s="190">
        <f>VLOOKUP($B120,ImportExport!$B$6:$O$68,12,FALSE)</f>
        <v>0</v>
      </c>
      <c r="N125" s="190">
        <f>VLOOKUP($B120,ImportExport!$B$6:$O$68,13,FALSE)</f>
        <v>0</v>
      </c>
      <c r="O125" s="197">
        <f>VLOOKUP($B120,ImportExport!$B$6:$O$68,14,FALSE)</f>
        <v>0</v>
      </c>
    </row>
    <row r="126" spans="2:15" ht="15.75" thickBot="1">
      <c r="B126" s="18" t="str">
        <f>"Total "&amp; (B120)&amp;" Inflow"</f>
        <v>Total Node 10.10 Inflow</v>
      </c>
      <c r="C126" s="17"/>
      <c r="D126" s="25">
        <f t="shared" ref="D126:O126" si="36">SUM(D122:D125)</f>
        <v>5388.071233917356</v>
      </c>
      <c r="E126" s="25">
        <f t="shared" si="36"/>
        <v>4863.5999072231407</v>
      </c>
      <c r="F126" s="25">
        <f t="shared" si="36"/>
        <v>6777.0651309752056</v>
      </c>
      <c r="G126" s="25">
        <f t="shared" si="36"/>
        <v>8246.7778850413215</v>
      </c>
      <c r="H126" s="25">
        <f t="shared" si="36"/>
        <v>13672.317193712455</v>
      </c>
      <c r="I126" s="25">
        <f t="shared" si="36"/>
        <v>13161.174109533</v>
      </c>
      <c r="J126" s="25">
        <f t="shared" si="36"/>
        <v>7221.617885563971</v>
      </c>
      <c r="K126" s="25">
        <f t="shared" si="36"/>
        <v>4894.4019504794551</v>
      </c>
      <c r="L126" s="25">
        <f t="shared" si="36"/>
        <v>3931.2276724594517</v>
      </c>
      <c r="M126" s="25">
        <f t="shared" si="36"/>
        <v>6325.7695211183163</v>
      </c>
      <c r="N126" s="25">
        <f t="shared" si="36"/>
        <v>6236.0491563766655</v>
      </c>
      <c r="O126" s="26">
        <f t="shared" si="36"/>
        <v>5658.8521224482447</v>
      </c>
    </row>
    <row r="127" spans="2:15" ht="15">
      <c r="B127" s="19" t="s">
        <v>17</v>
      </c>
      <c r="C127" s="20"/>
      <c r="D127" s="282" t="str">
        <f>IF(((VLOOKUP($B120,'Diversion Data'!$B$3:$O$227,3,FALSE))-D129)&gt;0,"Short","")</f>
        <v/>
      </c>
      <c r="E127" s="282" t="str">
        <f>IF(((VLOOKUP($B120,'Diversion Data'!$B$3:$O$227,4,FALSE))-E129)&gt;0,"Short","")</f>
        <v/>
      </c>
      <c r="F127" s="282" t="str">
        <f>IF(((VLOOKUP($B120,'Diversion Data'!$B$3:$O$227,5,FALSE))-F129)&gt;0,"Short","")</f>
        <v/>
      </c>
      <c r="G127" s="282" t="str">
        <f>IF(((VLOOKUP($B120,'Diversion Data'!$B$3:$O$227,6,FALSE))-G129)&gt;0,"Short","")</f>
        <v/>
      </c>
      <c r="H127" s="282" t="str">
        <f>IF(((VLOOKUP($B120,'Diversion Data'!$B$3:$O$227,7,FALSE))-H129)&gt;0,"Short","")</f>
        <v/>
      </c>
      <c r="I127" s="282" t="str">
        <f>IF(((VLOOKUP($B120,'Diversion Data'!$B$3:$O$227,8,FALSE))-I129)&gt;0,"Short","")</f>
        <v/>
      </c>
      <c r="J127" s="282" t="str">
        <f>IF(((VLOOKUP($B120,'Diversion Data'!$B$3:$O$227,9,FALSE))-J129)&gt;0,"Short","")</f>
        <v/>
      </c>
      <c r="K127" s="282" t="str">
        <f>IF(((VLOOKUP($B120,'Diversion Data'!$B$3:$O$227,10,FALSE))-K129)&gt;0,"Short","")</f>
        <v/>
      </c>
      <c r="L127" s="282" t="str">
        <f>IF(((VLOOKUP($B120,'Diversion Data'!$B$3:$O$227,11,FALSE))-L129)&gt;0,"Short","")</f>
        <v/>
      </c>
      <c r="M127" s="282" t="str">
        <f>IF(((VLOOKUP($B120,'Diversion Data'!$B$3:$O$227,12,FALSE))-M129)&gt;0,"Short","")</f>
        <v/>
      </c>
      <c r="N127" s="282" t="str">
        <f>IF(((VLOOKUP($B120,'Diversion Data'!$B$3:$O$227,13,FALSE))-N129)&gt;0,"Short","")</f>
        <v/>
      </c>
      <c r="O127" s="283" t="str">
        <f>IF(((VLOOKUP($B120,'Diversion Data'!$B$3:$O$227,14,FALSE))-O129)&gt;0,"Short","")</f>
        <v/>
      </c>
    </row>
    <row r="128" spans="2:15" ht="14.25">
      <c r="B128" s="14" t="s">
        <v>81</v>
      </c>
      <c r="C128" s="13" t="s">
        <v>181</v>
      </c>
      <c r="D128" s="171">
        <v>0</v>
      </c>
      <c r="E128" s="171">
        <v>0</v>
      </c>
      <c r="F128" s="171">
        <v>0</v>
      </c>
      <c r="G128" s="171">
        <v>0</v>
      </c>
      <c r="H128" s="171">
        <v>0</v>
      </c>
      <c r="I128" s="171">
        <v>0</v>
      </c>
      <c r="J128" s="171">
        <v>0</v>
      </c>
      <c r="K128" s="171">
        <v>0</v>
      </c>
      <c r="L128" s="171">
        <v>0</v>
      </c>
      <c r="M128" s="171">
        <v>0</v>
      </c>
      <c r="N128" s="171">
        <v>0</v>
      </c>
      <c r="O128" s="198">
        <v>0</v>
      </c>
    </row>
    <row r="129" spans="2:15" ht="14.25">
      <c r="B129" s="14" t="str">
        <f>+B120 &amp;" Diversions"</f>
        <v>Node 10.10 Diversions</v>
      </c>
      <c r="C129" s="13"/>
      <c r="D129" s="54">
        <f>MIN(VLOOKUP($B120,'Diversion Data'!$B$3:$O$227,3,FALSE),(D126-D128))</f>
        <v>0</v>
      </c>
      <c r="E129" s="54">
        <f>MIN(VLOOKUP($B120,'Diversion Data'!$B$3:$O$227,4,FALSE),(E126-E128))</f>
        <v>0</v>
      </c>
      <c r="F129" s="54">
        <f>MIN(VLOOKUP($B120,'Diversion Data'!$B$3:$O$227,5,FALSE),(F126-F128))</f>
        <v>0</v>
      </c>
      <c r="G129" s="54">
        <f>MIN(VLOOKUP($B120,'Diversion Data'!$B$3:$O$227,6,FALSE),(G126-G128))</f>
        <v>0</v>
      </c>
      <c r="H129" s="54">
        <f>MIN(VLOOKUP($B120,'Diversion Data'!$B$3:$O$227,7,FALSE),(H126-H128))</f>
        <v>798.12374999999986</v>
      </c>
      <c r="I129" s="54">
        <f>MIN(VLOOKUP($B120,'Diversion Data'!$B$3:$O$227,8,FALSE),(I126-I128))</f>
        <v>2750.2599999999998</v>
      </c>
      <c r="J129" s="54">
        <f>MIN(VLOOKUP($B120,'Diversion Data'!$B$3:$O$227,9,FALSE),(J126-J128))</f>
        <v>2405.3837499999995</v>
      </c>
      <c r="K129" s="54">
        <f>MIN(VLOOKUP($B120,'Diversion Data'!$B$3:$O$227,10,FALSE),(K126-K128))</f>
        <v>1054.1775</v>
      </c>
      <c r="L129" s="54">
        <f>MIN(VLOOKUP($B120,'Diversion Data'!$B$3:$O$227,11,FALSE),(L126-L128))</f>
        <v>348.11</v>
      </c>
      <c r="M129" s="54">
        <f>MIN(VLOOKUP($B120,'Diversion Data'!$B$3:$O$227,12,FALSE),(M126-M128))</f>
        <v>0</v>
      </c>
      <c r="N129" s="54">
        <f>MIN(VLOOKUP($B120,'Diversion Data'!$B$3:$O$227,13,FALSE),(N126-N128))</f>
        <v>0</v>
      </c>
      <c r="O129" s="110">
        <f>MIN(VLOOKUP($B120,'Diversion Data'!$B$3:$O$227,14,FALSE),(O126-O128))</f>
        <v>0</v>
      </c>
    </row>
    <row r="130" spans="2:15" ht="15.75" thickBot="1">
      <c r="B130" s="24" t="str">
        <f>"Total " &amp; (B120) &amp;" Outflow"</f>
        <v>Total Node 10.10 Outflow</v>
      </c>
      <c r="C130" s="23"/>
      <c r="D130" s="27">
        <f t="shared" ref="D130:O130" si="37">SUM(D128:D129)</f>
        <v>0</v>
      </c>
      <c r="E130" s="27">
        <f t="shared" si="37"/>
        <v>0</v>
      </c>
      <c r="F130" s="27">
        <f t="shared" si="37"/>
        <v>0</v>
      </c>
      <c r="G130" s="27">
        <f t="shared" si="37"/>
        <v>0</v>
      </c>
      <c r="H130" s="27">
        <f t="shared" si="37"/>
        <v>798.12374999999986</v>
      </c>
      <c r="I130" s="27">
        <f t="shared" si="37"/>
        <v>2750.2599999999998</v>
      </c>
      <c r="J130" s="27">
        <f t="shared" si="37"/>
        <v>2405.3837499999995</v>
      </c>
      <c r="K130" s="27">
        <f t="shared" si="37"/>
        <v>1054.1775</v>
      </c>
      <c r="L130" s="27">
        <f t="shared" si="37"/>
        <v>348.11</v>
      </c>
      <c r="M130" s="27">
        <f t="shared" si="37"/>
        <v>0</v>
      </c>
      <c r="N130" s="27">
        <f t="shared" si="37"/>
        <v>0</v>
      </c>
      <c r="O130" s="28">
        <f t="shared" si="37"/>
        <v>0</v>
      </c>
    </row>
    <row r="131" spans="2:15" ht="15.75" thickBot="1">
      <c r="B131" s="24" t="str">
        <f>(B120)&amp;" NET Flow (In - Out)"</f>
        <v>Node 10.10 NET Flow (In - Out)</v>
      </c>
      <c r="C131" s="23"/>
      <c r="D131" s="193">
        <f t="shared" ref="D131:O131" si="38">MAX(D126-D130,0)</f>
        <v>5388.071233917356</v>
      </c>
      <c r="E131" s="193">
        <f t="shared" si="38"/>
        <v>4863.5999072231407</v>
      </c>
      <c r="F131" s="193">
        <f t="shared" si="38"/>
        <v>6777.0651309752056</v>
      </c>
      <c r="G131" s="193">
        <f t="shared" si="38"/>
        <v>8246.7778850413215</v>
      </c>
      <c r="H131" s="193">
        <f t="shared" si="38"/>
        <v>12874.193443712455</v>
      </c>
      <c r="I131" s="193">
        <f t="shared" si="38"/>
        <v>10410.914109533</v>
      </c>
      <c r="J131" s="193">
        <f t="shared" si="38"/>
        <v>4816.234135563971</v>
      </c>
      <c r="K131" s="193">
        <f t="shared" si="38"/>
        <v>3840.2244504794553</v>
      </c>
      <c r="L131" s="193">
        <f t="shared" si="38"/>
        <v>3583.1176724594516</v>
      </c>
      <c r="M131" s="193">
        <f t="shared" si="38"/>
        <v>6325.7695211183163</v>
      </c>
      <c r="N131" s="193">
        <f t="shared" si="38"/>
        <v>6236.0491563766655</v>
      </c>
      <c r="O131" s="200">
        <f t="shared" si="38"/>
        <v>5658.8521224482447</v>
      </c>
    </row>
    <row r="135" spans="2:15" ht="20.25">
      <c r="B135" s="285" t="s">
        <v>386</v>
      </c>
      <c r="C135" s="285"/>
      <c r="D135" s="285"/>
      <c r="E135" s="285"/>
      <c r="F135" s="285"/>
      <c r="G135" s="285"/>
      <c r="H135" s="285"/>
      <c r="I135" s="285"/>
      <c r="J135" s="285"/>
      <c r="K135" s="285"/>
      <c r="L135" s="285"/>
      <c r="M135" s="285"/>
      <c r="N135" s="285"/>
      <c r="O135" s="285"/>
    </row>
  </sheetData>
  <sheetProtection objects="1" scenarios="1"/>
  <mergeCells count="3">
    <mergeCell ref="A3:A13"/>
    <mergeCell ref="E1:P1"/>
    <mergeCell ref="T4:AE4"/>
  </mergeCells>
  <phoneticPr fontId="0" type="noConversion"/>
  <conditionalFormatting sqref="D14:O14 D105:O105 D66:O66 D27:O27 D40:O40 D118:O118 D79:O79 D92:O92 D53:O53 D131:O131">
    <cfRule type="cellIs" dxfId="3" priority="1" stopIfTrue="1" operator="lessThanOrEqual">
      <formula>0</formula>
    </cfRule>
  </conditionalFormatting>
  <pageMargins left="0.75" right="0.75" top="1" bottom="1" header="0.5" footer="0.5"/>
  <pageSetup scale="65" fitToHeight="0" orientation="landscape" horizontalDpi="4294967292" verticalDpi="0" r:id="rId1"/>
  <headerFooter alignWithMargins="0">
    <oddHeader>&amp;C&amp;"Arial,Bold"&amp;12Bear River Spreadsheet Model
Dry Year Conditions</oddHeader>
    <oddFooter>&amp;L&amp;F &amp;A&amp;RAPPENDIX A (Page &amp;P of &amp;N)</oddFooter>
  </headerFooter>
  <rowBreaks count="3" manualBreakCount="3">
    <brk id="28" max="15" man="1"/>
    <brk id="67" min="1" max="15" man="1"/>
    <brk id="106" max="15" man="1"/>
  </rowBreaks>
  <legacyDrawing r:id="rId2"/>
</worksheet>
</file>

<file path=xl/worksheets/sheet14.xml><?xml version="1.0" encoding="utf-8"?>
<worksheet xmlns="http://schemas.openxmlformats.org/spreadsheetml/2006/main" xmlns:r="http://schemas.openxmlformats.org/officeDocument/2006/relationships">
  <sheetPr codeName="Sheet22">
    <pageSetUpPr autoPageBreaks="0"/>
  </sheetPr>
  <dimension ref="A1:AI71"/>
  <sheetViews>
    <sheetView showGridLines="0" zoomScale="75" zoomScaleNormal="75" workbookViewId="0">
      <pane ySplit="1" topLeftCell="A38" activePane="bottomLeft" state="frozen"/>
      <selection activeCell="B26" sqref="B26"/>
      <selection pane="bottomLeft" activeCell="A70" sqref="A70:XFD70"/>
    </sheetView>
  </sheetViews>
  <sheetFormatPr defaultRowHeight="12.75"/>
  <cols>
    <col min="1" max="1" width="2.28515625" customWidth="1"/>
    <col min="2" max="2" width="12.28515625" customWidth="1"/>
    <col min="3" max="3" width="25.28515625" customWidth="1"/>
    <col min="4" max="5" width="7.140625" customWidth="1"/>
    <col min="6" max="7" width="8.28515625" customWidth="1"/>
    <col min="8" max="15" width="9.42578125" customWidth="1"/>
  </cols>
  <sheetData>
    <row r="1" spans="1:35" ht="47.25" customHeight="1">
      <c r="A1" s="2"/>
      <c r="B1" s="3"/>
      <c r="C1" s="229"/>
      <c r="E1" s="665" t="s">
        <v>528</v>
      </c>
      <c r="F1" s="665"/>
      <c r="G1" s="665"/>
      <c r="H1" s="665"/>
      <c r="I1" s="665"/>
      <c r="J1" s="665"/>
      <c r="K1" s="665"/>
      <c r="L1" s="665"/>
      <c r="M1" s="665"/>
      <c r="N1" s="665"/>
    </row>
    <row r="2" spans="1:35" ht="18">
      <c r="T2" s="661"/>
      <c r="U2" s="661"/>
      <c r="V2" s="661"/>
      <c r="W2" s="661"/>
      <c r="X2" s="661"/>
      <c r="Y2" s="661"/>
      <c r="Z2" s="661"/>
      <c r="AA2" s="661"/>
      <c r="AB2" s="661"/>
      <c r="AC2" s="661"/>
      <c r="AD2" s="661"/>
      <c r="AE2" s="661"/>
    </row>
    <row r="3" spans="1:35" ht="18" customHeight="1" thickBot="1">
      <c r="A3" s="658"/>
      <c r="B3" s="108" t="s">
        <v>124</v>
      </c>
      <c r="C3" s="109" t="str">
        <f>VLOOKUP(B3,NodeList!$D$4:$E$121,2,FALSE)</f>
        <v>USGS 10038000:  Bear R. bel Smiths Fork, nr Cokeville, WY</v>
      </c>
      <c r="D3" s="6"/>
      <c r="E3" s="6"/>
      <c r="F3" s="6"/>
      <c r="G3" s="6"/>
      <c r="H3" s="295"/>
      <c r="I3" s="295"/>
      <c r="J3" s="295"/>
      <c r="K3" s="295"/>
      <c r="L3" s="295"/>
      <c r="M3" s="295"/>
      <c r="N3" s="295"/>
      <c r="O3" s="434" t="s">
        <v>540</v>
      </c>
      <c r="P3" s="295"/>
      <c r="Q3" s="295"/>
      <c r="R3" s="295"/>
      <c r="S3" s="295"/>
    </row>
    <row r="4" spans="1:35" ht="15" customHeight="1">
      <c r="A4" s="658"/>
      <c r="B4" s="9" t="s">
        <v>16</v>
      </c>
      <c r="C4" s="10"/>
      <c r="D4" s="11" t="s">
        <v>0</v>
      </c>
      <c r="E4" s="11" t="s">
        <v>1</v>
      </c>
      <c r="F4" s="11" t="s">
        <v>2</v>
      </c>
      <c r="G4" s="11" t="s">
        <v>3</v>
      </c>
      <c r="H4" s="11" t="s">
        <v>4</v>
      </c>
      <c r="I4" s="11" t="s">
        <v>5</v>
      </c>
      <c r="J4" s="11" t="s">
        <v>6</v>
      </c>
      <c r="K4" s="11" t="s">
        <v>7</v>
      </c>
      <c r="L4" s="11" t="s">
        <v>8</v>
      </c>
      <c r="M4" s="11" t="s">
        <v>9</v>
      </c>
      <c r="N4" s="11" t="s">
        <v>10</v>
      </c>
      <c r="O4" s="12" t="s">
        <v>11</v>
      </c>
      <c r="T4" s="661"/>
      <c r="U4" s="661"/>
      <c r="V4" s="661"/>
      <c r="W4" s="661"/>
      <c r="X4" s="661"/>
      <c r="Y4" s="661"/>
      <c r="Z4" s="661"/>
      <c r="AA4" s="661"/>
      <c r="AB4" s="661"/>
      <c r="AC4" s="661"/>
      <c r="AD4" s="661"/>
      <c r="AE4" s="661"/>
    </row>
    <row r="5" spans="1:35" ht="15" customHeight="1">
      <c r="A5" s="658"/>
      <c r="B5" s="14" t="str">
        <f>+B3 &amp;" Gage Inflow"</f>
        <v>Node 11.00 Gage Inflow</v>
      </c>
      <c r="C5" s="13"/>
      <c r="D5" s="15">
        <f>+'Reach 9'!D41</f>
        <v>7449.0338842975216</v>
      </c>
      <c r="E5" s="15">
        <f>+'Reach 9'!E41</f>
        <v>6625.053128689493</v>
      </c>
      <c r="F5" s="15">
        <f>+'Reach 9'!F41</f>
        <v>11341.476623376622</v>
      </c>
      <c r="G5" s="15">
        <f>+'Reach 9'!G41</f>
        <v>12132.787012987013</v>
      </c>
      <c r="H5" s="15">
        <f>+'Reach 9'!H41</f>
        <v>20377.469893742622</v>
      </c>
      <c r="I5" s="15">
        <f>+'Reach 9'!I41</f>
        <v>22280.413223140487</v>
      </c>
      <c r="J5" s="15">
        <f>+'Reach 9'!J41</f>
        <v>10474.083452560451</v>
      </c>
      <c r="K5" s="15">
        <f>+'Reach 9'!K41</f>
        <v>7233.8708710583096</v>
      </c>
      <c r="L5" s="15">
        <f>+'Reach 9'!L41</f>
        <v>5497.8336446548001</v>
      </c>
      <c r="M5" s="15">
        <f>+'Reach 9'!M41</f>
        <v>8192.1657615112181</v>
      </c>
      <c r="N5" s="15">
        <f>+'Reach 9'!N41</f>
        <v>8825.0047225501767</v>
      </c>
      <c r="O5" s="16">
        <f>+'Reach 9'!O41</f>
        <v>7803.4761511216075</v>
      </c>
      <c r="AF5" s="295"/>
      <c r="AG5" s="295"/>
      <c r="AH5" s="295"/>
      <c r="AI5" s="295"/>
    </row>
    <row r="6" spans="1:35" ht="15" customHeight="1">
      <c r="A6" s="658"/>
      <c r="B6" s="14" t="str">
        <f>+B3 &amp;" Irrigation Returns"</f>
        <v>Node 11.00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row>
    <row r="7" spans="1:35" ht="15" customHeight="1">
      <c r="A7" s="658"/>
      <c r="B7" s="14" t="s">
        <v>366</v>
      </c>
      <c r="C7" s="13" t="s">
        <v>180</v>
      </c>
      <c r="D7" s="54">
        <f>VLOOKUP($B7,GainLoss!$B$5:$O$14,3,FALSE)</f>
        <v>0</v>
      </c>
      <c r="E7" s="54">
        <f>VLOOKUP($B7,GainLoss!$B$5:$O$14,4,FALSE)</f>
        <v>0</v>
      </c>
      <c r="F7" s="54">
        <f>VLOOKUP($B7,GainLoss!$B$5:$O$14,5,FALSE)</f>
        <v>247.48760330578443</v>
      </c>
      <c r="G7" s="54">
        <f>VLOOKUP($B7,GainLoss!$B$5:$O$14,6,FALSE)</f>
        <v>0</v>
      </c>
      <c r="H7" s="54">
        <f>VLOOKUP($B7,GainLoss!$B$5:$O$14,7,FALSE)</f>
        <v>0</v>
      </c>
      <c r="I7" s="54">
        <f>VLOOKUP($B7,GainLoss!$B$5:$O$14,8,FALSE)</f>
        <v>0</v>
      </c>
      <c r="J7" s="54">
        <f>VLOOKUP($B7,GainLoss!$B$5:$O$14,9,FALSE)</f>
        <v>111.60377575929988</v>
      </c>
      <c r="K7" s="54">
        <f>VLOOKUP($B7,GainLoss!$B$5:$O$14,10,FALSE)</f>
        <v>0</v>
      </c>
      <c r="L7" s="54">
        <f>VLOOKUP($B7,GainLoss!$B$5:$O$14,11,FALSE)</f>
        <v>0</v>
      </c>
      <c r="M7" s="54">
        <f>VLOOKUP($B7,GainLoss!$B$5:$O$14,12,FALSE)</f>
        <v>0</v>
      </c>
      <c r="N7" s="54">
        <f>VLOOKUP($B7,GainLoss!$B$5:$O$14,13,FALSE)</f>
        <v>0</v>
      </c>
      <c r="O7" s="110">
        <f>VLOOKUP($B7,GainLoss!$B$5:$O$14,14,FALSE)</f>
        <v>0</v>
      </c>
    </row>
    <row r="8" spans="1:35" ht="15" customHeight="1">
      <c r="A8" s="658"/>
      <c r="B8" s="14" t="str">
        <f>+B3 &amp;" Import/Export"</f>
        <v>Node 11.00 Import/Export</v>
      </c>
      <c r="C8" s="13"/>
      <c r="D8" s="190">
        <f>VLOOKUP($B3,ImportExport!$B$6:$O$68,3,FALSE)</f>
        <v>0</v>
      </c>
      <c r="E8" s="190">
        <f>VLOOKUP($B3,ImportExport!$B$6:$O$68,4,FALSE)</f>
        <v>0</v>
      </c>
      <c r="F8" s="190">
        <f>VLOOKUP($B3,ImportExport!$B$6:$O$68,5,FALSE)</f>
        <v>0</v>
      </c>
      <c r="G8" s="190">
        <f>VLOOKUP($B3,ImportExport!$B$6:$O$68,6,FALSE)</f>
        <v>0</v>
      </c>
      <c r="H8" s="190">
        <f>VLOOKUP($B3,ImportExport!$B$6:$O$68,7,FALSE)</f>
        <v>0</v>
      </c>
      <c r="I8" s="190">
        <f>VLOOKUP($B3,ImportExport!$B$6:$O$68,8,FALSE)</f>
        <v>0</v>
      </c>
      <c r="J8" s="190">
        <f>VLOOKUP($B3,ImportExport!$B$6:$O$68,9,FALSE)</f>
        <v>0</v>
      </c>
      <c r="K8" s="190">
        <f>VLOOKUP($B3,ImportExport!$B$6:$O$68,10,FALSE)</f>
        <v>0</v>
      </c>
      <c r="L8" s="190">
        <f>VLOOKUP($B3,ImportExport!$B$6:$O$68,11,FALSE)</f>
        <v>0</v>
      </c>
      <c r="M8" s="190">
        <f>VLOOKUP($B3,ImportExport!$B$6:$O$68,12,FALSE)</f>
        <v>0</v>
      </c>
      <c r="N8" s="190">
        <f>VLOOKUP($B3,ImportExport!$B$6:$O$68,13,FALSE)</f>
        <v>0</v>
      </c>
      <c r="O8" s="197">
        <f>VLOOKUP($B3,ImportExport!$B$6:$O$68,14,FALSE)</f>
        <v>0</v>
      </c>
    </row>
    <row r="9" spans="1:35" ht="15" customHeight="1" thickBot="1">
      <c r="A9" s="658"/>
      <c r="B9" s="18" t="str">
        <f>"Total "&amp; (B3)&amp;" Inflow"</f>
        <v>Total Node 11.00 Inflow</v>
      </c>
      <c r="C9" s="17"/>
      <c r="D9" s="25">
        <f>SUM(D5:D8)</f>
        <v>7449.0338842975216</v>
      </c>
      <c r="E9" s="25">
        <f t="shared" ref="E9:O9" si="0">SUM(E5:E8)</f>
        <v>6625.053128689493</v>
      </c>
      <c r="F9" s="25">
        <f t="shared" si="0"/>
        <v>11588.964226682407</v>
      </c>
      <c r="G9" s="25">
        <f t="shared" si="0"/>
        <v>12132.787012987013</v>
      </c>
      <c r="H9" s="25">
        <f t="shared" si="0"/>
        <v>20377.469893742622</v>
      </c>
      <c r="I9" s="25">
        <f t="shared" si="0"/>
        <v>22280.413223140487</v>
      </c>
      <c r="J9" s="25">
        <f t="shared" si="0"/>
        <v>10585.687228319752</v>
      </c>
      <c r="K9" s="25">
        <f t="shared" si="0"/>
        <v>7233.8708710583096</v>
      </c>
      <c r="L9" s="25">
        <f t="shared" si="0"/>
        <v>5497.8336446548001</v>
      </c>
      <c r="M9" s="25">
        <f t="shared" si="0"/>
        <v>8192.1657615112181</v>
      </c>
      <c r="N9" s="25">
        <f t="shared" si="0"/>
        <v>8825.0047225501767</v>
      </c>
      <c r="O9" s="26">
        <f t="shared" si="0"/>
        <v>7803.4761511216075</v>
      </c>
    </row>
    <row r="10" spans="1:35" ht="15" customHeight="1">
      <c r="A10" s="658"/>
      <c r="B10" s="19" t="s">
        <v>17</v>
      </c>
      <c r="C10" s="20"/>
      <c r="D10" s="282" t="str">
        <f>IF(((VLOOKUP($B3,'Diversion Data'!$B$3:$O$227,3,FALSE))-D12)&gt;0,"Short","")</f>
        <v/>
      </c>
      <c r="E10" s="282" t="str">
        <f>IF(((VLOOKUP($B3,'Diversion Data'!$B$3:$O$227,4,FALSE))-E12)&gt;0,"Short","")</f>
        <v/>
      </c>
      <c r="F10" s="282" t="str">
        <f>IF(((VLOOKUP($B3,'Diversion Data'!$B$3:$O$227,5,FALSE))-F12)&gt;0,"Short","")</f>
        <v/>
      </c>
      <c r="G10" s="282" t="str">
        <f>IF(((VLOOKUP($B3,'Diversion Data'!$B$3:$O$227,6,FALSE))-G12)&gt;0,"Short","")</f>
        <v/>
      </c>
      <c r="H10" s="282" t="str">
        <f>IF(((VLOOKUP($B3,'Diversion Data'!$B$3:$O$227,7,FALSE))-H12)&gt;0,"Short","")</f>
        <v/>
      </c>
      <c r="I10" s="282" t="str">
        <f>IF(((VLOOKUP($B3,'Diversion Data'!$B$3:$O$227,8,FALSE))-I12)&gt;0,"Short","")</f>
        <v/>
      </c>
      <c r="J10" s="282" t="str">
        <f>IF(((VLOOKUP($B3,'Diversion Data'!$B$3:$O$227,9,FALSE))-J12)&gt;0,"Short","")</f>
        <v/>
      </c>
      <c r="K10" s="282" t="str">
        <f>IF(((VLOOKUP($B3,'Diversion Data'!$B$3:$O$227,10,FALSE))-K12)&gt;0,"Short","")</f>
        <v/>
      </c>
      <c r="L10" s="282" t="str">
        <f>IF(((VLOOKUP($B3,'Diversion Data'!$B$3:$O$227,11,FALSE))-L12)&gt;0,"Short","")</f>
        <v/>
      </c>
      <c r="M10" s="282" t="str">
        <f>IF(((VLOOKUP($B3,'Diversion Data'!$B$3:$O$227,12,FALSE))-M12)&gt;0,"Short","")</f>
        <v/>
      </c>
      <c r="N10" s="282" t="str">
        <f>IF(((VLOOKUP($B3,'Diversion Data'!$B$3:$O$227,13,FALSE))-N12)&gt;0,"Short","")</f>
        <v/>
      </c>
      <c r="O10" s="283" t="str">
        <f>IF(((VLOOKUP($B3,'Diversion Data'!$B$3:$O$227,14,FALSE))-O12)&gt;0,"Short","")</f>
        <v/>
      </c>
    </row>
    <row r="11" spans="1:35" ht="15" customHeight="1">
      <c r="A11" s="658"/>
      <c r="B11" s="14" t="s">
        <v>81</v>
      </c>
      <c r="C11" s="13" t="s">
        <v>181</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8">
        <f>VLOOKUP($B11,GainLoss!$B$19:$O$27,14,FALSE)</f>
        <v>0</v>
      </c>
    </row>
    <row r="12" spans="1:35" ht="15" customHeight="1">
      <c r="A12" s="658"/>
      <c r="B12" s="14" t="str">
        <f>+B3 &amp;" Diversions"</f>
        <v>Node 11.00 Diversions</v>
      </c>
      <c r="C12" s="13"/>
      <c r="D12" s="54">
        <f>MIN(VLOOKUP($B3,'Diversion Data'!$B$3:$O$227,3,FALSE),(D9-D11))</f>
        <v>0</v>
      </c>
      <c r="E12" s="54">
        <f>MIN(VLOOKUP($B3,'Diversion Data'!$B$3:$O$227,4,FALSE),(E9-E11))</f>
        <v>0</v>
      </c>
      <c r="F12" s="54">
        <f>MIN(VLOOKUP($B3,'Diversion Data'!$B$3:$O$227,5,FALSE),(F9-F11))</f>
        <v>0</v>
      </c>
      <c r="G12" s="54">
        <f>MIN(VLOOKUP($B3,'Diversion Data'!$B$3:$O$227,6,FALSE),(G9-G11))</f>
        <v>0</v>
      </c>
      <c r="H12" s="54">
        <f>MIN(VLOOKUP($B3,'Diversion Data'!$B$3:$O$227,7,FALSE),(H9-H11))</f>
        <v>0</v>
      </c>
      <c r="I12" s="54">
        <f>MIN(VLOOKUP($B3,'Diversion Data'!$B$3:$O$227,8,FALSE),(I9-I11))</f>
        <v>0</v>
      </c>
      <c r="J12" s="54">
        <f>MIN(VLOOKUP($B3,'Diversion Data'!$B$3:$O$227,9,FALSE),(J9-J11))</f>
        <v>0</v>
      </c>
      <c r="K12" s="54">
        <f>MIN(VLOOKUP($B3,'Diversion Data'!$B$3:$O$227,10,FALSE),(K9-K11))</f>
        <v>0</v>
      </c>
      <c r="L12" s="54">
        <f>MIN(VLOOKUP($B3,'Diversion Data'!$B$3:$O$227,11,FALSE),(L9-L11))</f>
        <v>0</v>
      </c>
      <c r="M12" s="54">
        <f>MIN(VLOOKUP($B3,'Diversion Data'!$B$3:$O$227,12,FALSE),(M9-M11))</f>
        <v>0</v>
      </c>
      <c r="N12" s="54">
        <f>MIN(VLOOKUP($B3,'Diversion Data'!$B$3:$O$227,13,FALSE),(N9-N11))</f>
        <v>0</v>
      </c>
      <c r="O12" s="110">
        <f>MIN(VLOOKUP($B3,'Diversion Data'!$B$3:$O$227,14,FALSE),(O9-O11))</f>
        <v>0</v>
      </c>
    </row>
    <row r="13" spans="1:35" ht="15" customHeight="1" thickBot="1">
      <c r="A13" s="658"/>
      <c r="B13" s="24" t="str">
        <f>"Total " &amp; (B3) &amp;" Outflow"</f>
        <v>Total Node 11.00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35" ht="15" customHeight="1" thickBot="1">
      <c r="A14" s="658"/>
      <c r="B14" s="24" t="str">
        <f>(B3)&amp;" NET Flow (In - Out)"</f>
        <v>Node 11.00 NET Flow (In - Out)</v>
      </c>
      <c r="C14" s="23"/>
      <c r="D14" s="193">
        <f t="shared" ref="D14:O14" si="2">MAX(D9-D13,0)</f>
        <v>7449.0338842975216</v>
      </c>
      <c r="E14" s="193">
        <f t="shared" si="2"/>
        <v>6625.053128689493</v>
      </c>
      <c r="F14" s="193">
        <f t="shared" si="2"/>
        <v>11588.964226682407</v>
      </c>
      <c r="G14" s="193">
        <f t="shared" si="2"/>
        <v>12132.787012987013</v>
      </c>
      <c r="H14" s="193">
        <f t="shared" si="2"/>
        <v>20377.469893742622</v>
      </c>
      <c r="I14" s="193">
        <f t="shared" si="2"/>
        <v>22280.413223140487</v>
      </c>
      <c r="J14" s="193">
        <f t="shared" si="2"/>
        <v>10585.687228319752</v>
      </c>
      <c r="K14" s="193">
        <f t="shared" si="2"/>
        <v>7233.8708710583096</v>
      </c>
      <c r="L14" s="193">
        <f t="shared" si="2"/>
        <v>5497.8336446548001</v>
      </c>
      <c r="M14" s="193">
        <f t="shared" si="2"/>
        <v>8192.1657615112181</v>
      </c>
      <c r="N14" s="193">
        <f t="shared" si="2"/>
        <v>8825.0047225501767</v>
      </c>
      <c r="O14" s="200">
        <f t="shared" si="2"/>
        <v>7803.4761511216075</v>
      </c>
    </row>
    <row r="15" spans="1:35">
      <c r="A15" s="658"/>
    </row>
    <row r="16" spans="1:35" ht="15.75" thickBot="1">
      <c r="A16" s="658"/>
      <c r="B16" s="108" t="s">
        <v>127</v>
      </c>
      <c r="C16" s="109" t="str">
        <f>VLOOKUP(B16,NodeList!$D$4:$E$121,2,FALSE)</f>
        <v>AggDiv BR-5</v>
      </c>
      <c r="D16" s="6"/>
      <c r="E16" s="6"/>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11.01 Node Inflow</v>
      </c>
      <c r="C18" s="13"/>
      <c r="D18" s="15">
        <f>+D14</f>
        <v>7449.0338842975216</v>
      </c>
      <c r="E18" s="15">
        <f t="shared" ref="E18:O18" si="3">+E14</f>
        <v>6625.053128689493</v>
      </c>
      <c r="F18" s="15">
        <f t="shared" si="3"/>
        <v>11588.964226682407</v>
      </c>
      <c r="G18" s="15">
        <f t="shared" si="3"/>
        <v>12132.787012987013</v>
      </c>
      <c r="H18" s="15">
        <f t="shared" si="3"/>
        <v>20377.469893742622</v>
      </c>
      <c r="I18" s="15">
        <f t="shared" si="3"/>
        <v>22280.413223140487</v>
      </c>
      <c r="J18" s="15">
        <f t="shared" si="3"/>
        <v>10585.687228319752</v>
      </c>
      <c r="K18" s="15">
        <f t="shared" si="3"/>
        <v>7233.8708710583096</v>
      </c>
      <c r="L18" s="15">
        <f t="shared" si="3"/>
        <v>5497.8336446548001</v>
      </c>
      <c r="M18" s="15">
        <f t="shared" si="3"/>
        <v>8192.1657615112181</v>
      </c>
      <c r="N18" s="15">
        <f t="shared" si="3"/>
        <v>8825.0047225501767</v>
      </c>
      <c r="O18" s="16">
        <f t="shared" si="3"/>
        <v>7803.4761511216075</v>
      </c>
    </row>
    <row r="19" spans="2:15" ht="14.25">
      <c r="B19" s="14" t="str">
        <f>+B16 &amp;" Irrigation Returns"</f>
        <v>Node 11.01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1313.4383884710744</v>
      </c>
      <c r="I19" s="54">
        <f>VLOOKUP(($B16),'Irrigation Returns'!$B$644:$P$930,9,FALSE)</f>
        <v>2108.1292899690084</v>
      </c>
      <c r="J19" s="54">
        <f>VLOOKUP(($B16),'Irrigation Returns'!$B$644:$P$930,10,FALSE)</f>
        <v>1944.0101276911155</v>
      </c>
      <c r="K19" s="54">
        <f>VLOOKUP(($B16),'Irrigation Returns'!$B$644:$P$930,11,FALSE)</f>
        <v>1309.1792288739668</v>
      </c>
      <c r="L19" s="54">
        <f>VLOOKUP(($B16),'Irrigation Returns'!$B$644:$P$930,12,FALSE)</f>
        <v>784.22200558367774</v>
      </c>
      <c r="M19" s="54">
        <f>VLOOKUP(($B16),'Irrigation Returns'!$B$644:$P$930,13,FALSE)</f>
        <v>266.53119786157026</v>
      </c>
      <c r="N19" s="54">
        <f>VLOOKUP(($B16),'Irrigation Returns'!$B$644:$P$930,14,FALSE)</f>
        <v>84.302345103305811</v>
      </c>
      <c r="O19" s="110">
        <f>VLOOKUP(($B16),'Irrigation Returns'!$B$644:$P$930,15,FALSE)</f>
        <v>18.900458181818184</v>
      </c>
    </row>
    <row r="20" spans="2:15" ht="14.25">
      <c r="B20" s="14" t="s">
        <v>328</v>
      </c>
      <c r="C20" s="13" t="s">
        <v>180</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11.01 Import/Export</v>
      </c>
      <c r="C21" s="13"/>
      <c r="D21" s="190">
        <f>VLOOKUP($B16,ImportExport!$B$6:$O$68,3,FALSE)</f>
        <v>0</v>
      </c>
      <c r="E21" s="190">
        <f>VLOOKUP($B16,ImportExport!$B$6:$O$68,4,FALSE)</f>
        <v>0</v>
      </c>
      <c r="F21" s="190">
        <f>VLOOKUP($B16,ImportExport!$B$6:$O$68,5,FALSE)</f>
        <v>0</v>
      </c>
      <c r="G21" s="190">
        <f>VLOOKUP($B16,ImportExport!$B$6:$O$68,6,FALSE)</f>
        <v>0</v>
      </c>
      <c r="H21" s="190">
        <f>VLOOKUP($B16,ImportExport!$B$6:$O$68,7,FALSE)</f>
        <v>0</v>
      </c>
      <c r="I21" s="190">
        <f>VLOOKUP($B16,ImportExport!$B$6:$O$68,8,FALSE)</f>
        <v>0</v>
      </c>
      <c r="J21" s="190">
        <f>VLOOKUP($B16,ImportExport!$B$6:$O$68,9,FALSE)</f>
        <v>0</v>
      </c>
      <c r="K21" s="190">
        <f>VLOOKUP($B16,ImportExport!$B$6:$O$68,10,FALSE)</f>
        <v>0</v>
      </c>
      <c r="L21" s="190">
        <f>VLOOKUP($B16,ImportExport!$B$6:$O$68,11,FALSE)</f>
        <v>0</v>
      </c>
      <c r="M21" s="190">
        <f>VLOOKUP($B16,ImportExport!$B$6:$O$68,12,FALSE)</f>
        <v>0</v>
      </c>
      <c r="N21" s="190">
        <f>VLOOKUP($B16,ImportExport!$B$6:$O$68,13,FALSE)</f>
        <v>0</v>
      </c>
      <c r="O21" s="197">
        <f>VLOOKUP($B16,ImportExport!$B$6:$O$68,14,FALSE)</f>
        <v>0</v>
      </c>
    </row>
    <row r="22" spans="2:15" ht="15.75" thickBot="1">
      <c r="B22" s="18" t="str">
        <f>"Total "&amp; (B16)&amp;" Inflow"</f>
        <v>Total Node 11.01 Inflow</v>
      </c>
      <c r="C22" s="17"/>
      <c r="D22" s="25">
        <f t="shared" ref="D22:O22" si="4">SUM(D18:D21)</f>
        <v>7449.0338842975216</v>
      </c>
      <c r="E22" s="25">
        <f t="shared" si="4"/>
        <v>6625.053128689493</v>
      </c>
      <c r="F22" s="25">
        <f t="shared" si="4"/>
        <v>11588.964226682407</v>
      </c>
      <c r="G22" s="25">
        <f t="shared" si="4"/>
        <v>12132.787012987013</v>
      </c>
      <c r="H22" s="25">
        <f t="shared" si="4"/>
        <v>21690.908282213695</v>
      </c>
      <c r="I22" s="25">
        <f t="shared" si="4"/>
        <v>24388.542513109496</v>
      </c>
      <c r="J22" s="25">
        <f t="shared" si="4"/>
        <v>12529.697356010867</v>
      </c>
      <c r="K22" s="25">
        <f t="shared" si="4"/>
        <v>8543.0500999322758</v>
      </c>
      <c r="L22" s="25">
        <f t="shared" si="4"/>
        <v>6282.0556502384779</v>
      </c>
      <c r="M22" s="25">
        <f t="shared" si="4"/>
        <v>8458.6969593727881</v>
      </c>
      <c r="N22" s="25">
        <f t="shared" si="4"/>
        <v>8909.3070676534826</v>
      </c>
      <c r="O22" s="26">
        <f t="shared" si="4"/>
        <v>7822.3766093034255</v>
      </c>
    </row>
    <row r="23" spans="2:15" ht="15">
      <c r="B23" s="19" t="s">
        <v>17</v>
      </c>
      <c r="C23" s="20"/>
      <c r="D23" s="282" t="str">
        <f>IF(((VLOOKUP($B16,'Diversion Data'!$B$3:$O$227,3,FALSE))-D25)&gt;0,"Short","")</f>
        <v/>
      </c>
      <c r="E23" s="282" t="str">
        <f>IF(((VLOOKUP($B16,'Diversion Data'!$B$3:$O$227,4,FALSE))-E25)&gt;0,"Short","")</f>
        <v/>
      </c>
      <c r="F23" s="282" t="str">
        <f>IF(((VLOOKUP($B16,'Diversion Data'!$B$3:$O$227,5,FALSE))-F25)&gt;0,"Short","")</f>
        <v/>
      </c>
      <c r="G23" s="282" t="str">
        <f>IF(((VLOOKUP($B16,'Diversion Data'!$B$3:$O$227,6,FALSE))-G25)&gt;0,"Short","")</f>
        <v/>
      </c>
      <c r="H23" s="282" t="str">
        <f>IF(((VLOOKUP($B16,'Diversion Data'!$B$3:$O$227,7,FALSE))-H25)&gt;0,"Short","")</f>
        <v/>
      </c>
      <c r="I23" s="282" t="str">
        <f>IF(((VLOOKUP($B16,'Diversion Data'!$B$3:$O$227,8,FALSE))-I25)&gt;0,"Short","")</f>
        <v/>
      </c>
      <c r="J23" s="282" t="str">
        <f>IF(((VLOOKUP($B16,'Diversion Data'!$B$3:$O$227,9,FALSE))-J25)&gt;0,"Short","")</f>
        <v/>
      </c>
      <c r="K23" s="282" t="str">
        <f>IF(((VLOOKUP($B16,'Diversion Data'!$B$3:$O$227,10,FALSE))-K25)&gt;0,"Short","")</f>
        <v/>
      </c>
      <c r="L23" s="282" t="str">
        <f>IF(((VLOOKUP($B16,'Diversion Data'!$B$3:$O$227,11,FALSE))-L25)&gt;0,"Short","")</f>
        <v/>
      </c>
      <c r="M23" s="282" t="str">
        <f>IF(((VLOOKUP($B16,'Diversion Data'!$B$3:$O$227,12,FALSE))-M25)&gt;0,"Short","")</f>
        <v/>
      </c>
      <c r="N23" s="282" t="str">
        <f>IF(((VLOOKUP($B16,'Diversion Data'!$B$3:$O$227,13,FALSE))-N25)&gt;0,"Short","")</f>
        <v/>
      </c>
      <c r="O23" s="283" t="str">
        <f>IF(((VLOOKUP($B16,'Diversion Data'!$B$3:$O$227,14,FALSE))-O25)&gt;0,"Short","")</f>
        <v/>
      </c>
    </row>
    <row r="24" spans="2:15" ht="14.25">
      <c r="B24" s="14" t="s">
        <v>81</v>
      </c>
      <c r="C24" s="13" t="s">
        <v>181</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8">
        <f>VLOOKUP($B24,GainLoss!$B$19:$O$27,14,FALSE)</f>
        <v>0</v>
      </c>
    </row>
    <row r="25" spans="2:15" ht="14.25">
      <c r="B25" s="14" t="str">
        <f>+B16 &amp;" Diversions"</f>
        <v>Node 11.01 Diversions</v>
      </c>
      <c r="C25" s="13"/>
      <c r="D25" s="54">
        <f>MIN(VLOOKUP($B16,'Diversion Data'!$B$3:$O$227,3,FALSE),(D22-D24))</f>
        <v>0</v>
      </c>
      <c r="E25" s="54">
        <f>MIN(VLOOKUP($B16,'Diversion Data'!$B$3:$O$227,4,FALSE),(E22-E24))</f>
        <v>0</v>
      </c>
      <c r="F25" s="54">
        <f>MIN(VLOOKUP($B16,'Diversion Data'!$B$3:$O$227,5,FALSE),(F22-F24))</f>
        <v>0</v>
      </c>
      <c r="G25" s="54">
        <f>MIN(VLOOKUP($B16,'Diversion Data'!$B$3:$O$227,6,FALSE),(G22-G24))</f>
        <v>0</v>
      </c>
      <c r="H25" s="54">
        <f>MIN(VLOOKUP($B16,'Diversion Data'!$B$3:$O$227,7,FALSE),(H22-H24))</f>
        <v>591.31499999999994</v>
      </c>
      <c r="I25" s="54">
        <f>MIN(VLOOKUP($B16,'Diversion Data'!$B$3:$O$227,8,FALSE),(I22-I24))</f>
        <v>1934.4162500000002</v>
      </c>
      <c r="J25" s="54">
        <f>MIN(VLOOKUP($B16,'Diversion Data'!$B$3:$O$227,9,FALSE),(J22-J24))</f>
        <v>1898.6212500000001</v>
      </c>
      <c r="K25" s="54">
        <f>MIN(VLOOKUP($B16,'Diversion Data'!$B$3:$O$227,10,FALSE),(K22-K24))</f>
        <v>924.26</v>
      </c>
      <c r="L25" s="54">
        <f>MIN(VLOOKUP($B16,'Diversion Data'!$B$3:$O$227,11,FALSE),(L22-L24))</f>
        <v>278.42124999999999</v>
      </c>
      <c r="M25" s="54">
        <f>MIN(VLOOKUP($B16,'Diversion Data'!$B$3:$O$227,12,FALSE),(M22-M24))</f>
        <v>0</v>
      </c>
      <c r="N25" s="54">
        <f>MIN(VLOOKUP($B16,'Diversion Data'!$B$3:$O$227,13,FALSE),(N22-N24))</f>
        <v>0</v>
      </c>
      <c r="O25" s="110">
        <f>MIN(VLOOKUP($B16,'Diversion Data'!$B$3:$O$227,14,FALSE),(O22-O24))</f>
        <v>0</v>
      </c>
    </row>
    <row r="26" spans="2:15" ht="15.75" thickBot="1">
      <c r="B26" s="24" t="str">
        <f>"Total " &amp; (B16) &amp;" Outflow"</f>
        <v>Total Node 11.01 Outflow</v>
      </c>
      <c r="C26" s="23"/>
      <c r="D26" s="27">
        <f t="shared" ref="D26:O26" si="5">SUM(D24:D25)</f>
        <v>0</v>
      </c>
      <c r="E26" s="27">
        <f t="shared" si="5"/>
        <v>0</v>
      </c>
      <c r="F26" s="27">
        <f t="shared" si="5"/>
        <v>0</v>
      </c>
      <c r="G26" s="27">
        <f t="shared" si="5"/>
        <v>0</v>
      </c>
      <c r="H26" s="27">
        <f t="shared" si="5"/>
        <v>591.31499999999994</v>
      </c>
      <c r="I26" s="27">
        <f t="shared" si="5"/>
        <v>1934.4162500000002</v>
      </c>
      <c r="J26" s="27">
        <f t="shared" si="5"/>
        <v>1898.6212500000001</v>
      </c>
      <c r="K26" s="27">
        <f t="shared" si="5"/>
        <v>924.26</v>
      </c>
      <c r="L26" s="27">
        <f t="shared" si="5"/>
        <v>278.42124999999999</v>
      </c>
      <c r="M26" s="27">
        <f t="shared" si="5"/>
        <v>0</v>
      </c>
      <c r="N26" s="27">
        <f t="shared" si="5"/>
        <v>0</v>
      </c>
      <c r="O26" s="28">
        <f t="shared" si="5"/>
        <v>0</v>
      </c>
    </row>
    <row r="27" spans="2:15" ht="15.75" thickBot="1">
      <c r="B27" s="24" t="str">
        <f>(B16)&amp;" NET Flow (In - Out)"</f>
        <v>Node 11.01 NET Flow (In - Out)</v>
      </c>
      <c r="C27" s="23"/>
      <c r="D27" s="193">
        <f t="shared" ref="D27:O27" si="6">MAX(D22-D26,0)</f>
        <v>7449.0338842975216</v>
      </c>
      <c r="E27" s="193">
        <f t="shared" si="6"/>
        <v>6625.053128689493</v>
      </c>
      <c r="F27" s="193">
        <f t="shared" si="6"/>
        <v>11588.964226682407</v>
      </c>
      <c r="G27" s="193">
        <f t="shared" si="6"/>
        <v>12132.787012987013</v>
      </c>
      <c r="H27" s="193">
        <f t="shared" si="6"/>
        <v>21099.593282213697</v>
      </c>
      <c r="I27" s="193">
        <f t="shared" si="6"/>
        <v>22454.126263109494</v>
      </c>
      <c r="J27" s="193">
        <f t="shared" si="6"/>
        <v>10631.076106010867</v>
      </c>
      <c r="K27" s="193">
        <f t="shared" si="6"/>
        <v>7618.7900999322756</v>
      </c>
      <c r="L27" s="193">
        <f t="shared" si="6"/>
        <v>6003.6344002384776</v>
      </c>
      <c r="M27" s="193">
        <f t="shared" si="6"/>
        <v>8458.6969593727881</v>
      </c>
      <c r="N27" s="193">
        <f t="shared" si="6"/>
        <v>8909.3070676534826</v>
      </c>
      <c r="O27" s="200">
        <f t="shared" si="6"/>
        <v>7822.3766093034255</v>
      </c>
    </row>
    <row r="29" spans="2:15" ht="15.75" thickBot="1">
      <c r="B29" s="108" t="s">
        <v>145</v>
      </c>
      <c r="C29" s="109" t="str">
        <f>VLOOKUP(B29,NodeList!$D$4:$E$121,2,FALSE)</f>
        <v>Alonzo F. Sights</v>
      </c>
      <c r="D29" s="6"/>
      <c r="E29" s="6"/>
      <c r="F29" s="6"/>
      <c r="G29" s="6"/>
      <c r="H29" s="7"/>
      <c r="I29" s="7"/>
      <c r="J29" s="7"/>
      <c r="K29" s="7"/>
      <c r="L29" s="7"/>
      <c r="M29" s="7"/>
      <c r="N29" s="7"/>
      <c r="O29" s="7"/>
    </row>
    <row r="30" spans="2:15" ht="15">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2:15" ht="14.25">
      <c r="B31" s="14" t="str">
        <f>+B29 &amp;" Node Inflow"</f>
        <v>Node 11.02 Node Inflow</v>
      </c>
      <c r="C31" s="13"/>
      <c r="D31" s="15">
        <f>+D27</f>
        <v>7449.0338842975216</v>
      </c>
      <c r="E31" s="15">
        <f t="shared" ref="E31:O31" si="7">+E27</f>
        <v>6625.053128689493</v>
      </c>
      <c r="F31" s="15">
        <f t="shared" si="7"/>
        <v>11588.964226682407</v>
      </c>
      <c r="G31" s="15">
        <f t="shared" si="7"/>
        <v>12132.787012987013</v>
      </c>
      <c r="H31" s="15">
        <f t="shared" si="7"/>
        <v>21099.593282213697</v>
      </c>
      <c r="I31" s="15">
        <f t="shared" si="7"/>
        <v>22454.126263109494</v>
      </c>
      <c r="J31" s="15">
        <f t="shared" si="7"/>
        <v>10631.076106010867</v>
      </c>
      <c r="K31" s="15">
        <f t="shared" si="7"/>
        <v>7618.7900999322756</v>
      </c>
      <c r="L31" s="15">
        <f t="shared" si="7"/>
        <v>6003.6344002384776</v>
      </c>
      <c r="M31" s="15">
        <f t="shared" si="7"/>
        <v>8458.6969593727881</v>
      </c>
      <c r="N31" s="15">
        <f t="shared" si="7"/>
        <v>8909.3070676534826</v>
      </c>
      <c r="O31" s="16">
        <f t="shared" si="7"/>
        <v>7822.3766093034255</v>
      </c>
    </row>
    <row r="32" spans="2:15" ht="14.25">
      <c r="B32" s="14" t="str">
        <f>+B29 &amp;" Irrigation Returns"</f>
        <v>Node 11.02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96.029555999999971</v>
      </c>
      <c r="I32" s="54">
        <f>VLOOKUP(($B29),'Irrigation Returns'!$B$644:$P$930,9,FALSE)</f>
        <v>341.58621499999998</v>
      </c>
      <c r="J32" s="54">
        <f>VLOOKUP(($B29),'Irrigation Returns'!$B$644:$P$930,10,FALSE)</f>
        <v>411.81151300000005</v>
      </c>
      <c r="K32" s="54">
        <f>VLOOKUP(($B29),'Irrigation Returns'!$B$644:$P$930,11,FALSE)</f>
        <v>283.07430699999998</v>
      </c>
      <c r="L32" s="54">
        <f>VLOOKUP(($B29),'Irrigation Returns'!$B$644:$P$930,12,FALSE)</f>
        <v>132.14928799999998</v>
      </c>
      <c r="M32" s="54">
        <f>VLOOKUP(($B29),'Irrigation Returns'!$B$644:$P$930,13,FALSE)</f>
        <v>34.361578000000002</v>
      </c>
      <c r="N32" s="54">
        <f>VLOOKUP(($B29),'Irrigation Returns'!$B$644:$P$930,14,FALSE)</f>
        <v>6.4593729999999994</v>
      </c>
      <c r="O32" s="110">
        <f>VLOOKUP(($B29),'Irrigation Returns'!$B$644:$P$930,15,FALSE)</f>
        <v>0</v>
      </c>
    </row>
    <row r="33" spans="2:15" ht="14.25">
      <c r="B33" s="14" t="s">
        <v>328</v>
      </c>
      <c r="C33" s="13" t="s">
        <v>180</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2:15" ht="14.25">
      <c r="B34" s="14" t="str">
        <f>+B29 &amp;" Import/Export"</f>
        <v>Node 11.02 Import/Export</v>
      </c>
      <c r="C34" s="13"/>
      <c r="D34" s="190">
        <f>VLOOKUP($B29,ImportExport!$B$6:$O$68,3,FALSE)</f>
        <v>0</v>
      </c>
      <c r="E34" s="190">
        <f>VLOOKUP($B29,ImportExport!$B$6:$O$68,4,FALSE)</f>
        <v>0</v>
      </c>
      <c r="F34" s="190">
        <f>VLOOKUP($B29,ImportExport!$B$6:$O$68,5,FALSE)</f>
        <v>0</v>
      </c>
      <c r="G34" s="190">
        <f>VLOOKUP($B29,ImportExport!$B$6:$O$68,6,FALSE)</f>
        <v>0</v>
      </c>
      <c r="H34" s="190">
        <f>VLOOKUP($B29,ImportExport!$B$6:$O$68,7,FALSE)</f>
        <v>0</v>
      </c>
      <c r="I34" s="190">
        <f>VLOOKUP($B29,ImportExport!$B$6:$O$68,8,FALSE)</f>
        <v>0</v>
      </c>
      <c r="J34" s="190">
        <f>VLOOKUP($B29,ImportExport!$B$6:$O$68,9,FALSE)</f>
        <v>0</v>
      </c>
      <c r="K34" s="190">
        <f>VLOOKUP($B29,ImportExport!$B$6:$O$68,10,FALSE)</f>
        <v>0</v>
      </c>
      <c r="L34" s="190">
        <f>VLOOKUP($B29,ImportExport!$B$6:$O$68,11,FALSE)</f>
        <v>0</v>
      </c>
      <c r="M34" s="190">
        <f>VLOOKUP($B29,ImportExport!$B$6:$O$68,12,FALSE)</f>
        <v>0</v>
      </c>
      <c r="N34" s="190">
        <f>VLOOKUP($B29,ImportExport!$B$6:$O$68,13,FALSE)</f>
        <v>0</v>
      </c>
      <c r="O34" s="197">
        <f>VLOOKUP($B29,ImportExport!$B$6:$O$68,14,FALSE)</f>
        <v>0</v>
      </c>
    </row>
    <row r="35" spans="2:15" ht="15.75" thickBot="1">
      <c r="B35" s="18" t="str">
        <f>"Total "&amp; (B29)&amp;" Inflow"</f>
        <v>Total Node 11.02 Inflow</v>
      </c>
      <c r="C35" s="17"/>
      <c r="D35" s="25">
        <f t="shared" ref="D35:O35" si="8">SUM(D31:D34)</f>
        <v>7449.0338842975216</v>
      </c>
      <c r="E35" s="25">
        <f t="shared" si="8"/>
        <v>6625.053128689493</v>
      </c>
      <c r="F35" s="25">
        <f t="shared" si="8"/>
        <v>11588.964226682407</v>
      </c>
      <c r="G35" s="25">
        <f t="shared" si="8"/>
        <v>12132.787012987013</v>
      </c>
      <c r="H35" s="25">
        <f t="shared" si="8"/>
        <v>21195.622838213698</v>
      </c>
      <c r="I35" s="25">
        <f t="shared" si="8"/>
        <v>22795.712478109494</v>
      </c>
      <c r="J35" s="25">
        <f t="shared" si="8"/>
        <v>11042.887619010868</v>
      </c>
      <c r="K35" s="25">
        <f t="shared" si="8"/>
        <v>7901.8644069322754</v>
      </c>
      <c r="L35" s="25">
        <f t="shared" si="8"/>
        <v>6135.7836882384772</v>
      </c>
      <c r="M35" s="25">
        <f t="shared" si="8"/>
        <v>8493.0585373727881</v>
      </c>
      <c r="N35" s="25">
        <f t="shared" si="8"/>
        <v>8915.7664406534823</v>
      </c>
      <c r="O35" s="26">
        <f t="shared" si="8"/>
        <v>7822.3766093034255</v>
      </c>
    </row>
    <row r="36" spans="2:15" ht="15">
      <c r="B36" s="19" t="s">
        <v>17</v>
      </c>
      <c r="C36" s="20"/>
      <c r="D36" s="282" t="str">
        <f>IF(((VLOOKUP($B29,'Diversion Data'!$B$3:$O$227,3,FALSE))-D38)&gt;0,"Short","")</f>
        <v/>
      </c>
      <c r="E36" s="282" t="str">
        <f>IF(((VLOOKUP($B29,'Diversion Data'!$B$3:$O$227,4,FALSE))-E38)&gt;0,"Short","")</f>
        <v/>
      </c>
      <c r="F36" s="282" t="str">
        <f>IF(((VLOOKUP($B29,'Diversion Data'!$B$3:$O$227,5,FALSE))-F38)&gt;0,"Short","")</f>
        <v/>
      </c>
      <c r="G36" s="282" t="str">
        <f>IF(((VLOOKUP($B29,'Diversion Data'!$B$3:$O$227,6,FALSE))-G38)&gt;0,"Short","")</f>
        <v/>
      </c>
      <c r="H36" s="282" t="str">
        <f>IF(((VLOOKUP($B29,'Diversion Data'!$B$3:$O$227,7,FALSE))-H38)&gt;0,"Short","")</f>
        <v/>
      </c>
      <c r="I36" s="282" t="str">
        <f>IF(((VLOOKUP($B29,'Diversion Data'!$B$3:$O$227,8,FALSE))-I38)&gt;0,"Short","")</f>
        <v/>
      </c>
      <c r="J36" s="282" t="str">
        <f>IF(((VLOOKUP($B29,'Diversion Data'!$B$3:$O$227,9,FALSE))-J38)&gt;0,"Short","")</f>
        <v/>
      </c>
      <c r="K36" s="282" t="str">
        <f>IF(((VLOOKUP($B29,'Diversion Data'!$B$3:$O$227,10,FALSE))-K38)&gt;0,"Short","")</f>
        <v/>
      </c>
      <c r="L36" s="282" t="str">
        <f>IF(((VLOOKUP($B29,'Diversion Data'!$B$3:$O$227,11,FALSE))-L38)&gt;0,"Short","")</f>
        <v/>
      </c>
      <c r="M36" s="282" t="str">
        <f>IF(((VLOOKUP($B29,'Diversion Data'!$B$3:$O$227,12,FALSE))-M38)&gt;0,"Short","")</f>
        <v/>
      </c>
      <c r="N36" s="282" t="str">
        <f>IF(((VLOOKUP($B29,'Diversion Data'!$B$3:$O$227,13,FALSE))-N38)&gt;0,"Short","")</f>
        <v/>
      </c>
      <c r="O36" s="283" t="str">
        <f>IF(((VLOOKUP($B29,'Diversion Data'!$B$3:$O$227,14,FALSE))-O38)&gt;0,"Short","")</f>
        <v/>
      </c>
    </row>
    <row r="37" spans="2:15" ht="14.25">
      <c r="B37" s="14" t="s">
        <v>81</v>
      </c>
      <c r="C37" s="13" t="s">
        <v>181</v>
      </c>
      <c r="D37" s="171">
        <f>VLOOKUP($B37,GainLoss!$B$19:$O$27,3,FALSE)</f>
        <v>0</v>
      </c>
      <c r="E37" s="171">
        <f>VLOOKUP($B37,GainLoss!$B$19:$O$27,4,FALSE)</f>
        <v>0</v>
      </c>
      <c r="F37" s="171">
        <f>VLOOKUP($B37,GainLoss!$B$19:$O$27,5,FALSE)</f>
        <v>0</v>
      </c>
      <c r="G37" s="171">
        <f>VLOOKUP($B37,GainLoss!$B$19:$O$27,6,FALSE)</f>
        <v>0</v>
      </c>
      <c r="H37" s="171">
        <f>VLOOKUP($B37,GainLoss!$B$19:$O$27,7,FALSE)</f>
        <v>0</v>
      </c>
      <c r="I37" s="171">
        <f>VLOOKUP($B37,GainLoss!$B$19:$O$27,8,FALSE)</f>
        <v>0</v>
      </c>
      <c r="J37" s="171">
        <f>VLOOKUP($B37,GainLoss!$B$19:$O$27,9,FALSE)</f>
        <v>0</v>
      </c>
      <c r="K37" s="171">
        <f>VLOOKUP($B37,GainLoss!$B$19:$O$27,10,FALSE)</f>
        <v>0</v>
      </c>
      <c r="L37" s="171">
        <f>VLOOKUP($B37,GainLoss!$B$19:$O$27,11,FALSE)</f>
        <v>0</v>
      </c>
      <c r="M37" s="171">
        <f>VLOOKUP($B37,GainLoss!$B$19:$O$27,12,FALSE)</f>
        <v>0</v>
      </c>
      <c r="N37" s="171">
        <f>VLOOKUP($B37,GainLoss!$B$19:$O$27,13,FALSE)</f>
        <v>0</v>
      </c>
      <c r="O37" s="198">
        <f>VLOOKUP($B37,GainLoss!$B$19:$O$27,14,FALSE)</f>
        <v>0</v>
      </c>
    </row>
    <row r="38" spans="2:15" ht="14.25">
      <c r="B38" s="14" t="str">
        <f>+B29 &amp;" Diversions"</f>
        <v>Node 11.02 Diversions</v>
      </c>
      <c r="C38" s="13"/>
      <c r="D38" s="54">
        <f>MIN(VLOOKUP($B29,'Diversion Data'!$B$3:$O$227,3,FALSE),(D35-D37))</f>
        <v>0</v>
      </c>
      <c r="E38" s="54">
        <f>MIN(VLOOKUP($B29,'Diversion Data'!$B$3:$O$227,4,FALSE),(E35-E37))</f>
        <v>0</v>
      </c>
      <c r="F38" s="54">
        <f>MIN(VLOOKUP($B29,'Diversion Data'!$B$3:$O$227,5,FALSE),(F35-F37))</f>
        <v>0</v>
      </c>
      <c r="G38" s="54">
        <f>MIN(VLOOKUP($B29,'Diversion Data'!$B$3:$O$227,6,FALSE),(G35-G37))</f>
        <v>0</v>
      </c>
      <c r="H38" s="54">
        <f>MIN(VLOOKUP($B29,'Diversion Data'!$B$3:$O$227,7,FALSE),(H35-H37))</f>
        <v>373.45537190082649</v>
      </c>
      <c r="I38" s="54">
        <f>MIN(VLOOKUP($B29,'Diversion Data'!$B$3:$O$227,8,FALSE),(I35-I37))</f>
        <v>422.62222107438015</v>
      </c>
      <c r="J38" s="54">
        <f>MIN(VLOOKUP($B29,'Diversion Data'!$B$3:$O$227,9,FALSE),(J35-J37))</f>
        <v>408.8325309917355</v>
      </c>
      <c r="K38" s="54">
        <f>MIN(VLOOKUP($B29,'Diversion Data'!$B$3:$O$227,10,FALSE),(K35-K37))</f>
        <v>143.18528925619836</v>
      </c>
      <c r="L38" s="54">
        <f>MIN(VLOOKUP($B29,'Diversion Data'!$B$3:$O$227,11,FALSE),(L35-L37))</f>
        <v>10.165289256198347</v>
      </c>
      <c r="M38" s="54">
        <f>MIN(VLOOKUP($B29,'Diversion Data'!$B$3:$O$227,12,FALSE),(M35-M37))</f>
        <v>0</v>
      </c>
      <c r="N38" s="54">
        <f>MIN(VLOOKUP($B29,'Diversion Data'!$B$3:$O$227,13,FALSE),(N35-N37))</f>
        <v>0</v>
      </c>
      <c r="O38" s="110">
        <f>MIN(VLOOKUP($B29,'Diversion Data'!$B$3:$O$227,14,FALSE),(O35-O37))</f>
        <v>0</v>
      </c>
    </row>
    <row r="39" spans="2:15" ht="15.75" thickBot="1">
      <c r="B39" s="24" t="str">
        <f>"Total " &amp; (B29) &amp;" Outflow"</f>
        <v>Total Node 11.02 Outflow</v>
      </c>
      <c r="C39" s="23"/>
      <c r="D39" s="27">
        <f t="shared" ref="D39:O39" si="9">SUM(D37:D38)</f>
        <v>0</v>
      </c>
      <c r="E39" s="27">
        <f t="shared" si="9"/>
        <v>0</v>
      </c>
      <c r="F39" s="27">
        <f t="shared" si="9"/>
        <v>0</v>
      </c>
      <c r="G39" s="27">
        <f t="shared" si="9"/>
        <v>0</v>
      </c>
      <c r="H39" s="27">
        <f t="shared" si="9"/>
        <v>373.45537190082649</v>
      </c>
      <c r="I39" s="27">
        <f t="shared" si="9"/>
        <v>422.62222107438015</v>
      </c>
      <c r="J39" s="27">
        <f t="shared" si="9"/>
        <v>408.8325309917355</v>
      </c>
      <c r="K39" s="27">
        <f t="shared" si="9"/>
        <v>143.18528925619836</v>
      </c>
      <c r="L39" s="27">
        <f t="shared" si="9"/>
        <v>10.165289256198347</v>
      </c>
      <c r="M39" s="27">
        <f t="shared" si="9"/>
        <v>0</v>
      </c>
      <c r="N39" s="27">
        <f t="shared" si="9"/>
        <v>0</v>
      </c>
      <c r="O39" s="28">
        <f t="shared" si="9"/>
        <v>0</v>
      </c>
    </row>
    <row r="40" spans="2:15" ht="15.75" thickBot="1">
      <c r="B40" s="24" t="str">
        <f>(B29)&amp;" NET Flow (In - Out)"</f>
        <v>Node 11.02 NET Flow (In - Out)</v>
      </c>
      <c r="C40" s="23"/>
      <c r="D40" s="193">
        <f t="shared" ref="D40:O40" si="10">MAX(D35-D39,0)</f>
        <v>7449.0338842975216</v>
      </c>
      <c r="E40" s="193">
        <f t="shared" si="10"/>
        <v>6625.053128689493</v>
      </c>
      <c r="F40" s="193">
        <f t="shared" si="10"/>
        <v>11588.964226682407</v>
      </c>
      <c r="G40" s="193">
        <f t="shared" si="10"/>
        <v>12132.787012987013</v>
      </c>
      <c r="H40" s="193">
        <f t="shared" si="10"/>
        <v>20822.167466312872</v>
      </c>
      <c r="I40" s="193">
        <f t="shared" si="10"/>
        <v>22373.090257035114</v>
      </c>
      <c r="J40" s="193">
        <f t="shared" si="10"/>
        <v>10634.055088019131</v>
      </c>
      <c r="K40" s="193">
        <f t="shared" si="10"/>
        <v>7758.6791176760771</v>
      </c>
      <c r="L40" s="193">
        <f t="shared" si="10"/>
        <v>6125.6183989822784</v>
      </c>
      <c r="M40" s="193">
        <f t="shared" si="10"/>
        <v>8493.0585373727881</v>
      </c>
      <c r="N40" s="193">
        <f t="shared" si="10"/>
        <v>8915.7664406534823</v>
      </c>
      <c r="O40" s="200">
        <f t="shared" si="10"/>
        <v>7822.3766093034255</v>
      </c>
    </row>
    <row r="42" spans="2:15" ht="15.75" thickBot="1">
      <c r="B42" s="108" t="s">
        <v>135</v>
      </c>
      <c r="C42" s="109" t="str">
        <f>VLOOKUP(B42,NodeList!$D$4:$E$121,2,FALSE)</f>
        <v>Oscar E. Snyder</v>
      </c>
      <c r="D42" s="6"/>
      <c r="E42" s="6"/>
      <c r="F42" s="6"/>
      <c r="G42" s="6"/>
      <c r="H42" s="7"/>
      <c r="I42" s="7"/>
      <c r="J42" s="7"/>
      <c r="K42" s="7"/>
      <c r="L42" s="7"/>
      <c r="M42" s="7"/>
      <c r="N42" s="7"/>
      <c r="O42" s="7"/>
    </row>
    <row r="43" spans="2:15" ht="15">
      <c r="B43" s="9" t="s">
        <v>16</v>
      </c>
      <c r="C43" s="10"/>
      <c r="D43" s="11" t="s">
        <v>0</v>
      </c>
      <c r="E43" s="11" t="s">
        <v>1</v>
      </c>
      <c r="F43" s="11" t="s">
        <v>2</v>
      </c>
      <c r="G43" s="11" t="s">
        <v>3</v>
      </c>
      <c r="H43" s="11" t="s">
        <v>4</v>
      </c>
      <c r="I43" s="11" t="s">
        <v>5</v>
      </c>
      <c r="J43" s="11" t="s">
        <v>6</v>
      </c>
      <c r="K43" s="11" t="s">
        <v>7</v>
      </c>
      <c r="L43" s="11" t="s">
        <v>8</v>
      </c>
      <c r="M43" s="11" t="s">
        <v>9</v>
      </c>
      <c r="N43" s="11" t="s">
        <v>10</v>
      </c>
      <c r="O43" s="12" t="s">
        <v>11</v>
      </c>
    </row>
    <row r="44" spans="2:15" ht="14.25">
      <c r="B44" s="14" t="str">
        <f>+B42 &amp;" Node Inflow"</f>
        <v>Node 11.03 Node Inflow</v>
      </c>
      <c r="C44" s="13"/>
      <c r="D44" s="15">
        <f>+D40</f>
        <v>7449.0338842975216</v>
      </c>
      <c r="E44" s="15">
        <f t="shared" ref="E44:O44" si="11">+E40</f>
        <v>6625.053128689493</v>
      </c>
      <c r="F44" s="15">
        <f t="shared" si="11"/>
        <v>11588.964226682407</v>
      </c>
      <c r="G44" s="15">
        <f t="shared" si="11"/>
        <v>12132.787012987013</v>
      </c>
      <c r="H44" s="15">
        <f t="shared" si="11"/>
        <v>20822.167466312872</v>
      </c>
      <c r="I44" s="15">
        <f t="shared" si="11"/>
        <v>22373.090257035114</v>
      </c>
      <c r="J44" s="15">
        <f t="shared" si="11"/>
        <v>10634.055088019131</v>
      </c>
      <c r="K44" s="15">
        <f t="shared" si="11"/>
        <v>7758.6791176760771</v>
      </c>
      <c r="L44" s="15">
        <f t="shared" si="11"/>
        <v>6125.6183989822784</v>
      </c>
      <c r="M44" s="15">
        <f t="shared" si="11"/>
        <v>8493.0585373727881</v>
      </c>
      <c r="N44" s="15">
        <f t="shared" si="11"/>
        <v>8915.7664406534823</v>
      </c>
      <c r="O44" s="16">
        <f t="shared" si="11"/>
        <v>7822.3766093034255</v>
      </c>
    </row>
    <row r="45" spans="2:15" ht="14.25">
      <c r="B45" s="14" t="str">
        <f>+B42 &amp;" Irrigation Returns"</f>
        <v>Node 11.03 Irrigation Returns</v>
      </c>
      <c r="C45" s="13"/>
      <c r="D45" s="54">
        <f>VLOOKUP(($B42),'Irrigation Returns'!$B$644:$P$930,4,FALSE)</f>
        <v>0</v>
      </c>
      <c r="E45" s="54">
        <f>VLOOKUP(($B42),'Irrigation Returns'!$B$644:$P$930,5,FALSE)</f>
        <v>0</v>
      </c>
      <c r="F45" s="54">
        <f>VLOOKUP(($B42),'Irrigation Returns'!$B$644:$P$930,6,FALSE)</f>
        <v>0</v>
      </c>
      <c r="G45" s="54">
        <f>VLOOKUP(($B42),'Irrigation Returns'!$B$644:$P$930,7,FALSE)</f>
        <v>0</v>
      </c>
      <c r="H45" s="54">
        <f>VLOOKUP(($B42),'Irrigation Returns'!$B$644:$P$930,8,FALSE)</f>
        <v>174.45518409917352</v>
      </c>
      <c r="I45" s="54">
        <f>VLOOKUP(($B42),'Irrigation Returns'!$B$644:$P$930,9,FALSE)</f>
        <v>452.74420373966939</v>
      </c>
      <c r="J45" s="54">
        <f>VLOOKUP(($B42),'Irrigation Returns'!$B$644:$P$930,10,FALSE)</f>
        <v>534.22733892975214</v>
      </c>
      <c r="K45" s="54">
        <f>VLOOKUP(($B42),'Irrigation Returns'!$B$644:$P$930,11,FALSE)</f>
        <v>350.35183623553718</v>
      </c>
      <c r="L45" s="54">
        <f>VLOOKUP(($B42),'Irrigation Returns'!$B$644:$P$930,12,FALSE)</f>
        <v>155.14009202892561</v>
      </c>
      <c r="M45" s="54">
        <f>VLOOKUP(($B42),'Irrigation Returns'!$B$644:$P$930,13,FALSE)</f>
        <v>39.267054033057853</v>
      </c>
      <c r="N45" s="54">
        <f>VLOOKUP(($B42),'Irrigation Returns'!$B$644:$P$930,14,FALSE)</f>
        <v>6.7643316776859495</v>
      </c>
      <c r="O45" s="110">
        <f>VLOOKUP(($B42),'Irrigation Returns'!$B$644:$P$930,15,FALSE)</f>
        <v>0</v>
      </c>
    </row>
    <row r="46" spans="2:15" ht="14.25">
      <c r="B46" s="14" t="s">
        <v>328</v>
      </c>
      <c r="C46" s="13" t="s">
        <v>180</v>
      </c>
      <c r="D46" s="54">
        <f>VLOOKUP($B46,GainLoss!$B$5:$O$14,3,FALSE)</f>
        <v>0</v>
      </c>
      <c r="E46" s="54">
        <f>VLOOKUP($B46,GainLoss!$B$5:$O$14,4,FALSE)</f>
        <v>0</v>
      </c>
      <c r="F46" s="54">
        <f>VLOOKUP($B46,GainLoss!$B$5:$O$14,5,FALSE)</f>
        <v>0</v>
      </c>
      <c r="G46" s="54">
        <f>VLOOKUP($B46,GainLoss!$B$5:$O$14,6,FALSE)</f>
        <v>0</v>
      </c>
      <c r="H46" s="54">
        <f>VLOOKUP($B46,GainLoss!$B$5:$O$14,7,FALSE)</f>
        <v>0</v>
      </c>
      <c r="I46" s="54">
        <f>VLOOKUP($B46,GainLoss!$B$5:$O$14,8,FALSE)</f>
        <v>0</v>
      </c>
      <c r="J46" s="54">
        <f>VLOOKUP($B46,GainLoss!$B$5:$O$14,9,FALSE)</f>
        <v>0</v>
      </c>
      <c r="K46" s="54">
        <f>VLOOKUP($B46,GainLoss!$B$5:$O$14,10,FALSE)</f>
        <v>0</v>
      </c>
      <c r="L46" s="54">
        <f>VLOOKUP($B46,GainLoss!$B$5:$O$14,11,FALSE)</f>
        <v>0</v>
      </c>
      <c r="M46" s="54">
        <f>VLOOKUP($B46,GainLoss!$B$5:$O$14,12,FALSE)</f>
        <v>0</v>
      </c>
      <c r="N46" s="54">
        <f>VLOOKUP($B46,GainLoss!$B$5:$O$14,13,FALSE)</f>
        <v>0</v>
      </c>
      <c r="O46" s="110">
        <f>VLOOKUP($B46,GainLoss!$B$5:$O$14,14,FALSE)</f>
        <v>0</v>
      </c>
    </row>
    <row r="47" spans="2:15" ht="14.25">
      <c r="B47" s="14" t="str">
        <f>+B42 &amp;" Import/Export"</f>
        <v>Node 11.03 Import/Export</v>
      </c>
      <c r="C47" s="13"/>
      <c r="D47" s="190">
        <f>VLOOKUP($B42,ImportExport!$B$6:$O$68,3,FALSE)</f>
        <v>0</v>
      </c>
      <c r="E47" s="190">
        <f>VLOOKUP($B42,ImportExport!$B$6:$O$68,4,FALSE)</f>
        <v>0</v>
      </c>
      <c r="F47" s="190">
        <f>VLOOKUP($B42,ImportExport!$B$6:$O$68,5,FALSE)</f>
        <v>0</v>
      </c>
      <c r="G47" s="190">
        <f>VLOOKUP($B42,ImportExport!$B$6:$O$68,6,FALSE)</f>
        <v>0</v>
      </c>
      <c r="H47" s="190">
        <f>VLOOKUP($B42,ImportExport!$B$6:$O$68,7,FALSE)</f>
        <v>0</v>
      </c>
      <c r="I47" s="190">
        <f>VLOOKUP($B42,ImportExport!$B$6:$O$68,8,FALSE)</f>
        <v>0</v>
      </c>
      <c r="J47" s="190">
        <f>VLOOKUP($B42,ImportExport!$B$6:$O$68,9,FALSE)</f>
        <v>0</v>
      </c>
      <c r="K47" s="190">
        <f>VLOOKUP($B42,ImportExport!$B$6:$O$68,10,FALSE)</f>
        <v>0</v>
      </c>
      <c r="L47" s="190">
        <f>VLOOKUP($B42,ImportExport!$B$6:$O$68,11,FALSE)</f>
        <v>0</v>
      </c>
      <c r="M47" s="190">
        <f>VLOOKUP($B42,ImportExport!$B$6:$O$68,12,FALSE)</f>
        <v>0</v>
      </c>
      <c r="N47" s="190">
        <f>VLOOKUP($B42,ImportExport!$B$6:$O$68,13,FALSE)</f>
        <v>0</v>
      </c>
      <c r="O47" s="197">
        <f>VLOOKUP($B42,ImportExport!$B$6:$O$68,14,FALSE)</f>
        <v>0</v>
      </c>
    </row>
    <row r="48" spans="2:15" ht="15.75" thickBot="1">
      <c r="B48" s="18" t="str">
        <f>"Total "&amp; (B42)&amp;" Inflow"</f>
        <v>Total Node 11.03 Inflow</v>
      </c>
      <c r="C48" s="17"/>
      <c r="D48" s="25">
        <f t="shared" ref="D48:O48" si="12">SUM(D44:D47)</f>
        <v>7449.0338842975216</v>
      </c>
      <c r="E48" s="25">
        <f t="shared" si="12"/>
        <v>6625.053128689493</v>
      </c>
      <c r="F48" s="25">
        <f t="shared" si="12"/>
        <v>11588.964226682407</v>
      </c>
      <c r="G48" s="25">
        <f t="shared" si="12"/>
        <v>12132.787012987013</v>
      </c>
      <c r="H48" s="25">
        <f t="shared" si="12"/>
        <v>20996.622650412046</v>
      </c>
      <c r="I48" s="25">
        <f t="shared" si="12"/>
        <v>22825.834460774782</v>
      </c>
      <c r="J48" s="25">
        <f t="shared" si="12"/>
        <v>11168.282426948883</v>
      </c>
      <c r="K48" s="25">
        <f t="shared" si="12"/>
        <v>8109.0309539116142</v>
      </c>
      <c r="L48" s="25">
        <f t="shared" si="12"/>
        <v>6280.7584910112037</v>
      </c>
      <c r="M48" s="25">
        <f t="shared" si="12"/>
        <v>8532.3255914058464</v>
      </c>
      <c r="N48" s="25">
        <f t="shared" si="12"/>
        <v>8922.5307723311689</v>
      </c>
      <c r="O48" s="26">
        <f t="shared" si="12"/>
        <v>7822.3766093034255</v>
      </c>
    </row>
    <row r="49" spans="2:15" ht="15">
      <c r="B49" s="19" t="s">
        <v>17</v>
      </c>
      <c r="C49" s="20"/>
      <c r="D49" s="282" t="str">
        <f>IF(((VLOOKUP($B42,'Diversion Data'!$B$3:$O$227,3,FALSE))-D51)&gt;0,"Short","")</f>
        <v/>
      </c>
      <c r="E49" s="282" t="str">
        <f>IF(((VLOOKUP($B42,'Diversion Data'!$B$3:$O$227,4,FALSE))-E51)&gt;0,"Short","")</f>
        <v/>
      </c>
      <c r="F49" s="282" t="str">
        <f>IF(((VLOOKUP($B42,'Diversion Data'!$B$3:$O$227,5,FALSE))-F51)&gt;0,"Short","")</f>
        <v/>
      </c>
      <c r="G49" s="282" t="str">
        <f>IF(((VLOOKUP($B42,'Diversion Data'!$B$3:$O$227,6,FALSE))-G51)&gt;0,"Short","")</f>
        <v/>
      </c>
      <c r="H49" s="282" t="str">
        <f>IF(((VLOOKUP($B42,'Diversion Data'!$B$3:$O$227,7,FALSE))-H51)&gt;0,"Short","")</f>
        <v/>
      </c>
      <c r="I49" s="282" t="str">
        <f>IF(((VLOOKUP($B42,'Diversion Data'!$B$3:$O$227,8,FALSE))-I51)&gt;0,"Short","")</f>
        <v/>
      </c>
      <c r="J49" s="282" t="str">
        <f>IF(((VLOOKUP($B42,'Diversion Data'!$B$3:$O$227,9,FALSE))-J51)&gt;0,"Short","")</f>
        <v/>
      </c>
      <c r="K49" s="282" t="str">
        <f>IF(((VLOOKUP($B42,'Diversion Data'!$B$3:$O$227,10,FALSE))-K51)&gt;0,"Short","")</f>
        <v/>
      </c>
      <c r="L49" s="282" t="str">
        <f>IF(((VLOOKUP($B42,'Diversion Data'!$B$3:$O$227,11,FALSE))-L51)&gt;0,"Short","")</f>
        <v/>
      </c>
      <c r="M49" s="282" t="str">
        <f>IF(((VLOOKUP($B42,'Diversion Data'!$B$3:$O$227,12,FALSE))-M51)&gt;0,"Short","")</f>
        <v/>
      </c>
      <c r="N49" s="282" t="str">
        <f>IF(((VLOOKUP($B42,'Diversion Data'!$B$3:$O$227,13,FALSE))-N51)&gt;0,"Short","")</f>
        <v/>
      </c>
      <c r="O49" s="283" t="str">
        <f>IF(((VLOOKUP($B42,'Diversion Data'!$B$3:$O$227,14,FALSE))-O51)&gt;0,"Short","")</f>
        <v/>
      </c>
    </row>
    <row r="50" spans="2:15" ht="14.25">
      <c r="B50" s="14" t="s">
        <v>81</v>
      </c>
      <c r="C50" s="13" t="s">
        <v>181</v>
      </c>
      <c r="D50" s="171">
        <f>VLOOKUP($B50,GainLoss!$B$19:$O$27,3,FALSE)</f>
        <v>0</v>
      </c>
      <c r="E50" s="171">
        <f>VLOOKUP($B50,GainLoss!$B$19:$O$27,4,FALSE)</f>
        <v>0</v>
      </c>
      <c r="F50" s="171">
        <f>VLOOKUP($B50,GainLoss!$B$19:$O$27,5,FALSE)</f>
        <v>0</v>
      </c>
      <c r="G50" s="171">
        <f>VLOOKUP($B50,GainLoss!$B$19:$O$27,6,FALSE)</f>
        <v>0</v>
      </c>
      <c r="H50" s="171">
        <f>VLOOKUP($B50,GainLoss!$B$19:$O$27,7,FALSE)</f>
        <v>0</v>
      </c>
      <c r="I50" s="171">
        <f>VLOOKUP($B50,GainLoss!$B$19:$O$27,8,FALSE)</f>
        <v>0</v>
      </c>
      <c r="J50" s="171">
        <f>VLOOKUP($B50,GainLoss!$B$19:$O$27,9,FALSE)</f>
        <v>0</v>
      </c>
      <c r="K50" s="171">
        <f>VLOOKUP($B50,GainLoss!$B$19:$O$27,10,FALSE)</f>
        <v>0</v>
      </c>
      <c r="L50" s="171">
        <f>VLOOKUP($B50,GainLoss!$B$19:$O$27,11,FALSE)</f>
        <v>0</v>
      </c>
      <c r="M50" s="171">
        <f>VLOOKUP($B50,GainLoss!$B$19:$O$27,12,FALSE)</f>
        <v>0</v>
      </c>
      <c r="N50" s="171">
        <f>VLOOKUP($B50,GainLoss!$B$19:$O$27,13,FALSE)</f>
        <v>0</v>
      </c>
      <c r="O50" s="198">
        <f>VLOOKUP($B50,GainLoss!$B$19:$O$27,14,FALSE)</f>
        <v>0</v>
      </c>
    </row>
    <row r="51" spans="2:15" ht="14.25">
      <c r="B51" s="14" t="str">
        <f>+B42 &amp;" Diversions"</f>
        <v>Node 11.03 Diversions</v>
      </c>
      <c r="C51" s="13"/>
      <c r="D51" s="54">
        <f>MIN(VLOOKUP($B42,'Diversion Data'!$B$3:$O$227,3,FALSE),(D48-D50))</f>
        <v>0</v>
      </c>
      <c r="E51" s="54">
        <f>MIN(VLOOKUP($B42,'Diversion Data'!$B$3:$O$227,4,FALSE),(E48-E50))</f>
        <v>0</v>
      </c>
      <c r="F51" s="54">
        <f>MIN(VLOOKUP($B42,'Diversion Data'!$B$3:$O$227,5,FALSE),(F48-F50))</f>
        <v>0</v>
      </c>
      <c r="G51" s="54">
        <f>MIN(VLOOKUP($B42,'Diversion Data'!$B$3:$O$227,6,FALSE),(G48-G50))</f>
        <v>0</v>
      </c>
      <c r="H51" s="54">
        <f>MIN(VLOOKUP($B42,'Diversion Data'!$B$3:$O$227,7,FALSE),(H48-H50))</f>
        <v>408.77384297520661</v>
      </c>
      <c r="I51" s="54">
        <f>MIN(VLOOKUP($B42,'Diversion Data'!$B$3:$O$227,8,FALSE),(I48-I50))</f>
        <v>446.34246900826452</v>
      </c>
      <c r="J51" s="54">
        <f>MIN(VLOOKUP($B42,'Diversion Data'!$B$3:$O$227,9,FALSE),(J48-J50))</f>
        <v>390.40165289256197</v>
      </c>
      <c r="K51" s="54">
        <f>MIN(VLOOKUP($B42,'Diversion Data'!$B$3:$O$227,10,FALSE),(K48-K50))</f>
        <v>311.95551652892561</v>
      </c>
      <c r="L51" s="54">
        <f>MIN(VLOOKUP($B42,'Diversion Data'!$B$3:$O$227,11,FALSE),(L48-L50))</f>
        <v>187.42029958677685</v>
      </c>
      <c r="M51" s="54">
        <f>MIN(VLOOKUP($B42,'Diversion Data'!$B$3:$O$227,12,FALSE),(M48-M50))</f>
        <v>0</v>
      </c>
      <c r="N51" s="54">
        <f>MIN(VLOOKUP($B42,'Diversion Data'!$B$3:$O$227,13,FALSE),(N48-N50))</f>
        <v>0</v>
      </c>
      <c r="O51" s="110">
        <f>MIN(VLOOKUP($B42,'Diversion Data'!$B$3:$O$227,14,FALSE),(O48-O50))</f>
        <v>0</v>
      </c>
    </row>
    <row r="52" spans="2:15" ht="15.75" thickBot="1">
      <c r="B52" s="24" t="str">
        <f>"Total " &amp; (B42) &amp;" Outflow"</f>
        <v>Total Node 11.03 Outflow</v>
      </c>
      <c r="C52" s="23"/>
      <c r="D52" s="27">
        <f t="shared" ref="D52:O52" si="13">SUM(D50:D51)</f>
        <v>0</v>
      </c>
      <c r="E52" s="27">
        <f t="shared" si="13"/>
        <v>0</v>
      </c>
      <c r="F52" s="27">
        <f t="shared" si="13"/>
        <v>0</v>
      </c>
      <c r="G52" s="27">
        <f t="shared" si="13"/>
        <v>0</v>
      </c>
      <c r="H52" s="27">
        <f t="shared" si="13"/>
        <v>408.77384297520661</v>
      </c>
      <c r="I52" s="27">
        <f t="shared" si="13"/>
        <v>446.34246900826452</v>
      </c>
      <c r="J52" s="27">
        <f t="shared" si="13"/>
        <v>390.40165289256197</v>
      </c>
      <c r="K52" s="27">
        <f t="shared" si="13"/>
        <v>311.95551652892561</v>
      </c>
      <c r="L52" s="27">
        <f t="shared" si="13"/>
        <v>187.42029958677685</v>
      </c>
      <c r="M52" s="27">
        <f t="shared" si="13"/>
        <v>0</v>
      </c>
      <c r="N52" s="27">
        <f t="shared" si="13"/>
        <v>0</v>
      </c>
      <c r="O52" s="28">
        <f t="shared" si="13"/>
        <v>0</v>
      </c>
    </row>
    <row r="53" spans="2:15" ht="15.75" thickBot="1">
      <c r="B53" s="24" t="str">
        <f>(B42)&amp;" NET Flow (In - Out)"</f>
        <v>Node 11.03 NET Flow (In - Out)</v>
      </c>
      <c r="C53" s="23"/>
      <c r="D53" s="193">
        <f t="shared" ref="D53:O53" si="14">MAX(D48-D52,0)</f>
        <v>7449.0338842975216</v>
      </c>
      <c r="E53" s="193">
        <f t="shared" si="14"/>
        <v>6625.053128689493</v>
      </c>
      <c r="F53" s="193">
        <f t="shared" si="14"/>
        <v>11588.964226682407</v>
      </c>
      <c r="G53" s="193">
        <f t="shared" si="14"/>
        <v>12132.787012987013</v>
      </c>
      <c r="H53" s="193">
        <f t="shared" si="14"/>
        <v>20587.84880743684</v>
      </c>
      <c r="I53" s="193">
        <f t="shared" si="14"/>
        <v>22379.491991766517</v>
      </c>
      <c r="J53" s="193">
        <f t="shared" si="14"/>
        <v>10777.880774056321</v>
      </c>
      <c r="K53" s="193">
        <f t="shared" si="14"/>
        <v>7797.0754373826885</v>
      </c>
      <c r="L53" s="193">
        <f t="shared" si="14"/>
        <v>6093.3381914244264</v>
      </c>
      <c r="M53" s="193">
        <f t="shared" si="14"/>
        <v>8532.3255914058464</v>
      </c>
      <c r="N53" s="193">
        <f t="shared" si="14"/>
        <v>8922.5307723311689</v>
      </c>
      <c r="O53" s="200">
        <f t="shared" si="14"/>
        <v>7822.3766093034255</v>
      </c>
    </row>
    <row r="55" spans="2:15" ht="15.75" thickBot="1">
      <c r="B55" s="108" t="s">
        <v>274</v>
      </c>
      <c r="C55" s="109" t="str">
        <f>VLOOKUP(B55,NodeList!$D$4:$E$121,2,FALSE)</f>
        <v>Cook Brothers</v>
      </c>
      <c r="D55" s="6"/>
      <c r="E55" s="6"/>
      <c r="F55" s="6"/>
      <c r="G55" s="6"/>
      <c r="H55" s="7"/>
      <c r="I55" s="7"/>
      <c r="J55" s="7"/>
      <c r="K55" s="7"/>
      <c r="L55" s="7"/>
      <c r="M55" s="7"/>
      <c r="N55" s="7"/>
      <c r="O55" s="7"/>
    </row>
    <row r="56" spans="2:15" ht="15">
      <c r="B56" s="9" t="s">
        <v>16</v>
      </c>
      <c r="C56" s="10"/>
      <c r="D56" s="11" t="s">
        <v>0</v>
      </c>
      <c r="E56" s="11" t="s">
        <v>1</v>
      </c>
      <c r="F56" s="11" t="s">
        <v>2</v>
      </c>
      <c r="G56" s="11" t="s">
        <v>3</v>
      </c>
      <c r="H56" s="11" t="s">
        <v>4</v>
      </c>
      <c r="I56" s="11" t="s">
        <v>5</v>
      </c>
      <c r="J56" s="11" t="s">
        <v>6</v>
      </c>
      <c r="K56" s="11" t="s">
        <v>7</v>
      </c>
      <c r="L56" s="11" t="s">
        <v>8</v>
      </c>
      <c r="M56" s="11" t="s">
        <v>9</v>
      </c>
      <c r="N56" s="11" t="s">
        <v>10</v>
      </c>
      <c r="O56" s="12" t="s">
        <v>11</v>
      </c>
    </row>
    <row r="57" spans="2:15" ht="14.25">
      <c r="B57" s="14" t="str">
        <f>+B55 &amp;" Node Inflow"</f>
        <v>Node 11.04 Node Inflow</v>
      </c>
      <c r="C57" s="13"/>
      <c r="D57" s="15">
        <f>+D53</f>
        <v>7449.0338842975216</v>
      </c>
      <c r="E57" s="15">
        <f t="shared" ref="E57:O57" si="15">+E53</f>
        <v>6625.053128689493</v>
      </c>
      <c r="F57" s="15">
        <f t="shared" si="15"/>
        <v>11588.964226682407</v>
      </c>
      <c r="G57" s="15">
        <f t="shared" si="15"/>
        <v>12132.787012987013</v>
      </c>
      <c r="H57" s="15">
        <f t="shared" si="15"/>
        <v>20587.84880743684</v>
      </c>
      <c r="I57" s="15">
        <f t="shared" si="15"/>
        <v>22379.491991766517</v>
      </c>
      <c r="J57" s="15">
        <f t="shared" si="15"/>
        <v>10777.880774056321</v>
      </c>
      <c r="K57" s="15">
        <f t="shared" si="15"/>
        <v>7797.0754373826885</v>
      </c>
      <c r="L57" s="15">
        <f t="shared" si="15"/>
        <v>6093.3381914244264</v>
      </c>
      <c r="M57" s="15">
        <f t="shared" si="15"/>
        <v>8532.3255914058464</v>
      </c>
      <c r="N57" s="15">
        <f t="shared" si="15"/>
        <v>8922.5307723311689</v>
      </c>
      <c r="O57" s="16">
        <f t="shared" si="15"/>
        <v>7822.3766093034255</v>
      </c>
    </row>
    <row r="58" spans="2:15" ht="14.25">
      <c r="B58" s="14" t="str">
        <f>+B55 &amp;" Irrigation Returns"</f>
        <v>Node 11.04 Irrigation Returns</v>
      </c>
      <c r="C58" s="13"/>
      <c r="D58" s="54">
        <f>VLOOKUP(($B55),'Irrigation Returns'!$B$644:$P$930,4,FALSE)</f>
        <v>0</v>
      </c>
      <c r="E58" s="54">
        <f>VLOOKUP(($B55),'Irrigation Returns'!$B$644:$P$930,5,FALSE)</f>
        <v>0</v>
      </c>
      <c r="F58" s="54">
        <f>VLOOKUP(($B55),'Irrigation Returns'!$B$644:$P$930,6,FALSE)</f>
        <v>0</v>
      </c>
      <c r="G58" s="54">
        <f>VLOOKUP(($B55),'Irrigation Returns'!$B$644:$P$930,7,FALSE)</f>
        <v>0</v>
      </c>
      <c r="H58" s="54">
        <f>VLOOKUP(($B55),'Irrigation Returns'!$B$644:$P$930,8,FALSE)</f>
        <v>212.28291312396692</v>
      </c>
      <c r="I58" s="54">
        <f>VLOOKUP(($B55),'Irrigation Returns'!$B$644:$P$930,9,FALSE)</f>
        <v>400.20944530991733</v>
      </c>
      <c r="J58" s="54">
        <f>VLOOKUP(($B55),'Irrigation Returns'!$B$644:$P$930,10,FALSE)</f>
        <v>449.34969296694214</v>
      </c>
      <c r="K58" s="54">
        <f>VLOOKUP(($B55),'Irrigation Returns'!$B$644:$P$930,11,FALSE)</f>
        <v>311.13971445041324</v>
      </c>
      <c r="L58" s="54">
        <f>VLOOKUP(($B55),'Irrigation Returns'!$B$644:$P$930,12,FALSE)</f>
        <v>158.85309152066117</v>
      </c>
      <c r="M58" s="54">
        <f>VLOOKUP(($B55),'Irrigation Returns'!$B$644:$P$930,13,FALSE)</f>
        <v>42.690148504132232</v>
      </c>
      <c r="N58" s="54">
        <f>VLOOKUP(($B55),'Irrigation Returns'!$B$644:$P$930,14,FALSE)</f>
        <v>9.1572541652892561</v>
      </c>
      <c r="O58" s="110">
        <f>VLOOKUP(($B55),'Irrigation Returns'!$B$644:$P$930,15,FALSE)</f>
        <v>0</v>
      </c>
    </row>
    <row r="59" spans="2:15" ht="14.25">
      <c r="B59" s="14" t="s">
        <v>328</v>
      </c>
      <c r="C59" s="13" t="s">
        <v>180</v>
      </c>
      <c r="D59" s="54">
        <f>VLOOKUP($B59,GainLoss!$B$5:$O$14,3,FALSE)</f>
        <v>0</v>
      </c>
      <c r="E59" s="54">
        <f>VLOOKUP($B59,GainLoss!$B$5:$O$14,4,FALSE)</f>
        <v>0</v>
      </c>
      <c r="F59" s="54">
        <f>VLOOKUP($B59,GainLoss!$B$5:$O$14,5,FALSE)</f>
        <v>0</v>
      </c>
      <c r="G59" s="54">
        <f>VLOOKUP($B59,GainLoss!$B$5:$O$14,6,FALSE)</f>
        <v>0</v>
      </c>
      <c r="H59" s="54">
        <f>VLOOKUP($B59,GainLoss!$B$5:$O$14,7,FALSE)</f>
        <v>0</v>
      </c>
      <c r="I59" s="54">
        <f>VLOOKUP($B59,GainLoss!$B$5:$O$14,8,FALSE)</f>
        <v>0</v>
      </c>
      <c r="J59" s="54">
        <f>VLOOKUP($B59,GainLoss!$B$5:$O$14,9,FALSE)</f>
        <v>0</v>
      </c>
      <c r="K59" s="54">
        <f>VLOOKUP($B59,GainLoss!$B$5:$O$14,10,FALSE)</f>
        <v>0</v>
      </c>
      <c r="L59" s="54">
        <f>VLOOKUP($B59,GainLoss!$B$5:$O$14,11,FALSE)</f>
        <v>0</v>
      </c>
      <c r="M59" s="54">
        <f>VLOOKUP($B59,GainLoss!$B$5:$O$14,12,FALSE)</f>
        <v>0</v>
      </c>
      <c r="N59" s="54">
        <f>VLOOKUP($B59,GainLoss!$B$5:$O$14,13,FALSE)</f>
        <v>0</v>
      </c>
      <c r="O59" s="110">
        <f>VLOOKUP($B59,GainLoss!$B$5:$O$14,14,FALSE)</f>
        <v>0</v>
      </c>
    </row>
    <row r="60" spans="2:15" ht="14.25">
      <c r="B60" s="14" t="str">
        <f>+B55 &amp;" Import/Export"</f>
        <v>Node 11.04 Import/Export</v>
      </c>
      <c r="C60" s="13"/>
      <c r="D60" s="190">
        <f>VLOOKUP($B55,ImportExport!$B$6:$O$68,3,FALSE)</f>
        <v>0</v>
      </c>
      <c r="E60" s="190">
        <f>VLOOKUP($B55,ImportExport!$B$6:$O$68,4,FALSE)</f>
        <v>0</v>
      </c>
      <c r="F60" s="190">
        <f>VLOOKUP($B55,ImportExport!$B$6:$O$68,5,FALSE)</f>
        <v>0</v>
      </c>
      <c r="G60" s="190">
        <f>VLOOKUP($B55,ImportExport!$B$6:$O$68,6,FALSE)</f>
        <v>0</v>
      </c>
      <c r="H60" s="190">
        <f>VLOOKUP($B55,ImportExport!$B$6:$O$68,7,FALSE)</f>
        <v>0</v>
      </c>
      <c r="I60" s="190">
        <f>VLOOKUP($B55,ImportExport!$B$6:$O$68,8,FALSE)</f>
        <v>0</v>
      </c>
      <c r="J60" s="190">
        <f>VLOOKUP($B55,ImportExport!$B$6:$O$68,9,FALSE)</f>
        <v>0</v>
      </c>
      <c r="K60" s="190">
        <f>VLOOKUP($B55,ImportExport!$B$6:$O$68,10,FALSE)</f>
        <v>0</v>
      </c>
      <c r="L60" s="190">
        <f>VLOOKUP($B55,ImportExport!$B$6:$O$68,11,FALSE)</f>
        <v>0</v>
      </c>
      <c r="M60" s="190">
        <f>VLOOKUP($B55,ImportExport!$B$6:$O$68,12,FALSE)</f>
        <v>0</v>
      </c>
      <c r="N60" s="190">
        <f>VLOOKUP($B55,ImportExport!$B$6:$O$68,13,FALSE)</f>
        <v>0</v>
      </c>
      <c r="O60" s="197">
        <f>VLOOKUP($B55,ImportExport!$B$6:$O$68,14,FALSE)</f>
        <v>0</v>
      </c>
    </row>
    <row r="61" spans="2:15" ht="15.75" thickBot="1">
      <c r="B61" s="18" t="str">
        <f>"Total "&amp; (B55)&amp;" Inflow"</f>
        <v>Total Node 11.04 Inflow</v>
      </c>
      <c r="C61" s="17"/>
      <c r="D61" s="25">
        <f t="shared" ref="D61:O61" si="16">SUM(D57:D60)</f>
        <v>7449.0338842975216</v>
      </c>
      <c r="E61" s="25">
        <f t="shared" si="16"/>
        <v>6625.053128689493</v>
      </c>
      <c r="F61" s="25">
        <f t="shared" si="16"/>
        <v>11588.964226682407</v>
      </c>
      <c r="G61" s="25">
        <f t="shared" si="16"/>
        <v>12132.787012987013</v>
      </c>
      <c r="H61" s="25">
        <f t="shared" si="16"/>
        <v>20800.131720560807</v>
      </c>
      <c r="I61" s="25">
        <f t="shared" si="16"/>
        <v>22779.701437076434</v>
      </c>
      <c r="J61" s="25">
        <f t="shared" si="16"/>
        <v>11227.230467023262</v>
      </c>
      <c r="K61" s="25">
        <f t="shared" si="16"/>
        <v>8108.215151833102</v>
      </c>
      <c r="L61" s="25">
        <f t="shared" si="16"/>
        <v>6252.1912829450876</v>
      </c>
      <c r="M61" s="25">
        <f t="shared" si="16"/>
        <v>8575.0157399099789</v>
      </c>
      <c r="N61" s="25">
        <f t="shared" si="16"/>
        <v>8931.6880264964584</v>
      </c>
      <c r="O61" s="26">
        <f t="shared" si="16"/>
        <v>7822.3766093034255</v>
      </c>
    </row>
    <row r="62" spans="2:15" ht="15">
      <c r="B62" s="19" t="s">
        <v>17</v>
      </c>
      <c r="C62" s="20"/>
      <c r="D62" s="282" t="str">
        <f>IF(((VLOOKUP($B55,'Diversion Data'!$B$3:$O$227,3,FALSE))-D64)&gt;0,"Short","")</f>
        <v/>
      </c>
      <c r="E62" s="282" t="str">
        <f>IF(((VLOOKUP($B55,'Diversion Data'!$B$3:$O$227,4,FALSE))-E64)&gt;0,"Short","")</f>
        <v/>
      </c>
      <c r="F62" s="282" t="str">
        <f>IF(((VLOOKUP($B55,'Diversion Data'!$B$3:$O$227,5,FALSE))-F64)&gt;0,"Short","")</f>
        <v/>
      </c>
      <c r="G62" s="282" t="str">
        <f>IF(((VLOOKUP($B55,'Diversion Data'!$B$3:$O$227,6,FALSE))-G64)&gt;0,"Short","")</f>
        <v/>
      </c>
      <c r="H62" s="282" t="str">
        <f>IF(((VLOOKUP($B55,'Diversion Data'!$B$3:$O$227,7,FALSE))-H64)&gt;0,"Short","")</f>
        <v/>
      </c>
      <c r="I62" s="282" t="str">
        <f>IF(((VLOOKUP($B55,'Diversion Data'!$B$3:$O$227,8,FALSE))-I64)&gt;0,"Short","")</f>
        <v/>
      </c>
      <c r="J62" s="282" t="str">
        <f>IF(((VLOOKUP($B55,'Diversion Data'!$B$3:$O$227,9,FALSE))-J64)&gt;0,"Short","")</f>
        <v/>
      </c>
      <c r="K62" s="282" t="str">
        <f>IF(((VLOOKUP($B55,'Diversion Data'!$B$3:$O$227,10,FALSE))-K64)&gt;0,"Short","")</f>
        <v/>
      </c>
      <c r="L62" s="282" t="str">
        <f>IF(((VLOOKUP($B55,'Diversion Data'!$B$3:$O$227,11,FALSE))-L64)&gt;0,"Short","")</f>
        <v/>
      </c>
      <c r="M62" s="282" t="str">
        <f>IF(((VLOOKUP($B55,'Diversion Data'!$B$3:$O$227,12,FALSE))-M64)&gt;0,"Short","")</f>
        <v/>
      </c>
      <c r="N62" s="282" t="str">
        <f>IF(((VLOOKUP($B55,'Diversion Data'!$B$3:$O$227,13,FALSE))-N64)&gt;0,"Short","")</f>
        <v/>
      </c>
      <c r="O62" s="283" t="str">
        <f>IF(((VLOOKUP($B55,'Diversion Data'!$B$3:$O$227,14,FALSE))-O64)&gt;0,"Short","")</f>
        <v/>
      </c>
    </row>
    <row r="63" spans="2:15" ht="14.25">
      <c r="B63" s="14" t="s">
        <v>366</v>
      </c>
      <c r="C63" s="13" t="s">
        <v>181</v>
      </c>
      <c r="D63" s="171">
        <f>VLOOKUP($B63,GainLoss!$B$19:$O$27,3,FALSE)</f>
        <v>28.4380165289258</v>
      </c>
      <c r="E63" s="171">
        <f>VLOOKUP($B63,GainLoss!$B$19:$O$27,4,FALSE)</f>
        <v>157.63636363636215</v>
      </c>
      <c r="F63" s="171">
        <f>VLOOKUP($B63,GainLoss!$B$19:$O$27,5,FALSE)</f>
        <v>0</v>
      </c>
      <c r="G63" s="171">
        <f>VLOOKUP($B63,GainLoss!$B$19:$O$27,6,FALSE)</f>
        <v>711.07438016528795</v>
      </c>
      <c r="H63" s="171">
        <f>VLOOKUP($B63,GainLoss!$B$19:$O$27,7,FALSE)</f>
        <v>967.34744665289122</v>
      </c>
      <c r="I63" s="171">
        <f>VLOOKUP($B63,GainLoss!$B$19:$O$27,8,FALSE)</f>
        <v>1135.6729040185946</v>
      </c>
      <c r="J63" s="171">
        <f>VLOOKUP($B63,GainLoss!$B$19:$O$27,9,FALSE)</f>
        <v>0</v>
      </c>
      <c r="K63" s="171">
        <f>VLOOKUP($B63,GainLoss!$B$19:$O$27,10,FALSE)</f>
        <v>782.01838201446162</v>
      </c>
      <c r="L63" s="171">
        <f>VLOOKUP($B63,GainLoss!$B$19:$O$27,11,FALSE)</f>
        <v>502.54469407541387</v>
      </c>
      <c r="M63" s="171">
        <f>VLOOKUP($B63,GainLoss!$B$19:$O$27,12,FALSE)</f>
        <v>1166.0483255061986</v>
      </c>
      <c r="N63" s="171">
        <f>VLOOKUP($B63,GainLoss!$B$19:$O$27,13,FALSE)</f>
        <v>411.64198163222972</v>
      </c>
      <c r="O63" s="198">
        <f>VLOOKUP($B63,GainLoss!$B$19:$O$27,14,FALSE)</f>
        <v>88.842606942149473</v>
      </c>
    </row>
    <row r="64" spans="2:15" ht="14.25">
      <c r="B64" s="14" t="str">
        <f>+B55 &amp;" Diversions"</f>
        <v>Node 11.04 Diversions</v>
      </c>
      <c r="C64" s="13"/>
      <c r="D64" s="54">
        <f>MIN(VLOOKUP($B55,'Diversion Data'!$B$3:$O$227,3,FALSE),(D61-D63))</f>
        <v>0</v>
      </c>
      <c r="E64" s="54">
        <f>MIN(VLOOKUP($B55,'Diversion Data'!$B$3:$O$227,4,FALSE),(E61-E63))</f>
        <v>0</v>
      </c>
      <c r="F64" s="54">
        <f>MIN(VLOOKUP($B55,'Diversion Data'!$B$3:$O$227,5,FALSE),(F61-F63))</f>
        <v>0</v>
      </c>
      <c r="G64" s="54">
        <f>MIN(VLOOKUP($B55,'Diversion Data'!$B$3:$O$227,6,FALSE),(G61-G63))</f>
        <v>0</v>
      </c>
      <c r="H64" s="54">
        <f>MIN(VLOOKUP($B55,'Diversion Data'!$B$3:$O$227,7,FALSE),(H61-H63))</f>
        <v>2435.9259504132233</v>
      </c>
      <c r="I64" s="54">
        <f>MIN(VLOOKUP($B55,'Diversion Data'!$B$3:$O$227,8,FALSE),(I61-I63))</f>
        <v>2429.5657231404962</v>
      </c>
      <c r="J64" s="54">
        <f>MIN(VLOOKUP($B55,'Diversion Data'!$B$3:$O$227,9,FALSE),(J61-J63))</f>
        <v>1870.6842045454546</v>
      </c>
      <c r="K64" s="54">
        <f>MIN(VLOOKUP($B55,'Diversion Data'!$B$3:$O$227,10,FALSE),(K61-K63))</f>
        <v>1851.6399483471075</v>
      </c>
      <c r="L64" s="54">
        <f>MIN(VLOOKUP($B55,'Diversion Data'!$B$3:$O$227,11,FALSE),(L61-L63))</f>
        <v>1589.912117768595</v>
      </c>
      <c r="M64" s="54">
        <f>MIN(VLOOKUP($B55,'Diversion Data'!$B$3:$O$227,12,FALSE),(M61-M63))</f>
        <v>0</v>
      </c>
      <c r="N64" s="54">
        <f>MIN(VLOOKUP($B55,'Diversion Data'!$B$3:$O$227,13,FALSE),(N61-N63))</f>
        <v>0</v>
      </c>
      <c r="O64" s="110">
        <f>MIN(VLOOKUP($B55,'Diversion Data'!$B$3:$O$227,14,FALSE),(O61-O63))</f>
        <v>0</v>
      </c>
    </row>
    <row r="65" spans="2:17" ht="15.75" thickBot="1">
      <c r="B65" s="24" t="str">
        <f>"Total " &amp; (B55) &amp;" Outflow"</f>
        <v>Total Node 11.04 Outflow</v>
      </c>
      <c r="C65" s="23"/>
      <c r="D65" s="27">
        <f t="shared" ref="D65:O65" si="17">SUM(D63:D64)</f>
        <v>28.4380165289258</v>
      </c>
      <c r="E65" s="27">
        <f t="shared" si="17"/>
        <v>157.63636363636215</v>
      </c>
      <c r="F65" s="27">
        <f t="shared" si="17"/>
        <v>0</v>
      </c>
      <c r="G65" s="27">
        <f t="shared" si="17"/>
        <v>711.07438016528795</v>
      </c>
      <c r="H65" s="27">
        <f t="shared" si="17"/>
        <v>3403.2733970661147</v>
      </c>
      <c r="I65" s="27">
        <f t="shared" si="17"/>
        <v>3565.2386271590908</v>
      </c>
      <c r="J65" s="27">
        <f t="shared" si="17"/>
        <v>1870.6842045454546</v>
      </c>
      <c r="K65" s="27">
        <f t="shared" si="17"/>
        <v>2633.6583303615689</v>
      </c>
      <c r="L65" s="27">
        <f t="shared" si="17"/>
        <v>2092.4568118440088</v>
      </c>
      <c r="M65" s="27">
        <f t="shared" si="17"/>
        <v>1166.0483255061986</v>
      </c>
      <c r="N65" s="27">
        <f t="shared" si="17"/>
        <v>411.64198163222972</v>
      </c>
      <c r="O65" s="28">
        <f t="shared" si="17"/>
        <v>88.842606942149473</v>
      </c>
    </row>
    <row r="66" spans="2:17" ht="15.75" thickBot="1">
      <c r="B66" s="24" t="str">
        <f>(B55)&amp;" NET Flow (In - Out)"</f>
        <v>Node 11.04 NET Flow (In - Out)</v>
      </c>
      <c r="C66" s="23"/>
      <c r="D66" s="193">
        <f t="shared" ref="D66:O66" si="18">MAX(D61-D65,0)</f>
        <v>7420.5958677685958</v>
      </c>
      <c r="E66" s="193">
        <f t="shared" si="18"/>
        <v>6467.4167650531308</v>
      </c>
      <c r="F66" s="193">
        <f t="shared" si="18"/>
        <v>11588.964226682407</v>
      </c>
      <c r="G66" s="193">
        <f t="shared" si="18"/>
        <v>11421.712632821725</v>
      </c>
      <c r="H66" s="193">
        <f t="shared" si="18"/>
        <v>17396.858323494693</v>
      </c>
      <c r="I66" s="193">
        <f t="shared" si="18"/>
        <v>19214.462809917342</v>
      </c>
      <c r="J66" s="193">
        <f t="shared" si="18"/>
        <v>9356.5462624778083</v>
      </c>
      <c r="K66" s="193">
        <f t="shared" si="18"/>
        <v>5474.5568214715331</v>
      </c>
      <c r="L66" s="193">
        <f t="shared" si="18"/>
        <v>4159.7344711010792</v>
      </c>
      <c r="M66" s="193">
        <f t="shared" si="18"/>
        <v>7408.9674144037799</v>
      </c>
      <c r="N66" s="193">
        <f t="shared" si="18"/>
        <v>8520.046044864228</v>
      </c>
      <c r="O66" s="200">
        <f t="shared" si="18"/>
        <v>7733.5340023612762</v>
      </c>
    </row>
    <row r="67" spans="2:17">
      <c r="D67" s="363"/>
      <c r="E67" s="363"/>
      <c r="F67" s="363"/>
      <c r="G67" s="363"/>
      <c r="H67" s="363"/>
      <c r="I67" s="363"/>
      <c r="J67" s="363"/>
      <c r="K67" s="363"/>
      <c r="L67" s="363"/>
      <c r="M67" s="363"/>
      <c r="N67" s="363"/>
      <c r="O67" s="363"/>
      <c r="P67" s="363"/>
    </row>
    <row r="68" spans="2:17">
      <c r="D68" s="296"/>
      <c r="E68" s="296"/>
      <c r="F68" s="296"/>
      <c r="G68" s="296"/>
      <c r="H68" s="296"/>
      <c r="I68" s="296"/>
      <c r="J68" s="296"/>
      <c r="K68" s="296"/>
      <c r="L68" s="296"/>
      <c r="M68" s="296"/>
      <c r="N68" s="296"/>
      <c r="O68" s="296"/>
    </row>
    <row r="70" spans="2:17" ht="20.25">
      <c r="B70" s="285" t="s">
        <v>387</v>
      </c>
      <c r="C70" s="285"/>
      <c r="D70" s="285"/>
      <c r="E70" s="285"/>
      <c r="F70" s="285"/>
      <c r="G70" s="285"/>
      <c r="H70" s="285"/>
      <c r="I70" s="285"/>
      <c r="J70" s="285"/>
      <c r="K70" s="285"/>
      <c r="L70" s="285"/>
      <c r="M70" s="285"/>
      <c r="N70" s="285"/>
      <c r="O70" s="285"/>
    </row>
    <row r="71" spans="2:17">
      <c r="F71" s="296"/>
      <c r="G71" s="296"/>
      <c r="H71" s="296"/>
      <c r="I71" s="296"/>
      <c r="J71" s="296"/>
      <c r="K71" s="296"/>
      <c r="L71" s="296"/>
      <c r="M71" s="296"/>
      <c r="N71" s="296"/>
      <c r="O71" s="296"/>
      <c r="P71" s="296"/>
      <c r="Q71" s="296"/>
    </row>
  </sheetData>
  <sheetProtection objects="1" scenarios="1"/>
  <mergeCells count="4">
    <mergeCell ref="E1:N1"/>
    <mergeCell ref="T4:AE4"/>
    <mergeCell ref="A3:A16"/>
    <mergeCell ref="T2:AE2"/>
  </mergeCells>
  <phoneticPr fontId="0" type="noConversion"/>
  <conditionalFormatting sqref="D53:O53 D14:O14 D27:O27 D40:O40 D66:O66">
    <cfRule type="cellIs" dxfId="2" priority="1" stopIfTrue="1" operator="lessThanOrEqual">
      <formula>0</formula>
    </cfRule>
  </conditionalFormatting>
  <pageMargins left="0.75" right="0.75" top="1" bottom="1" header="0.5" footer="0.5"/>
  <pageSetup scale="65" fitToHeight="3" orientation="landscape" horizontalDpi="4294967292" verticalDpi="0" r:id="rId1"/>
  <headerFooter alignWithMargins="0">
    <oddHeader>&amp;C&amp;"Arial,Bold"&amp;12Bear River Spreadsheet Model
Dry Year Conditions</oddHeader>
    <oddFooter>&amp;L&amp;F &amp;A&amp;RAPPENDIX A (Page &amp;P of &amp;N)</oddFooter>
  </headerFooter>
  <rowBreaks count="1" manualBreakCount="1">
    <brk id="41" max="15" man="1"/>
  </rowBreaks>
  <legacyDrawing r:id="rId2"/>
</worksheet>
</file>

<file path=xl/worksheets/sheet15.xml><?xml version="1.0" encoding="utf-8"?>
<worksheet xmlns="http://schemas.openxmlformats.org/spreadsheetml/2006/main" xmlns:r="http://schemas.openxmlformats.org/officeDocument/2006/relationships">
  <sheetPr codeName="Sheet23">
    <pageSetUpPr autoPageBreaks="0"/>
  </sheetPr>
  <dimension ref="A1:O72"/>
  <sheetViews>
    <sheetView showGridLines="0" zoomScale="75" zoomScaleNormal="75" workbookViewId="0">
      <pane ySplit="1" topLeftCell="A32" activePane="bottomLeft" state="frozen"/>
      <selection activeCell="B26" sqref="B26"/>
      <selection pane="bottomLeft" activeCell="H67" sqref="H67"/>
    </sheetView>
  </sheetViews>
  <sheetFormatPr defaultRowHeight="12.75"/>
  <cols>
    <col min="1" max="1" width="2.28515625" customWidth="1"/>
    <col min="2" max="2" width="12.28515625" customWidth="1"/>
    <col min="3" max="3" width="25.28515625" customWidth="1"/>
    <col min="4" max="4" width="8.28515625" customWidth="1"/>
    <col min="5" max="5" width="7.140625" customWidth="1"/>
    <col min="6" max="7" width="8.28515625" customWidth="1"/>
    <col min="8" max="15" width="9.42578125" customWidth="1"/>
  </cols>
  <sheetData>
    <row r="1" spans="1:15" ht="40.5" customHeight="1">
      <c r="A1" s="2"/>
      <c r="B1" s="3"/>
      <c r="C1" s="229"/>
      <c r="D1" s="661" t="s">
        <v>563</v>
      </c>
      <c r="E1" s="661" t="s">
        <v>186</v>
      </c>
      <c r="F1" s="661"/>
      <c r="G1" s="661"/>
      <c r="H1" s="661"/>
      <c r="I1" s="661"/>
      <c r="J1" s="661"/>
      <c r="K1" s="661"/>
      <c r="L1" s="661"/>
      <c r="M1" s="661"/>
      <c r="N1" s="661"/>
      <c r="O1" s="661"/>
    </row>
    <row r="4" spans="1:15" ht="15.75" thickBot="1">
      <c r="B4" s="108" t="s">
        <v>125</v>
      </c>
      <c r="C4" s="109" t="str">
        <f>VLOOKUP(B4,NodeList!$D$4:$E$121,2,FALSE)</f>
        <v>USGS 10039500:  Bear R. at Border, WY</v>
      </c>
      <c r="D4" s="6"/>
      <c r="E4" s="6"/>
      <c r="F4" s="6"/>
      <c r="G4" s="6"/>
      <c r="H4" s="7"/>
      <c r="I4" s="7"/>
      <c r="J4" s="7"/>
      <c r="K4" s="7"/>
      <c r="L4" s="7"/>
      <c r="M4" s="7"/>
      <c r="N4" s="7"/>
      <c r="O4" s="7"/>
    </row>
    <row r="5" spans="1:15" ht="15">
      <c r="B5" s="9" t="s">
        <v>16</v>
      </c>
      <c r="C5" s="10"/>
      <c r="D5" s="11" t="s">
        <v>0</v>
      </c>
      <c r="E5" s="11" t="s">
        <v>1</v>
      </c>
      <c r="F5" s="11" t="s">
        <v>2</v>
      </c>
      <c r="G5" s="11" t="s">
        <v>3</v>
      </c>
      <c r="H5" s="11" t="s">
        <v>4</v>
      </c>
      <c r="I5" s="11" t="s">
        <v>5</v>
      </c>
      <c r="J5" s="11" t="s">
        <v>6</v>
      </c>
      <c r="K5" s="11" t="s">
        <v>7</v>
      </c>
      <c r="L5" s="11" t="s">
        <v>8</v>
      </c>
      <c r="M5" s="11" t="s">
        <v>9</v>
      </c>
      <c r="N5" s="11" t="s">
        <v>10</v>
      </c>
      <c r="O5" s="12" t="s">
        <v>11</v>
      </c>
    </row>
    <row r="6" spans="1:15" ht="14.25">
      <c r="B6" s="14" t="str">
        <f>+B4 &amp;" Node Inflow"</f>
        <v>Node 12.00 Node Inflow</v>
      </c>
      <c r="C6" s="13"/>
      <c r="D6" s="15">
        <f>+'Reach 11'!D66</f>
        <v>7420.5958677685958</v>
      </c>
      <c r="E6" s="15">
        <f>+'Reach 11'!E66</f>
        <v>6467.4167650531308</v>
      </c>
      <c r="F6" s="15">
        <f>+'Reach 11'!F66</f>
        <v>11588.964226682407</v>
      </c>
      <c r="G6" s="15">
        <f>+'Reach 11'!G66</f>
        <v>11421.712632821725</v>
      </c>
      <c r="H6" s="15">
        <f>+'Reach 11'!H66</f>
        <v>17396.858323494693</v>
      </c>
      <c r="I6" s="15">
        <f>+'Reach 11'!I66</f>
        <v>19214.462809917342</v>
      </c>
      <c r="J6" s="15">
        <f>+'Reach 11'!J66</f>
        <v>9356.5462624778083</v>
      </c>
      <c r="K6" s="15">
        <f>+'Reach 11'!K66</f>
        <v>5474.5568214715331</v>
      </c>
      <c r="L6" s="15">
        <f>+'Reach 11'!L66</f>
        <v>4159.7344711010792</v>
      </c>
      <c r="M6" s="15">
        <f>+'Reach 11'!M66</f>
        <v>7408.9674144037799</v>
      </c>
      <c r="N6" s="15">
        <f>+'Reach 11'!N66</f>
        <v>8520.046044864228</v>
      </c>
      <c r="O6" s="16">
        <f>+'Reach 11'!O66</f>
        <v>7733.5340023612762</v>
      </c>
    </row>
    <row r="7" spans="1:15" ht="14.25">
      <c r="B7" s="14" t="str">
        <f>+B4 &amp;" Irrigation Returns"</f>
        <v>Node 12.00 Irrigation Returns</v>
      </c>
      <c r="C7" s="13"/>
      <c r="D7" s="54">
        <f>VLOOKUP(($B4),'Irrigation Returns'!$B$644:$P$930,4,FALSE)</f>
        <v>0</v>
      </c>
      <c r="E7" s="54">
        <f>VLOOKUP(($B4),'Irrigation Returns'!$B$644:$P$930,5,FALSE)</f>
        <v>0</v>
      </c>
      <c r="F7" s="54">
        <f>VLOOKUP(($B4),'Irrigation Returns'!$B$644:$P$930,6,FALSE)</f>
        <v>0</v>
      </c>
      <c r="G7" s="54">
        <f>VLOOKUP(($B4),'Irrigation Returns'!$B$644:$P$930,7,FALSE)</f>
        <v>0</v>
      </c>
      <c r="H7" s="54">
        <f>VLOOKUP(($B4),'Irrigation Returns'!$B$644:$P$930,8,FALSE)</f>
        <v>1108.9314061983471</v>
      </c>
      <c r="I7" s="54">
        <f>VLOOKUP(($B4),'Irrigation Returns'!$B$644:$P$930,9,FALSE)</f>
        <v>1430.987066838843</v>
      </c>
      <c r="J7" s="54">
        <f>VLOOKUP(($B4),'Irrigation Returns'!$B$644:$P$930,10,FALSE)</f>
        <v>1344.4189202479338</v>
      </c>
      <c r="K7" s="54">
        <f>VLOOKUP(($B4),'Irrigation Returns'!$B$644:$P$930,11,FALSE)</f>
        <v>1250.2698579545456</v>
      </c>
      <c r="L7" s="54">
        <f>VLOOKUP(($B4),'Irrigation Returns'!$B$644:$P$930,12,FALSE)</f>
        <v>1071.9885790289256</v>
      </c>
      <c r="M7" s="54">
        <f>VLOOKUP(($B4),'Irrigation Returns'!$B$644:$P$930,13,FALSE)</f>
        <v>322.49173450413224</v>
      </c>
      <c r="N7" s="54">
        <f>VLOOKUP(($B4),'Irrigation Returns'!$B$644:$P$930,14,FALSE)</f>
        <v>101.01733605371901</v>
      </c>
      <c r="O7" s="110">
        <f>VLOOKUP(($B4),'Irrigation Returns'!$B$644:$P$930,15,FALSE)</f>
        <v>0</v>
      </c>
    </row>
    <row r="8" spans="1:15" ht="14.25">
      <c r="B8" s="14" t="s">
        <v>328</v>
      </c>
      <c r="C8" s="13" t="s">
        <v>180</v>
      </c>
      <c r="D8" s="54">
        <f>VLOOKUP($B8,GainLoss!$B$5:$O$14,3,FALSE)</f>
        <v>0</v>
      </c>
      <c r="E8" s="54">
        <f>VLOOKUP($B8,GainLoss!$B$5:$O$14,4,FALSE)</f>
        <v>0</v>
      </c>
      <c r="F8" s="54">
        <f>VLOOKUP($B8,GainLoss!$B$5:$O$14,5,FALSE)</f>
        <v>0</v>
      </c>
      <c r="G8" s="54">
        <f>VLOOKUP($B8,GainLoss!$B$5:$O$14,6,FALSE)</f>
        <v>0</v>
      </c>
      <c r="H8" s="54">
        <f>VLOOKUP($B8,GainLoss!$B$5:$O$14,7,FALSE)</f>
        <v>0</v>
      </c>
      <c r="I8" s="54">
        <f>VLOOKUP($B8,GainLoss!$B$5:$O$14,8,FALSE)</f>
        <v>0</v>
      </c>
      <c r="J8" s="54">
        <f>VLOOKUP($B8,GainLoss!$B$5:$O$14,9,FALSE)</f>
        <v>0</v>
      </c>
      <c r="K8" s="54">
        <f>VLOOKUP($B8,GainLoss!$B$5:$O$14,10,FALSE)</f>
        <v>0</v>
      </c>
      <c r="L8" s="54">
        <f>VLOOKUP($B8,GainLoss!$B$5:$O$14,11,FALSE)</f>
        <v>0</v>
      </c>
      <c r="M8" s="54">
        <f>VLOOKUP($B8,GainLoss!$B$5:$O$14,12,FALSE)</f>
        <v>0</v>
      </c>
      <c r="N8" s="54">
        <f>VLOOKUP($B8,GainLoss!$B$5:$O$14,13,FALSE)</f>
        <v>0</v>
      </c>
      <c r="O8" s="110">
        <f>VLOOKUP($B8,GainLoss!$B$5:$O$14,14,FALSE)</f>
        <v>0</v>
      </c>
    </row>
    <row r="9" spans="1:15" ht="14.25">
      <c r="B9" s="14" t="str">
        <f>+B4 &amp;" Import/Export"</f>
        <v>Node 12.00 Import/Export</v>
      </c>
      <c r="C9" s="13"/>
      <c r="D9" s="190">
        <f>VLOOKUP($B4,ImportExport!$B$6:$O$99,3,FALSE)</f>
        <v>0</v>
      </c>
      <c r="E9" s="190">
        <f>VLOOKUP($B4,ImportExport!$B$6:$O$99,4,FALSE)</f>
        <v>0</v>
      </c>
      <c r="F9" s="190">
        <f>VLOOKUP($B4,ImportExport!$B$6:$O$99,5,FALSE)</f>
        <v>0</v>
      </c>
      <c r="G9" s="190">
        <f>VLOOKUP($B4,ImportExport!$B$6:$O$99,6,FALSE)</f>
        <v>0</v>
      </c>
      <c r="H9" s="190">
        <f>VLOOKUP($B4,ImportExport!$B$6:$O$99,7,FALSE)</f>
        <v>0</v>
      </c>
      <c r="I9" s="190">
        <f>VLOOKUP($B4,ImportExport!$B$6:$O$99,8,FALSE)</f>
        <v>0</v>
      </c>
      <c r="J9" s="190">
        <f>VLOOKUP($B4,ImportExport!$B$6:$O$99,9,FALSE)</f>
        <v>0</v>
      </c>
      <c r="K9" s="190">
        <f>VLOOKUP($B4,ImportExport!$B$6:$O$99,10,FALSE)</f>
        <v>0</v>
      </c>
      <c r="L9" s="190">
        <f>VLOOKUP($B4,ImportExport!$B$6:$O$99,11,FALSE)</f>
        <v>0</v>
      </c>
      <c r="M9" s="190">
        <f>VLOOKUP($B4,ImportExport!$B$6:$O$99,12,FALSE)</f>
        <v>0</v>
      </c>
      <c r="N9" s="190">
        <f>VLOOKUP($B4,ImportExport!$B$6:$O$99,13,FALSE)</f>
        <v>0</v>
      </c>
      <c r="O9" s="197">
        <f>VLOOKUP($B4,ImportExport!$B$6:$O$99,14,FALSE)</f>
        <v>0</v>
      </c>
    </row>
    <row r="10" spans="1:15" ht="15.75" thickBot="1">
      <c r="B10" s="18" t="str">
        <f>"Total "&amp; (B4)&amp;" Inflow"</f>
        <v>Total Node 12.00 Inflow</v>
      </c>
      <c r="C10" s="17"/>
      <c r="D10" s="25">
        <f t="shared" ref="D10:O10" si="0">SUM(D6:D9)</f>
        <v>7420.5958677685958</v>
      </c>
      <c r="E10" s="25">
        <f t="shared" si="0"/>
        <v>6467.4167650531308</v>
      </c>
      <c r="F10" s="25">
        <f t="shared" si="0"/>
        <v>11588.964226682407</v>
      </c>
      <c r="G10" s="25">
        <f t="shared" si="0"/>
        <v>11421.712632821725</v>
      </c>
      <c r="H10" s="25">
        <f t="shared" si="0"/>
        <v>18505.789729693039</v>
      </c>
      <c r="I10" s="25">
        <f t="shared" si="0"/>
        <v>20645.449876756185</v>
      </c>
      <c r="J10" s="25">
        <f t="shared" si="0"/>
        <v>10700.965182725742</v>
      </c>
      <c r="K10" s="25">
        <f t="shared" si="0"/>
        <v>6724.826679426079</v>
      </c>
      <c r="L10" s="25">
        <f t="shared" si="0"/>
        <v>5231.7230501300046</v>
      </c>
      <c r="M10" s="25">
        <f t="shared" si="0"/>
        <v>7731.4591489079121</v>
      </c>
      <c r="N10" s="25">
        <f t="shared" si="0"/>
        <v>8621.0633809179471</v>
      </c>
      <c r="O10" s="26">
        <f t="shared" si="0"/>
        <v>7733.5340023612762</v>
      </c>
    </row>
    <row r="11" spans="1:15" ht="15">
      <c r="B11" s="19" t="s">
        <v>17</v>
      </c>
      <c r="C11" s="20"/>
      <c r="D11" s="282" t="str">
        <f>IF(((VLOOKUP($B4,'Diversion Data'!$B$3:$O$227,3,FALSE))-D13)&gt;0,"Short","")</f>
        <v/>
      </c>
      <c r="E11" s="282" t="str">
        <f>IF(((VLOOKUP($B4,'Diversion Data'!$B$3:$O$227,4,FALSE))-E13)&gt;0,"Short","")</f>
        <v/>
      </c>
      <c r="F11" s="282" t="str">
        <f>IF(((VLOOKUP($B4,'Diversion Data'!$B$3:$O$227,5,FALSE))-F13)&gt;0,"Short","")</f>
        <v/>
      </c>
      <c r="G11" s="282" t="str">
        <f>IF(((VLOOKUP($B4,'Diversion Data'!$B$3:$O$227,6,FALSE))-G13)&gt;0,"Short","")</f>
        <v/>
      </c>
      <c r="H11" s="282" t="str">
        <f>IF(((VLOOKUP($B4,'Diversion Data'!$B$3:$O$227,7,FALSE))-H13)&gt;0,"Short","")</f>
        <v/>
      </c>
      <c r="I11" s="282" t="str">
        <f>IF(((VLOOKUP($B4,'Diversion Data'!$B$3:$O$227,8,FALSE))-I13)&gt;0,"Short","")</f>
        <v/>
      </c>
      <c r="J11" s="282" t="str">
        <f>IF(((VLOOKUP($B4,'Diversion Data'!$B$3:$O$227,9,FALSE))-J13)&gt;0,"Short","")</f>
        <v/>
      </c>
      <c r="K11" s="282" t="str">
        <f>IF(((VLOOKUP($B4,'Diversion Data'!$B$3:$O$227,10,FALSE))-K13)&gt;0,"Short","")</f>
        <v/>
      </c>
      <c r="L11" s="282" t="str">
        <f>IF(((VLOOKUP($B4,'Diversion Data'!$B$3:$O$227,11,FALSE))-L13)&gt;0,"Short","")</f>
        <v/>
      </c>
      <c r="M11" s="282" t="str">
        <f>IF(((VLOOKUP($B4,'Diversion Data'!$B$3:$O$227,12,FALSE))-M13)&gt;0,"Short","")</f>
        <v/>
      </c>
      <c r="N11" s="282" t="str">
        <f>IF(((VLOOKUP($B4,'Diversion Data'!$B$3:$O$227,13,FALSE))-N13)&gt;0,"Short","")</f>
        <v/>
      </c>
      <c r="O11" s="283" t="str">
        <f>IF(((VLOOKUP($B4,'Diversion Data'!$B$3:$O$227,14,FALSE))-O13)&gt;0,"Short","")</f>
        <v/>
      </c>
    </row>
    <row r="12" spans="1:15" ht="14.25">
      <c r="B12" s="14" t="s">
        <v>328</v>
      </c>
      <c r="C12" s="13" t="s">
        <v>181</v>
      </c>
      <c r="D12" s="171">
        <f>VLOOKUP($B12,GainLoss!$B$19:$O$27,3,FALSE)</f>
        <v>0</v>
      </c>
      <c r="E12" s="171">
        <f>VLOOKUP($B12,GainLoss!$B$19:$O$27,4,FALSE)</f>
        <v>0</v>
      </c>
      <c r="F12" s="171">
        <f>VLOOKUP($B12,GainLoss!$B$19:$O$27,5,FALSE)</f>
        <v>0</v>
      </c>
      <c r="G12" s="171">
        <f>VLOOKUP($B12,GainLoss!$B$19:$O$27,6,FALSE)</f>
        <v>0</v>
      </c>
      <c r="H12" s="171">
        <f>VLOOKUP($B12,GainLoss!$B$19:$O$27,7,FALSE)</f>
        <v>0</v>
      </c>
      <c r="I12" s="171">
        <f>VLOOKUP($B12,GainLoss!$B$19:$O$27,8,FALSE)</f>
        <v>0</v>
      </c>
      <c r="J12" s="171">
        <f>VLOOKUP($B12,GainLoss!$B$19:$O$27,9,FALSE)</f>
        <v>0</v>
      </c>
      <c r="K12" s="171">
        <f>VLOOKUP($B12,GainLoss!$B$19:$O$27,10,FALSE)</f>
        <v>0</v>
      </c>
      <c r="L12" s="171">
        <f>VLOOKUP($B12,GainLoss!$B$19:$O$27,11,FALSE)</f>
        <v>0</v>
      </c>
      <c r="M12" s="171">
        <f>VLOOKUP($B12,GainLoss!$B$19:$O$27,12,FALSE)</f>
        <v>0</v>
      </c>
      <c r="N12" s="171">
        <f>VLOOKUP($B12,GainLoss!$B$19:$O$27,13,FALSE)</f>
        <v>0</v>
      </c>
      <c r="O12" s="198">
        <f>VLOOKUP($B12,GainLoss!$B$19:$O$27,14,FALSE)</f>
        <v>0</v>
      </c>
    </row>
    <row r="13" spans="1:15" ht="14.25">
      <c r="B13" s="14" t="str">
        <f>+B4 &amp;" Diversions"</f>
        <v>Node 12.00 Diversions</v>
      </c>
      <c r="C13" s="13"/>
      <c r="D13" s="54">
        <f>MIN(VLOOKUP($B4,'Diversion Data'!$B$3:$O$227,3,FALSE),(D10-D12))</f>
        <v>0</v>
      </c>
      <c r="E13" s="54">
        <f>MIN(VLOOKUP($B4,'Diversion Data'!$B$3:$O$227,4,FALSE),(E10-E12))</f>
        <v>0</v>
      </c>
      <c r="F13" s="54">
        <f>MIN(VLOOKUP($B4,'Diversion Data'!$B$3:$O$227,5,FALSE),(F10-F12))</f>
        <v>0</v>
      </c>
      <c r="G13" s="54">
        <f>MIN(VLOOKUP($B4,'Diversion Data'!$B$3:$O$227,6,FALSE),(G10-G12))</f>
        <v>0</v>
      </c>
      <c r="H13" s="54">
        <f>MIN(VLOOKUP($B4,'Diversion Data'!$B$3:$O$227,7,FALSE),(H10-H12))</f>
        <v>0</v>
      </c>
      <c r="I13" s="54">
        <f>MIN(VLOOKUP($B4,'Diversion Data'!$B$3:$O$227,8,FALSE),(I10-I12))</f>
        <v>0</v>
      </c>
      <c r="J13" s="54">
        <f>MIN(VLOOKUP($B4,'Diversion Data'!$B$3:$O$227,9,FALSE),(J10-J12))</f>
        <v>0</v>
      </c>
      <c r="K13" s="54">
        <f>MIN(VLOOKUP($B4,'Diversion Data'!$B$3:$O$227,10,FALSE),(K10-K12))</f>
        <v>0</v>
      </c>
      <c r="L13" s="54">
        <f>MIN(VLOOKUP($B4,'Diversion Data'!$B$3:$O$227,11,FALSE),(L10-L12))</f>
        <v>0</v>
      </c>
      <c r="M13" s="54">
        <f>MIN(VLOOKUP($B4,'Diversion Data'!$B$3:$O$227,12,FALSE),(M10-M12))</f>
        <v>0</v>
      </c>
      <c r="N13" s="54">
        <f>MIN(VLOOKUP($B4,'Diversion Data'!$B$3:$O$227,13,FALSE),(N10-N12))</f>
        <v>0</v>
      </c>
      <c r="O13" s="110">
        <f>MIN(VLOOKUP($B4,'Diversion Data'!$B$3:$O$227,14,FALSE),(O10-O12))</f>
        <v>0</v>
      </c>
    </row>
    <row r="14" spans="1:15" ht="15.75" thickBot="1">
      <c r="B14" s="24" t="str">
        <f>"Total " &amp; (B4) &amp;" Outflow"</f>
        <v>Total Node 12.00 Outflow</v>
      </c>
      <c r="C14" s="23"/>
      <c r="D14" s="27">
        <f t="shared" ref="D14:O14" si="1">SUM(D12:D13)</f>
        <v>0</v>
      </c>
      <c r="E14" s="27">
        <f t="shared" si="1"/>
        <v>0</v>
      </c>
      <c r="F14" s="27">
        <f t="shared" si="1"/>
        <v>0</v>
      </c>
      <c r="G14" s="27">
        <f t="shared" si="1"/>
        <v>0</v>
      </c>
      <c r="H14" s="27">
        <f t="shared" si="1"/>
        <v>0</v>
      </c>
      <c r="I14" s="27">
        <f t="shared" si="1"/>
        <v>0</v>
      </c>
      <c r="J14" s="27">
        <f t="shared" si="1"/>
        <v>0</v>
      </c>
      <c r="K14" s="27">
        <f t="shared" si="1"/>
        <v>0</v>
      </c>
      <c r="L14" s="27">
        <f t="shared" si="1"/>
        <v>0</v>
      </c>
      <c r="M14" s="27">
        <f t="shared" si="1"/>
        <v>0</v>
      </c>
      <c r="N14" s="27">
        <f t="shared" si="1"/>
        <v>0</v>
      </c>
      <c r="O14" s="28">
        <f t="shared" si="1"/>
        <v>0</v>
      </c>
    </row>
    <row r="15" spans="1:15" ht="15.75" thickBot="1">
      <c r="B15" s="24" t="str">
        <f>(B4)&amp;" NET Flow (In - Out)"</f>
        <v>Node 12.00 NET Flow (In - Out)</v>
      </c>
      <c r="C15" s="23"/>
      <c r="D15" s="193">
        <f t="shared" ref="D15:O15" si="2">MAX(D10-D14,0)</f>
        <v>7420.5958677685958</v>
      </c>
      <c r="E15" s="193">
        <f t="shared" si="2"/>
        <v>6467.4167650531308</v>
      </c>
      <c r="F15" s="193">
        <f t="shared" si="2"/>
        <v>11588.964226682407</v>
      </c>
      <c r="G15" s="193">
        <f t="shared" si="2"/>
        <v>11421.712632821725</v>
      </c>
      <c r="H15" s="193">
        <f t="shared" si="2"/>
        <v>18505.789729693039</v>
      </c>
      <c r="I15" s="193">
        <f t="shared" si="2"/>
        <v>20645.449876756185</v>
      </c>
      <c r="J15" s="193">
        <f t="shared" si="2"/>
        <v>10700.965182725742</v>
      </c>
      <c r="K15" s="193">
        <f t="shared" si="2"/>
        <v>6724.826679426079</v>
      </c>
      <c r="L15" s="193">
        <f t="shared" si="2"/>
        <v>5231.7230501300046</v>
      </c>
      <c r="M15" s="193">
        <f t="shared" si="2"/>
        <v>7731.4591489079121</v>
      </c>
      <c r="N15" s="193">
        <f t="shared" si="2"/>
        <v>8621.0633809179471</v>
      </c>
      <c r="O15" s="200">
        <f t="shared" si="2"/>
        <v>7733.5340023612762</v>
      </c>
    </row>
    <row r="16" spans="1:15">
      <c r="D16" s="363"/>
      <c r="E16" s="363"/>
      <c r="F16" s="363"/>
      <c r="G16" s="363"/>
      <c r="H16" s="363"/>
      <c r="I16" s="363"/>
      <c r="J16" s="363"/>
      <c r="K16" s="363"/>
      <c r="L16" s="363"/>
      <c r="M16" s="363"/>
      <c r="N16" s="363"/>
      <c r="O16" s="363"/>
    </row>
    <row r="17" spans="2:15" ht="15.75" thickBot="1">
      <c r="B17" s="108" t="s">
        <v>238</v>
      </c>
      <c r="C17" s="109" t="str">
        <f>VLOOKUP(B17,NodeList!$D$4:$E$121,2,FALSE)</f>
        <v>Confluence Thomas Fork</v>
      </c>
      <c r="D17" s="6"/>
      <c r="E17" s="6"/>
      <c r="F17" s="6"/>
      <c r="G17" s="6"/>
      <c r="H17" s="7"/>
      <c r="I17" s="7"/>
      <c r="J17" s="7"/>
      <c r="K17" s="7"/>
      <c r="L17" s="7"/>
      <c r="M17" s="7"/>
      <c r="N17" s="7"/>
      <c r="O17" s="7"/>
    </row>
    <row r="18" spans="2:15" ht="15">
      <c r="B18" s="9" t="s">
        <v>16</v>
      </c>
      <c r="C18" s="10"/>
      <c r="D18" s="11" t="s">
        <v>0</v>
      </c>
      <c r="E18" s="11" t="s">
        <v>1</v>
      </c>
      <c r="F18" s="11" t="s">
        <v>2</v>
      </c>
      <c r="G18" s="11" t="s">
        <v>3</v>
      </c>
      <c r="H18" s="11" t="s">
        <v>4</v>
      </c>
      <c r="I18" s="11" t="s">
        <v>5</v>
      </c>
      <c r="J18" s="11" t="s">
        <v>6</v>
      </c>
      <c r="K18" s="11" t="s">
        <v>7</v>
      </c>
      <c r="L18" s="11" t="s">
        <v>8</v>
      </c>
      <c r="M18" s="11" t="s">
        <v>9</v>
      </c>
      <c r="N18" s="11" t="s">
        <v>10</v>
      </c>
      <c r="O18" s="12" t="s">
        <v>11</v>
      </c>
    </row>
    <row r="19" spans="2:15" ht="14.25">
      <c r="B19" s="14" t="str">
        <f>+B17 &amp;" Node Inflow"</f>
        <v>Node 12.01 Node Inflow</v>
      </c>
      <c r="C19" s="13"/>
      <c r="D19" s="15">
        <f>+D15</f>
        <v>7420.5958677685958</v>
      </c>
      <c r="E19" s="15">
        <f t="shared" ref="E19:O19" si="3">+E15</f>
        <v>6467.4167650531308</v>
      </c>
      <c r="F19" s="15">
        <f t="shared" si="3"/>
        <v>11588.964226682407</v>
      </c>
      <c r="G19" s="15">
        <f t="shared" si="3"/>
        <v>11421.712632821725</v>
      </c>
      <c r="H19" s="15">
        <f t="shared" si="3"/>
        <v>18505.789729693039</v>
      </c>
      <c r="I19" s="15">
        <f t="shared" si="3"/>
        <v>20645.449876756185</v>
      </c>
      <c r="J19" s="15">
        <f t="shared" si="3"/>
        <v>10700.965182725742</v>
      </c>
      <c r="K19" s="15">
        <f t="shared" si="3"/>
        <v>6724.826679426079</v>
      </c>
      <c r="L19" s="15">
        <f t="shared" si="3"/>
        <v>5231.7230501300046</v>
      </c>
      <c r="M19" s="15">
        <f t="shared" si="3"/>
        <v>7731.4591489079121</v>
      </c>
      <c r="N19" s="15">
        <f t="shared" si="3"/>
        <v>8621.0633809179471</v>
      </c>
      <c r="O19" s="16">
        <f t="shared" si="3"/>
        <v>7733.5340023612762</v>
      </c>
    </row>
    <row r="20" spans="2:15" ht="14.25">
      <c r="B20" s="14" t="str">
        <f>+B17 &amp;" Irrigation Returns"</f>
        <v>Node 12.01 Irrigation Returns</v>
      </c>
      <c r="C20" s="13"/>
      <c r="D20" s="54">
        <f>VLOOKUP(($B17),'Irrigation Returns'!$B$644:$P$930,4,FALSE)</f>
        <v>0</v>
      </c>
      <c r="E20" s="54">
        <f>VLOOKUP(($B17),'Irrigation Returns'!$B$644:$P$930,5,FALSE)</f>
        <v>0</v>
      </c>
      <c r="F20" s="54">
        <f>VLOOKUP(($B17),'Irrigation Returns'!$B$644:$P$930,6,FALSE)</f>
        <v>0</v>
      </c>
      <c r="G20" s="54">
        <f>VLOOKUP(($B17),'Irrigation Returns'!$B$644:$P$930,7,FALSE)</f>
        <v>0</v>
      </c>
      <c r="H20" s="54">
        <f>VLOOKUP(($B17),'Irrigation Returns'!$B$644:$P$930,8,FALSE)</f>
        <v>0</v>
      </c>
      <c r="I20" s="54">
        <f>VLOOKUP(($B17),'Irrigation Returns'!$B$644:$P$930,9,FALSE)</f>
        <v>0</v>
      </c>
      <c r="J20" s="54">
        <f>VLOOKUP(($B17),'Irrigation Returns'!$B$644:$P$930,10,FALSE)</f>
        <v>0</v>
      </c>
      <c r="K20" s="54">
        <f>VLOOKUP(($B17),'Irrigation Returns'!$B$644:$P$930,11,FALSE)</f>
        <v>0</v>
      </c>
      <c r="L20" s="54">
        <f>VLOOKUP(($B17),'Irrigation Returns'!$B$644:$P$930,12,FALSE)</f>
        <v>0</v>
      </c>
      <c r="M20" s="54">
        <f>VLOOKUP(($B17),'Irrigation Returns'!$B$644:$P$930,13,FALSE)</f>
        <v>0</v>
      </c>
      <c r="N20" s="54">
        <f>VLOOKUP(($B17),'Irrigation Returns'!$B$644:$P$930,14,FALSE)</f>
        <v>0</v>
      </c>
      <c r="O20" s="110">
        <f>VLOOKUP(($B17),'Irrigation Returns'!$B$644:$P$930,15,FALSE)</f>
        <v>0</v>
      </c>
    </row>
    <row r="21" spans="2:15" ht="14.25">
      <c r="B21" s="14" t="s">
        <v>496</v>
      </c>
      <c r="C21" s="13" t="s">
        <v>180</v>
      </c>
      <c r="D21" s="54">
        <f>VLOOKUP($B21,GainLoss!$B$5:$O$14,3,FALSE)</f>
        <v>0</v>
      </c>
      <c r="E21" s="54">
        <f>VLOOKUP($B21,GainLoss!$B$5:$O$14,4,FALSE)</f>
        <v>0</v>
      </c>
      <c r="F21" s="54">
        <f>VLOOKUP($B21,GainLoss!$B$5:$O$14,5,FALSE)</f>
        <v>1050.144628099175</v>
      </c>
      <c r="G21" s="54">
        <f>VLOOKUP($B21,GainLoss!$B$5:$O$14,6,FALSE)</f>
        <v>0</v>
      </c>
      <c r="H21" s="54">
        <f>VLOOKUP($B21,GainLoss!$B$5:$O$14,7,FALSE)</f>
        <v>0</v>
      </c>
      <c r="I21" s="54">
        <f>VLOOKUP($B21,GainLoss!$B$5:$O$14,8,FALSE)</f>
        <v>0</v>
      </c>
      <c r="J21" s="54">
        <f>VLOOKUP($B21,GainLoss!$B$5:$O$14,9,FALSE)</f>
        <v>0</v>
      </c>
      <c r="K21" s="54">
        <f>VLOOKUP($B21,GainLoss!$B$5:$O$14,10,FALSE)</f>
        <v>0</v>
      </c>
      <c r="L21" s="54">
        <f>VLOOKUP($B21,GainLoss!$B$5:$O$14,11,FALSE)</f>
        <v>0</v>
      </c>
      <c r="M21" s="54">
        <f>VLOOKUP($B21,GainLoss!$B$5:$O$14,12,FALSE)</f>
        <v>0</v>
      </c>
      <c r="N21" s="54">
        <f>VLOOKUP($B21,GainLoss!$B$5:$O$14,13,FALSE)</f>
        <v>0</v>
      </c>
      <c r="O21" s="110">
        <f>VLOOKUP($B21,GainLoss!$B$5:$O$14,14,FALSE)</f>
        <v>0</v>
      </c>
    </row>
    <row r="22" spans="2:15" ht="14.25">
      <c r="B22" s="14" t="str">
        <f>+B17 &amp;" Import/Export"</f>
        <v>Node 12.01 Import/Export</v>
      </c>
      <c r="C22" s="13"/>
      <c r="D22" s="190">
        <f>VLOOKUP($B17,ImportExport!$B$6:$O$99,3,FALSE)</f>
        <v>0</v>
      </c>
      <c r="E22" s="190">
        <f>VLOOKUP($B17,ImportExport!$B$6:$O$99,4,FALSE)</f>
        <v>0</v>
      </c>
      <c r="F22" s="190">
        <f>VLOOKUP($B17,ImportExport!$B$6:$O$99,5,FALSE)</f>
        <v>0</v>
      </c>
      <c r="G22" s="190">
        <f>VLOOKUP($B17,ImportExport!$B$6:$O$99,6,FALSE)</f>
        <v>0</v>
      </c>
      <c r="H22" s="190">
        <f>VLOOKUP($B17,ImportExport!$B$6:$O$99,7,FALSE)</f>
        <v>0</v>
      </c>
      <c r="I22" s="190">
        <f>VLOOKUP($B17,ImportExport!$B$6:$O$99,8,FALSE)</f>
        <v>0</v>
      </c>
      <c r="J22" s="190">
        <f>VLOOKUP($B17,ImportExport!$B$6:$O$99,9,FALSE)</f>
        <v>0</v>
      </c>
      <c r="K22" s="190">
        <f>VLOOKUP($B17,ImportExport!$B$6:$O$99,10,FALSE)</f>
        <v>0</v>
      </c>
      <c r="L22" s="190">
        <f>VLOOKUP($B17,ImportExport!$B$6:$O$99,11,FALSE)</f>
        <v>0</v>
      </c>
      <c r="M22" s="190">
        <f>VLOOKUP($B17,ImportExport!$B$6:$O$99,12,FALSE)</f>
        <v>0</v>
      </c>
      <c r="N22" s="190">
        <f>VLOOKUP($B17,ImportExport!$B$6:$O$99,13,FALSE)</f>
        <v>0</v>
      </c>
      <c r="O22" s="197">
        <f>VLOOKUP($B17,ImportExport!$B$6:$O$99,14,FALSE)</f>
        <v>0</v>
      </c>
    </row>
    <row r="23" spans="2:15" ht="15.75" thickBot="1">
      <c r="B23" s="18" t="str">
        <f>"Total "&amp; (B17)&amp;" Inflow"</f>
        <v>Total Node 12.01 Inflow</v>
      </c>
      <c r="C23" s="17"/>
      <c r="D23" s="25">
        <f t="shared" ref="D23:O23" si="4">SUM(D19:D22)</f>
        <v>7420.5958677685958</v>
      </c>
      <c r="E23" s="25">
        <f t="shared" si="4"/>
        <v>6467.4167650531308</v>
      </c>
      <c r="F23" s="25">
        <f t="shared" si="4"/>
        <v>12639.108854781582</v>
      </c>
      <c r="G23" s="25">
        <f t="shared" si="4"/>
        <v>11421.712632821725</v>
      </c>
      <c r="H23" s="25">
        <f t="shared" si="4"/>
        <v>18505.789729693039</v>
      </c>
      <c r="I23" s="25">
        <f t="shared" si="4"/>
        <v>20645.449876756185</v>
      </c>
      <c r="J23" s="25">
        <f t="shared" si="4"/>
        <v>10700.965182725742</v>
      </c>
      <c r="K23" s="25">
        <f t="shared" si="4"/>
        <v>6724.826679426079</v>
      </c>
      <c r="L23" s="25">
        <f t="shared" si="4"/>
        <v>5231.7230501300046</v>
      </c>
      <c r="M23" s="25">
        <f t="shared" si="4"/>
        <v>7731.4591489079121</v>
      </c>
      <c r="N23" s="25">
        <f t="shared" si="4"/>
        <v>8621.0633809179471</v>
      </c>
      <c r="O23" s="26">
        <f t="shared" si="4"/>
        <v>7733.5340023612762</v>
      </c>
    </row>
    <row r="24" spans="2:15" ht="15">
      <c r="B24" s="19" t="s">
        <v>17</v>
      </c>
      <c r="C24" s="20"/>
      <c r="D24" s="282" t="str">
        <f>IF(((VLOOKUP($B17,'Diversion Data'!$B$3:$O$227,3,FALSE))-D26)&gt;0,"Short","")</f>
        <v/>
      </c>
      <c r="E24" s="282" t="str">
        <f>IF(((VLOOKUP($B17,'Diversion Data'!$B$3:$O$227,4,FALSE))-E26)&gt;0,"Short","")</f>
        <v/>
      </c>
      <c r="F24" s="282" t="str">
        <f>IF(((VLOOKUP($B17,'Diversion Data'!$B$3:$O$227,5,FALSE))-F26)&gt;0,"Short","")</f>
        <v/>
      </c>
      <c r="G24" s="282" t="str">
        <f>IF(((VLOOKUP($B17,'Diversion Data'!$B$3:$O$227,6,FALSE))-G26)&gt;0,"Short","")</f>
        <v/>
      </c>
      <c r="H24" s="282" t="str">
        <f>IF(((VLOOKUP($B17,'Diversion Data'!$B$3:$O$227,7,FALSE))-H26)&gt;0,"Short","")</f>
        <v/>
      </c>
      <c r="I24" s="282" t="str">
        <f>IF(((VLOOKUP($B17,'Diversion Data'!$B$3:$O$227,8,FALSE))-I26)&gt;0,"Short","")</f>
        <v/>
      </c>
      <c r="J24" s="282" t="str">
        <f>IF(((VLOOKUP($B17,'Diversion Data'!$B$3:$O$227,9,FALSE))-J26)&gt;0,"Short","")</f>
        <v/>
      </c>
      <c r="K24" s="282" t="str">
        <f>IF(((VLOOKUP($B17,'Diversion Data'!$B$3:$O$227,10,FALSE))-K26)&gt;0,"Short","")</f>
        <v/>
      </c>
      <c r="L24" s="282" t="str">
        <f>IF(((VLOOKUP($B17,'Diversion Data'!$B$3:$O$227,11,FALSE))-L26)&gt;0,"Short","")</f>
        <v/>
      </c>
      <c r="M24" s="282" t="str">
        <f>IF(((VLOOKUP($B17,'Diversion Data'!$B$3:$O$227,12,FALSE))-M26)&gt;0,"Short","")</f>
        <v/>
      </c>
      <c r="N24" s="282" t="str">
        <f>IF(((VLOOKUP($B17,'Diversion Data'!$B$3:$O$227,13,FALSE))-N26)&gt;0,"Short","")</f>
        <v/>
      </c>
      <c r="O24" s="283" t="str">
        <f>IF(((VLOOKUP($B17,'Diversion Data'!$B$3:$O$227,14,FALSE))-O26)&gt;0,"Short","")</f>
        <v/>
      </c>
    </row>
    <row r="25" spans="2:15" ht="14.25">
      <c r="B25" s="14" t="s">
        <v>328</v>
      </c>
      <c r="C25" s="13" t="s">
        <v>181</v>
      </c>
      <c r="D25" s="171">
        <f>VLOOKUP($B25,GainLoss!$B$19:$O$27,3,FALSE)</f>
        <v>0</v>
      </c>
      <c r="E25" s="171">
        <f>VLOOKUP($B25,GainLoss!$B$19:$O$27,4,FALSE)</f>
        <v>0</v>
      </c>
      <c r="F25" s="171">
        <f>VLOOKUP($B25,GainLoss!$B$19:$O$27,5,FALSE)</f>
        <v>0</v>
      </c>
      <c r="G25" s="171">
        <f>VLOOKUP($B25,GainLoss!$B$19:$O$27,6,FALSE)</f>
        <v>0</v>
      </c>
      <c r="H25" s="171">
        <f>VLOOKUP($B25,GainLoss!$B$19:$O$27,7,FALSE)</f>
        <v>0</v>
      </c>
      <c r="I25" s="171">
        <f>VLOOKUP($B25,GainLoss!$B$19:$O$27,8,FALSE)</f>
        <v>0</v>
      </c>
      <c r="J25" s="171">
        <f>VLOOKUP($B25,GainLoss!$B$19:$O$27,9,FALSE)</f>
        <v>0</v>
      </c>
      <c r="K25" s="171">
        <f>VLOOKUP($B25,GainLoss!$B$19:$O$27,10,FALSE)</f>
        <v>0</v>
      </c>
      <c r="L25" s="171">
        <f>VLOOKUP($B25,GainLoss!$B$19:$O$27,11,FALSE)</f>
        <v>0</v>
      </c>
      <c r="M25" s="171">
        <f>VLOOKUP($B25,GainLoss!$B$19:$O$27,12,FALSE)</f>
        <v>0</v>
      </c>
      <c r="N25" s="171">
        <f>VLOOKUP($B25,GainLoss!$B$19:$O$27,13,FALSE)</f>
        <v>0</v>
      </c>
      <c r="O25" s="198">
        <f>VLOOKUP($B25,GainLoss!$B$19:$O$27,14,FALSE)</f>
        <v>0</v>
      </c>
    </row>
    <row r="26" spans="2:15" ht="14.25">
      <c r="B26" s="14" t="str">
        <f>+B17 &amp;" Diversions"</f>
        <v>Node 12.01 Diversions</v>
      </c>
      <c r="C26" s="13"/>
      <c r="D26" s="54">
        <f>MIN(VLOOKUP($B17,'Diversion Data'!$B$3:$O$227,3,FALSE),(D23-D25))</f>
        <v>0</v>
      </c>
      <c r="E26" s="54">
        <f>MIN(VLOOKUP($B17,'Diversion Data'!$B$3:$O$227,4,FALSE),(E23-E25))</f>
        <v>0</v>
      </c>
      <c r="F26" s="54">
        <f>MIN(VLOOKUP($B17,'Diversion Data'!$B$3:$O$227,5,FALSE),(F23-F25))</f>
        <v>0</v>
      </c>
      <c r="G26" s="54">
        <f>MIN(VLOOKUP($B17,'Diversion Data'!$B$3:$O$227,6,FALSE),(G23-G25))</f>
        <v>0</v>
      </c>
      <c r="H26" s="54">
        <f>MIN(VLOOKUP($B17,'Diversion Data'!$B$3:$O$227,7,FALSE),(H23-H25))</f>
        <v>0</v>
      </c>
      <c r="I26" s="54">
        <f>MIN(VLOOKUP($B17,'Diversion Data'!$B$3:$O$227,8,FALSE),(I23-I25))</f>
        <v>0</v>
      </c>
      <c r="J26" s="54">
        <f>MIN(VLOOKUP($B17,'Diversion Data'!$B$3:$O$227,9,FALSE),(J23-J25))</f>
        <v>0</v>
      </c>
      <c r="K26" s="54">
        <f>MIN(VLOOKUP($B17,'Diversion Data'!$B$3:$O$227,10,FALSE),(K23-K25))</f>
        <v>0</v>
      </c>
      <c r="L26" s="54">
        <f>MIN(VLOOKUP($B17,'Diversion Data'!$B$3:$O$227,11,FALSE),(L23-L25))</f>
        <v>0</v>
      </c>
      <c r="M26" s="54">
        <f>MIN(VLOOKUP($B17,'Diversion Data'!$B$3:$O$227,12,FALSE),(M23-M25))</f>
        <v>0</v>
      </c>
      <c r="N26" s="54">
        <f>MIN(VLOOKUP($B17,'Diversion Data'!$B$3:$O$227,13,FALSE),(N23-N25))</f>
        <v>0</v>
      </c>
      <c r="O26" s="110">
        <f>MIN(VLOOKUP($B17,'Diversion Data'!$B$3:$O$227,14,FALSE),(O23-O25))</f>
        <v>0</v>
      </c>
    </row>
    <row r="27" spans="2:15" ht="15.75" thickBot="1">
      <c r="B27" s="24" t="str">
        <f>"Total " &amp; (B17) &amp;" Outflow"</f>
        <v>Total Node 12.01 Outflow</v>
      </c>
      <c r="C27" s="23"/>
      <c r="D27" s="27">
        <f t="shared" ref="D27:O27" si="5">SUM(D25:D26)</f>
        <v>0</v>
      </c>
      <c r="E27" s="27">
        <f t="shared" si="5"/>
        <v>0</v>
      </c>
      <c r="F27" s="27">
        <f t="shared" si="5"/>
        <v>0</v>
      </c>
      <c r="G27" s="27">
        <f t="shared" si="5"/>
        <v>0</v>
      </c>
      <c r="H27" s="27">
        <f t="shared" si="5"/>
        <v>0</v>
      </c>
      <c r="I27" s="27">
        <f t="shared" si="5"/>
        <v>0</v>
      </c>
      <c r="J27" s="27">
        <f t="shared" si="5"/>
        <v>0</v>
      </c>
      <c r="K27" s="27">
        <f t="shared" si="5"/>
        <v>0</v>
      </c>
      <c r="L27" s="27">
        <f t="shared" si="5"/>
        <v>0</v>
      </c>
      <c r="M27" s="27">
        <f t="shared" si="5"/>
        <v>0</v>
      </c>
      <c r="N27" s="27">
        <f t="shared" si="5"/>
        <v>0</v>
      </c>
      <c r="O27" s="28">
        <f t="shared" si="5"/>
        <v>0</v>
      </c>
    </row>
    <row r="28" spans="2:15" ht="15.75" thickBot="1">
      <c r="B28" s="24" t="str">
        <f>(B17)&amp;" NET Flow (In - Out)"</f>
        <v>Node 12.01 NET Flow (In - Out)</v>
      </c>
      <c r="C28" s="23"/>
      <c r="D28" s="193">
        <f t="shared" ref="D28:O28" si="6">MAX(D23-D27,0)</f>
        <v>7420.5958677685958</v>
      </c>
      <c r="E28" s="193">
        <f t="shared" si="6"/>
        <v>6467.4167650531308</v>
      </c>
      <c r="F28" s="193">
        <f t="shared" si="6"/>
        <v>12639.108854781582</v>
      </c>
      <c r="G28" s="193">
        <f t="shared" si="6"/>
        <v>11421.712632821725</v>
      </c>
      <c r="H28" s="193">
        <f t="shared" si="6"/>
        <v>18505.789729693039</v>
      </c>
      <c r="I28" s="193">
        <f t="shared" si="6"/>
        <v>20645.449876756185</v>
      </c>
      <c r="J28" s="193">
        <f t="shared" si="6"/>
        <v>10700.965182725742</v>
      </c>
      <c r="K28" s="193">
        <f t="shared" si="6"/>
        <v>6724.826679426079</v>
      </c>
      <c r="L28" s="193">
        <f t="shared" si="6"/>
        <v>5231.7230501300046</v>
      </c>
      <c r="M28" s="193">
        <f t="shared" si="6"/>
        <v>7731.4591489079121</v>
      </c>
      <c r="N28" s="193">
        <f t="shared" si="6"/>
        <v>8621.0633809179471</v>
      </c>
      <c r="O28" s="200">
        <f t="shared" si="6"/>
        <v>7733.5340023612762</v>
      </c>
    </row>
    <row r="30" spans="2:15" ht="15.75" thickBot="1">
      <c r="B30" s="108" t="s">
        <v>239</v>
      </c>
      <c r="C30" s="109" t="str">
        <f>VLOOKUP(B30,NodeList!$D$4:$E$121,2,FALSE)</f>
        <v>Aggregate Idaho Diversions</v>
      </c>
      <c r="D30" s="6"/>
      <c r="E30" s="6"/>
      <c r="F30" s="6"/>
      <c r="G30" s="6"/>
      <c r="H30" s="7"/>
      <c r="I30" s="7"/>
      <c r="J30" s="7"/>
      <c r="K30" s="7"/>
      <c r="L30" s="7"/>
      <c r="M30" s="7"/>
      <c r="N30" s="7"/>
      <c r="O30" s="7"/>
    </row>
    <row r="31" spans="2:15" ht="15">
      <c r="B31" s="9" t="s">
        <v>16</v>
      </c>
      <c r="C31" s="10"/>
      <c r="D31" s="11" t="s">
        <v>0</v>
      </c>
      <c r="E31" s="11" t="s">
        <v>1</v>
      </c>
      <c r="F31" s="11" t="s">
        <v>2</v>
      </c>
      <c r="G31" s="11" t="s">
        <v>3</v>
      </c>
      <c r="H31" s="11" t="s">
        <v>4</v>
      </c>
      <c r="I31" s="11" t="s">
        <v>5</v>
      </c>
      <c r="J31" s="11" t="s">
        <v>6</v>
      </c>
      <c r="K31" s="11" t="s">
        <v>7</v>
      </c>
      <c r="L31" s="11" t="s">
        <v>8</v>
      </c>
      <c r="M31" s="11" t="s">
        <v>9</v>
      </c>
      <c r="N31" s="11" t="s">
        <v>10</v>
      </c>
      <c r="O31" s="12" t="s">
        <v>11</v>
      </c>
    </row>
    <row r="32" spans="2:15" ht="14.25">
      <c r="B32" s="14" t="str">
        <f>+B30 &amp;" Node Inflow"</f>
        <v>Node 12.02 Node Inflow</v>
      </c>
      <c r="C32" s="13"/>
      <c r="D32" s="15">
        <f>+D28</f>
        <v>7420.5958677685958</v>
      </c>
      <c r="E32" s="15">
        <f t="shared" ref="E32:O32" si="7">+E28</f>
        <v>6467.4167650531308</v>
      </c>
      <c r="F32" s="15">
        <f t="shared" si="7"/>
        <v>12639.108854781582</v>
      </c>
      <c r="G32" s="15">
        <f t="shared" si="7"/>
        <v>11421.712632821725</v>
      </c>
      <c r="H32" s="15">
        <f t="shared" si="7"/>
        <v>18505.789729693039</v>
      </c>
      <c r="I32" s="15">
        <f t="shared" si="7"/>
        <v>20645.449876756185</v>
      </c>
      <c r="J32" s="15">
        <f t="shared" si="7"/>
        <v>10700.965182725742</v>
      </c>
      <c r="K32" s="15">
        <f t="shared" si="7"/>
        <v>6724.826679426079</v>
      </c>
      <c r="L32" s="15">
        <f t="shared" si="7"/>
        <v>5231.7230501300046</v>
      </c>
      <c r="M32" s="15">
        <f t="shared" si="7"/>
        <v>7731.4591489079121</v>
      </c>
      <c r="N32" s="15">
        <f t="shared" si="7"/>
        <v>8621.0633809179471</v>
      </c>
      <c r="O32" s="16">
        <f t="shared" si="7"/>
        <v>7733.5340023612762</v>
      </c>
    </row>
    <row r="33" spans="2:15" ht="14.25">
      <c r="B33" s="14" t="str">
        <f>+B30 &amp;" Irrigation Returns"</f>
        <v>Node 12.02 Irrigation Returns</v>
      </c>
      <c r="C33" s="13"/>
      <c r="D33" s="54">
        <f>VLOOKUP(($B30),'Irrigation Returns'!$B$644:$P$930,4,FALSE)</f>
        <v>0</v>
      </c>
      <c r="E33" s="54">
        <f>VLOOKUP(($B30),'Irrigation Returns'!$B$644:$P$930,5,FALSE)</f>
        <v>0</v>
      </c>
      <c r="F33" s="54">
        <f>VLOOKUP(($B30),'Irrigation Returns'!$B$644:$P$930,6,FALSE)</f>
        <v>0</v>
      </c>
      <c r="G33" s="54">
        <f>VLOOKUP(($B30),'Irrigation Returns'!$B$644:$P$930,7,FALSE)</f>
        <v>0</v>
      </c>
      <c r="H33" s="54">
        <f>VLOOKUP(($B30),'Irrigation Returns'!$B$644:$P$930,8,FALSE)</f>
        <v>0</v>
      </c>
      <c r="I33" s="54">
        <f>VLOOKUP(($B30),'Irrigation Returns'!$B$644:$P$930,9,FALSE)</f>
        <v>0</v>
      </c>
      <c r="J33" s="54">
        <f>VLOOKUP(($B30),'Irrigation Returns'!$B$644:$P$930,10,FALSE)</f>
        <v>0</v>
      </c>
      <c r="K33" s="54">
        <f>VLOOKUP(($B30),'Irrigation Returns'!$B$644:$P$930,11,FALSE)</f>
        <v>0</v>
      </c>
      <c r="L33" s="54">
        <f>VLOOKUP(($B30),'Irrigation Returns'!$B$644:$P$930,12,FALSE)</f>
        <v>0</v>
      </c>
      <c r="M33" s="54">
        <f>VLOOKUP(($B30),'Irrigation Returns'!$B$644:$P$930,13,FALSE)</f>
        <v>0</v>
      </c>
      <c r="N33" s="54">
        <f>VLOOKUP(($B30),'Irrigation Returns'!$B$644:$P$930,14,FALSE)</f>
        <v>0</v>
      </c>
      <c r="O33" s="110">
        <f>VLOOKUP(($B30),'Irrigation Returns'!$B$644:$P$930,15,FALSE)</f>
        <v>0</v>
      </c>
    </row>
    <row r="34" spans="2:15" ht="14.25">
      <c r="B34" s="14" t="s">
        <v>328</v>
      </c>
      <c r="C34" s="13" t="s">
        <v>180</v>
      </c>
      <c r="D34" s="54">
        <f>VLOOKUP($B34,GainLoss!$B$5:$O$14,3,FALSE)</f>
        <v>0</v>
      </c>
      <c r="E34" s="54">
        <f>VLOOKUP($B34,GainLoss!$B$5:$O$14,4,FALSE)</f>
        <v>0</v>
      </c>
      <c r="F34" s="54">
        <f>VLOOKUP($B34,GainLoss!$B$5:$O$14,5,FALSE)</f>
        <v>0</v>
      </c>
      <c r="G34" s="54">
        <f>VLOOKUP($B34,GainLoss!$B$5:$O$14,6,FALSE)</f>
        <v>0</v>
      </c>
      <c r="H34" s="54">
        <f>VLOOKUP($B34,GainLoss!$B$5:$O$14,7,FALSE)</f>
        <v>0</v>
      </c>
      <c r="I34" s="54">
        <f>VLOOKUP($B34,GainLoss!$B$5:$O$14,8,FALSE)</f>
        <v>0</v>
      </c>
      <c r="J34" s="54">
        <f>VLOOKUP($B34,GainLoss!$B$5:$O$14,9,FALSE)</f>
        <v>0</v>
      </c>
      <c r="K34" s="54">
        <f>VLOOKUP($B34,GainLoss!$B$5:$O$14,10,FALSE)</f>
        <v>0</v>
      </c>
      <c r="L34" s="54">
        <f>VLOOKUP($B34,GainLoss!$B$5:$O$14,11,FALSE)</f>
        <v>0</v>
      </c>
      <c r="M34" s="54">
        <f>VLOOKUP($B34,GainLoss!$B$5:$O$14,12,FALSE)</f>
        <v>0</v>
      </c>
      <c r="N34" s="54">
        <f>VLOOKUP($B34,GainLoss!$B$5:$O$14,13,FALSE)</f>
        <v>0</v>
      </c>
      <c r="O34" s="110">
        <f>VLOOKUP($B34,GainLoss!$B$5:$O$14,14,FALSE)</f>
        <v>0</v>
      </c>
    </row>
    <row r="35" spans="2:15" ht="14.25">
      <c r="B35" s="14" t="str">
        <f>+B30 &amp;" Import/Export"</f>
        <v>Node 12.02 Import/Export</v>
      </c>
      <c r="C35" s="13"/>
      <c r="D35" s="190">
        <f>VLOOKUP($B30,ImportExport!$B$6:$O$99,3,FALSE)</f>
        <v>0</v>
      </c>
      <c r="E35" s="190">
        <f>VLOOKUP($B30,ImportExport!$B$6:$O$99,4,FALSE)</f>
        <v>0</v>
      </c>
      <c r="F35" s="190">
        <f>VLOOKUP($B30,ImportExport!$B$6:$O$99,5,FALSE)</f>
        <v>0</v>
      </c>
      <c r="G35" s="190">
        <f>VLOOKUP($B30,ImportExport!$B$6:$O$99,6,FALSE)</f>
        <v>0</v>
      </c>
      <c r="H35" s="190">
        <f>VLOOKUP($B30,ImportExport!$B$6:$O$99,7,FALSE)</f>
        <v>0</v>
      </c>
      <c r="I35" s="190">
        <f>VLOOKUP($B30,ImportExport!$B$6:$O$99,8,FALSE)</f>
        <v>0</v>
      </c>
      <c r="J35" s="190">
        <f>VLOOKUP($B30,ImportExport!$B$6:$O$99,9,FALSE)</f>
        <v>0</v>
      </c>
      <c r="K35" s="190">
        <f>VLOOKUP($B30,ImportExport!$B$6:$O$99,10,FALSE)</f>
        <v>0</v>
      </c>
      <c r="L35" s="190">
        <f>VLOOKUP($B30,ImportExport!$B$6:$O$99,11,FALSE)</f>
        <v>0</v>
      </c>
      <c r="M35" s="190">
        <f>VLOOKUP($B30,ImportExport!$B$6:$O$99,12,FALSE)</f>
        <v>0</v>
      </c>
      <c r="N35" s="190">
        <f>VLOOKUP($B30,ImportExport!$B$6:$O$99,13,FALSE)</f>
        <v>0</v>
      </c>
      <c r="O35" s="197">
        <f>VLOOKUP($B30,ImportExport!$B$6:$O$99,14,FALSE)</f>
        <v>0</v>
      </c>
    </row>
    <row r="36" spans="2:15" ht="15.75" thickBot="1">
      <c r="B36" s="18" t="str">
        <f>"Total "&amp; (B30)&amp;" Inflow"</f>
        <v>Total Node 12.02 Inflow</v>
      </c>
      <c r="C36" s="17"/>
      <c r="D36" s="25">
        <f t="shared" ref="D36:O36" si="8">SUM(D32:D35)</f>
        <v>7420.5958677685958</v>
      </c>
      <c r="E36" s="25">
        <f t="shared" si="8"/>
        <v>6467.4167650531308</v>
      </c>
      <c r="F36" s="25">
        <f t="shared" si="8"/>
        <v>12639.108854781582</v>
      </c>
      <c r="G36" s="25">
        <f t="shared" si="8"/>
        <v>11421.712632821725</v>
      </c>
      <c r="H36" s="25">
        <f t="shared" si="8"/>
        <v>18505.789729693039</v>
      </c>
      <c r="I36" s="25">
        <f t="shared" si="8"/>
        <v>20645.449876756185</v>
      </c>
      <c r="J36" s="25">
        <f t="shared" si="8"/>
        <v>10700.965182725742</v>
      </c>
      <c r="K36" s="25">
        <f t="shared" si="8"/>
        <v>6724.826679426079</v>
      </c>
      <c r="L36" s="25">
        <f t="shared" si="8"/>
        <v>5231.7230501300046</v>
      </c>
      <c r="M36" s="25">
        <f t="shared" si="8"/>
        <v>7731.4591489079121</v>
      </c>
      <c r="N36" s="25">
        <f t="shared" si="8"/>
        <v>8621.0633809179471</v>
      </c>
      <c r="O36" s="26">
        <f t="shared" si="8"/>
        <v>7733.5340023612762</v>
      </c>
    </row>
    <row r="37" spans="2:15" ht="15">
      <c r="B37" s="19" t="s">
        <v>17</v>
      </c>
      <c r="C37" s="20"/>
      <c r="D37" s="282" t="str">
        <f>IF(((VLOOKUP($B30,'Diversion Data'!$B$3:$O$227,3,FALSE))-D39)&gt;0,"Short","")</f>
        <v/>
      </c>
      <c r="E37" s="282" t="str">
        <f>IF(((VLOOKUP($B30,'Diversion Data'!$B$3:$O$227,4,FALSE))-E39)&gt;0,"Short","")</f>
        <v/>
      </c>
      <c r="F37" s="282" t="str">
        <f>IF(((VLOOKUP($B30,'Diversion Data'!$B$3:$O$227,5,FALSE))-F39)&gt;0,"Short","")</f>
        <v/>
      </c>
      <c r="G37" s="282" t="str">
        <f>IF(((VLOOKUP($B30,'Diversion Data'!$B$3:$O$227,6,FALSE))-G39)&gt;0,"Short","")</f>
        <v/>
      </c>
      <c r="H37" s="282" t="str">
        <f>IF(((VLOOKUP($B30,'Diversion Data'!$B$3:$O$227,7,FALSE))-H39)&gt;0,"Short","")</f>
        <v/>
      </c>
      <c r="I37" s="282" t="str">
        <f>IF(((VLOOKUP($B30,'Diversion Data'!$B$3:$O$227,8,FALSE))-I39)&gt;0,"Short","")</f>
        <v/>
      </c>
      <c r="J37" s="282" t="str">
        <f>IF(((VLOOKUP($B30,'Diversion Data'!$B$3:$O$227,9,FALSE))-J39)&gt;0,"Short","")</f>
        <v/>
      </c>
      <c r="K37" s="282" t="str">
        <f>IF(((VLOOKUP($B30,'Diversion Data'!$B$3:$O$227,10,FALSE))-K39)&gt;0,"Short","")</f>
        <v/>
      </c>
      <c r="L37" s="282" t="str">
        <f>IF(((VLOOKUP($B30,'Diversion Data'!$B$3:$O$227,11,FALSE))-L39)&gt;0,"Short","")</f>
        <v/>
      </c>
      <c r="M37" s="282" t="str">
        <f>IF(((VLOOKUP($B30,'Diversion Data'!$B$3:$O$227,12,FALSE))-M39)&gt;0,"Short","")</f>
        <v/>
      </c>
      <c r="N37" s="282" t="str">
        <f>IF(((VLOOKUP($B30,'Diversion Data'!$B$3:$O$227,13,FALSE))-N39)&gt;0,"Short","")</f>
        <v/>
      </c>
      <c r="O37" s="283" t="str">
        <f>IF(((VLOOKUP($B30,'Diversion Data'!$B$3:$O$227,14,FALSE))-O39)&gt;0,"Short","")</f>
        <v/>
      </c>
    </row>
    <row r="38" spans="2:15" ht="14.25">
      <c r="B38" s="14" t="s">
        <v>328</v>
      </c>
      <c r="C38" s="13" t="s">
        <v>181</v>
      </c>
      <c r="D38" s="171">
        <f>VLOOKUP($B38,GainLoss!$B$19:$O$27,3,FALSE)</f>
        <v>0</v>
      </c>
      <c r="E38" s="171">
        <f>VLOOKUP($B38,GainLoss!$B$19:$O$27,4,FALSE)</f>
        <v>0</v>
      </c>
      <c r="F38" s="171">
        <f>VLOOKUP($B38,GainLoss!$B$19:$O$27,5,FALSE)</f>
        <v>0</v>
      </c>
      <c r="G38" s="171">
        <f>VLOOKUP($B38,GainLoss!$B$19:$O$27,6,FALSE)</f>
        <v>0</v>
      </c>
      <c r="H38" s="171">
        <f>VLOOKUP($B38,GainLoss!$B$19:$O$27,7,FALSE)</f>
        <v>0</v>
      </c>
      <c r="I38" s="171">
        <f>VLOOKUP($B38,GainLoss!$B$19:$O$27,8,FALSE)</f>
        <v>0</v>
      </c>
      <c r="J38" s="171">
        <f>VLOOKUP($B38,GainLoss!$B$19:$O$27,9,FALSE)</f>
        <v>0</v>
      </c>
      <c r="K38" s="171">
        <f>VLOOKUP($B38,GainLoss!$B$19:$O$27,10,FALSE)</f>
        <v>0</v>
      </c>
      <c r="L38" s="171">
        <f>VLOOKUP($B38,GainLoss!$B$19:$O$27,11,FALSE)</f>
        <v>0</v>
      </c>
      <c r="M38" s="171">
        <f>VLOOKUP($B38,GainLoss!$B$19:$O$27,12,FALSE)</f>
        <v>0</v>
      </c>
      <c r="N38" s="171">
        <f>VLOOKUP($B38,GainLoss!$B$19:$O$27,13,FALSE)</f>
        <v>0</v>
      </c>
      <c r="O38" s="198">
        <f>VLOOKUP($B38,GainLoss!$B$19:$O$27,14,FALSE)</f>
        <v>0</v>
      </c>
    </row>
    <row r="39" spans="2:15" ht="14.25">
      <c r="B39" s="14" t="str">
        <f>+B30 &amp;" Diversions"</f>
        <v>Node 12.02 Diversions</v>
      </c>
      <c r="C39" s="13"/>
      <c r="D39" s="54">
        <f>MIN(VLOOKUP($B30,'Diversion Data'!$B$3:$O$227,3,FALSE),(D36-D38))</f>
        <v>0</v>
      </c>
      <c r="E39" s="54">
        <f>MIN(VLOOKUP($B30,'Diversion Data'!$B$3:$O$227,4,FALSE),(E36-E38))</f>
        <v>0</v>
      </c>
      <c r="F39" s="54">
        <f>MIN(VLOOKUP($B30,'Diversion Data'!$B$3:$O$227,5,FALSE),(F36-F38))</f>
        <v>0</v>
      </c>
      <c r="G39" s="54">
        <f>MIN(VLOOKUP($B30,'Diversion Data'!$B$3:$O$227,6,FALSE),(G36-G38))</f>
        <v>0</v>
      </c>
      <c r="H39" s="54">
        <f>MIN(VLOOKUP($B30,'Diversion Data'!$B$3:$O$227,7,FALSE),(H36-H38))</f>
        <v>14147.079487965479</v>
      </c>
      <c r="I39" s="54">
        <f>MIN(VLOOKUP($B30,'Diversion Data'!$B$3:$O$227,8,FALSE),(I36-I38))</f>
        <v>15309.143528959559</v>
      </c>
      <c r="J39" s="54">
        <f>MIN(VLOOKUP($B30,'Diversion Data'!$B$3:$O$227,9,FALSE),(J36-J38))</f>
        <v>8206.3481871249023</v>
      </c>
      <c r="K39" s="54">
        <f>MIN(VLOOKUP($B30,'Diversion Data'!$B$3:$O$227,10,FALSE),(K36-K38))</f>
        <v>5182.5511755494081</v>
      </c>
      <c r="L39" s="54">
        <f>MIN(VLOOKUP($B30,'Diversion Data'!$B$3:$O$227,11,FALSE),(L36-L38))</f>
        <v>4383.958486621128</v>
      </c>
      <c r="M39" s="54">
        <f>MIN(VLOOKUP($B30,'Diversion Data'!$B$3:$O$227,12,FALSE),(M36-M38))</f>
        <v>0</v>
      </c>
      <c r="N39" s="54">
        <f>MIN(VLOOKUP($B30,'Diversion Data'!$B$3:$O$227,13,FALSE),(N36-N38))</f>
        <v>0</v>
      </c>
      <c r="O39" s="110">
        <f>MIN(VLOOKUP($B30,'Diversion Data'!$B$3:$O$227,14,FALSE),(O36-O38))</f>
        <v>0</v>
      </c>
    </row>
    <row r="40" spans="2:15" ht="15.75" thickBot="1">
      <c r="B40" s="24" t="str">
        <f>"Total " &amp; (B30) &amp;" Outflow"</f>
        <v>Total Node 12.02 Outflow</v>
      </c>
      <c r="C40" s="23"/>
      <c r="D40" s="27">
        <f t="shared" ref="D40:O40" si="9">SUM(D38:D39)</f>
        <v>0</v>
      </c>
      <c r="E40" s="27">
        <f t="shared" si="9"/>
        <v>0</v>
      </c>
      <c r="F40" s="27">
        <f t="shared" si="9"/>
        <v>0</v>
      </c>
      <c r="G40" s="27">
        <f t="shared" si="9"/>
        <v>0</v>
      </c>
      <c r="H40" s="27">
        <f t="shared" si="9"/>
        <v>14147.079487965479</v>
      </c>
      <c r="I40" s="27">
        <f t="shared" si="9"/>
        <v>15309.143528959559</v>
      </c>
      <c r="J40" s="27">
        <f t="shared" si="9"/>
        <v>8206.3481871249023</v>
      </c>
      <c r="K40" s="27">
        <f t="shared" si="9"/>
        <v>5182.5511755494081</v>
      </c>
      <c r="L40" s="27">
        <f t="shared" si="9"/>
        <v>4383.958486621128</v>
      </c>
      <c r="M40" s="27">
        <f t="shared" si="9"/>
        <v>0</v>
      </c>
      <c r="N40" s="27">
        <f t="shared" si="9"/>
        <v>0</v>
      </c>
      <c r="O40" s="28">
        <f t="shared" si="9"/>
        <v>0</v>
      </c>
    </row>
    <row r="41" spans="2:15" ht="15.75" thickBot="1">
      <c r="B41" s="24" t="str">
        <f>(B30)&amp;" NET Flow (In - Out)"</f>
        <v>Node 12.02 NET Flow (In - Out)</v>
      </c>
      <c r="C41" s="23"/>
      <c r="D41" s="193">
        <f t="shared" ref="D41:O41" si="10">MAX(D36-D40,0)</f>
        <v>7420.5958677685958</v>
      </c>
      <c r="E41" s="193">
        <f t="shared" si="10"/>
        <v>6467.4167650531308</v>
      </c>
      <c r="F41" s="193">
        <f t="shared" si="10"/>
        <v>12639.108854781582</v>
      </c>
      <c r="G41" s="193">
        <f t="shared" si="10"/>
        <v>11421.712632821725</v>
      </c>
      <c r="H41" s="193">
        <f t="shared" si="10"/>
        <v>4358.7102417275601</v>
      </c>
      <c r="I41" s="193">
        <f t="shared" si="10"/>
        <v>5336.3063477966261</v>
      </c>
      <c r="J41" s="193">
        <f t="shared" si="10"/>
        <v>2494.6169956008398</v>
      </c>
      <c r="K41" s="193">
        <f t="shared" si="10"/>
        <v>1542.2755038766709</v>
      </c>
      <c r="L41" s="193">
        <f t="shared" si="10"/>
        <v>847.76456350887656</v>
      </c>
      <c r="M41" s="193">
        <f t="shared" si="10"/>
        <v>7731.4591489079121</v>
      </c>
      <c r="N41" s="193">
        <f t="shared" si="10"/>
        <v>8621.0633809179471</v>
      </c>
      <c r="O41" s="200">
        <f t="shared" si="10"/>
        <v>7733.5340023612762</v>
      </c>
    </row>
    <row r="43" spans="2:15" ht="15.75" thickBot="1">
      <c r="B43" s="108" t="s">
        <v>240</v>
      </c>
      <c r="C43" s="109" t="str">
        <f>VLOOKUP(B43,NodeList!$D$4:$E$121,2,FALSE)</f>
        <v>Rainbow Inlet</v>
      </c>
      <c r="D43" s="6"/>
      <c r="E43" s="6"/>
      <c r="F43" s="6"/>
      <c r="G43" s="6"/>
      <c r="H43" s="7"/>
      <c r="I43" s="7"/>
      <c r="J43" s="7"/>
      <c r="K43" s="7"/>
      <c r="L43" s="7"/>
      <c r="M43" s="7"/>
      <c r="N43" s="7"/>
      <c r="O43" s="7"/>
    </row>
    <row r="44" spans="2:15" ht="15">
      <c r="B44" s="9" t="s">
        <v>16</v>
      </c>
      <c r="C44" s="10"/>
      <c r="D44" s="11" t="s">
        <v>0</v>
      </c>
      <c r="E44" s="11" t="s">
        <v>1</v>
      </c>
      <c r="F44" s="11" t="s">
        <v>2</v>
      </c>
      <c r="G44" s="11" t="s">
        <v>3</v>
      </c>
      <c r="H44" s="11" t="s">
        <v>4</v>
      </c>
      <c r="I44" s="11" t="s">
        <v>5</v>
      </c>
      <c r="J44" s="11" t="s">
        <v>6</v>
      </c>
      <c r="K44" s="11" t="s">
        <v>7</v>
      </c>
      <c r="L44" s="11" t="s">
        <v>8</v>
      </c>
      <c r="M44" s="11" t="s">
        <v>9</v>
      </c>
      <c r="N44" s="11" t="s">
        <v>10</v>
      </c>
      <c r="O44" s="12" t="s">
        <v>11</v>
      </c>
    </row>
    <row r="45" spans="2:15" ht="14.25">
      <c r="B45" s="14" t="str">
        <f>+B43 &amp;" Node Inflow"</f>
        <v>Node 12.03 Node Inflow</v>
      </c>
      <c r="C45" s="13"/>
      <c r="D45" s="15">
        <f>+D41</f>
        <v>7420.5958677685958</v>
      </c>
      <c r="E45" s="15">
        <f t="shared" ref="E45:O45" si="11">+E41</f>
        <v>6467.4167650531308</v>
      </c>
      <c r="F45" s="15">
        <f t="shared" si="11"/>
        <v>12639.108854781582</v>
      </c>
      <c r="G45" s="15">
        <f t="shared" si="11"/>
        <v>11421.712632821725</v>
      </c>
      <c r="H45" s="15">
        <f t="shared" si="11"/>
        <v>4358.7102417275601</v>
      </c>
      <c r="I45" s="15">
        <f t="shared" si="11"/>
        <v>5336.3063477966261</v>
      </c>
      <c r="J45" s="15">
        <f t="shared" si="11"/>
        <v>2494.6169956008398</v>
      </c>
      <c r="K45" s="15">
        <f t="shared" si="11"/>
        <v>1542.2755038766709</v>
      </c>
      <c r="L45" s="15">
        <f t="shared" si="11"/>
        <v>847.76456350887656</v>
      </c>
      <c r="M45" s="15">
        <f t="shared" si="11"/>
        <v>7731.4591489079121</v>
      </c>
      <c r="N45" s="15">
        <f t="shared" si="11"/>
        <v>8621.0633809179471</v>
      </c>
      <c r="O45" s="16">
        <f t="shared" si="11"/>
        <v>7733.5340023612762</v>
      </c>
    </row>
    <row r="46" spans="2:15" ht="14.25">
      <c r="B46" s="14" t="str">
        <f>+B43 &amp;" Irrigation Returns"</f>
        <v>Node 12.03 Irrigation Returns</v>
      </c>
      <c r="C46" s="13"/>
      <c r="D46" s="54">
        <f>VLOOKUP(($B43),'Irrigation Returns'!$B$644:$P$930,4,FALSE)</f>
        <v>0</v>
      </c>
      <c r="E46" s="54">
        <f>VLOOKUP(($B43),'Irrigation Returns'!$B$644:$P$930,5,FALSE)</f>
        <v>0</v>
      </c>
      <c r="F46" s="54">
        <f>VLOOKUP(($B43),'Irrigation Returns'!$B$644:$P$930,6,FALSE)</f>
        <v>0</v>
      </c>
      <c r="G46" s="54">
        <f>VLOOKUP(($B43),'Irrigation Returns'!$B$644:$P$930,7,FALSE)</f>
        <v>0</v>
      </c>
      <c r="H46" s="54">
        <f>VLOOKUP(($B43),'Irrigation Returns'!$B$644:$P$930,8,FALSE)</f>
        <v>3961.182256630334</v>
      </c>
      <c r="I46" s="54">
        <f>VLOOKUP(($B43),'Irrigation Returns'!$B$644:$P$930,9,FALSE)</f>
        <v>5418.3265471459154</v>
      </c>
      <c r="J46" s="54">
        <f>VLOOKUP(($B43),'Irrigation Returns'!$B$644:$P$930,10,FALSE)</f>
        <v>4088.3921542303569</v>
      </c>
      <c r="K46" s="54">
        <f>VLOOKUP(($B43),'Irrigation Returns'!$B$644:$P$930,11,FALSE)</f>
        <v>2719.9879252822093</v>
      </c>
      <c r="L46" s="54">
        <f>VLOOKUP(($B43),'Irrigation Returns'!$B$644:$P$930,12,FALSE)</f>
        <v>1970.3663977828649</v>
      </c>
      <c r="M46" s="54">
        <f>VLOOKUP(($B43),'Irrigation Returns'!$B$644:$P$930,13,FALSE)</f>
        <v>558.01872595166662</v>
      </c>
      <c r="N46" s="54">
        <f>VLOOKUP(($B43),'Irrigation Returns'!$B$644:$P$930,14,FALSE)</f>
        <v>175.35833946484513</v>
      </c>
      <c r="O46" s="110">
        <f>VLOOKUP(($B43),'Irrigation Returns'!$B$644:$P$930,15,FALSE)</f>
        <v>0</v>
      </c>
    </row>
    <row r="47" spans="2:15" ht="14.25">
      <c r="B47" s="14" t="s">
        <v>328</v>
      </c>
      <c r="C47" s="13" t="s">
        <v>180</v>
      </c>
      <c r="D47" s="54">
        <f>VLOOKUP($B47,GainLoss!$B$5:$O$14,3,FALSE)</f>
        <v>0</v>
      </c>
      <c r="E47" s="54">
        <f>VLOOKUP($B47,GainLoss!$B$5:$O$14,4,FALSE)</f>
        <v>0</v>
      </c>
      <c r="F47" s="54">
        <f>VLOOKUP($B47,GainLoss!$B$5:$O$14,5,FALSE)</f>
        <v>0</v>
      </c>
      <c r="G47" s="54">
        <f>VLOOKUP($B47,GainLoss!$B$5:$O$14,6,FALSE)</f>
        <v>0</v>
      </c>
      <c r="H47" s="54">
        <f>VLOOKUP($B47,GainLoss!$B$5:$O$14,7,FALSE)</f>
        <v>0</v>
      </c>
      <c r="I47" s="54">
        <f>VLOOKUP($B47,GainLoss!$B$5:$O$14,8,FALSE)</f>
        <v>0</v>
      </c>
      <c r="J47" s="54">
        <f>VLOOKUP($B47,GainLoss!$B$5:$O$14,9,FALSE)</f>
        <v>0</v>
      </c>
      <c r="K47" s="54">
        <f>VLOOKUP($B47,GainLoss!$B$5:$O$14,10,FALSE)</f>
        <v>0</v>
      </c>
      <c r="L47" s="54">
        <f>VLOOKUP($B47,GainLoss!$B$5:$O$14,11,FALSE)</f>
        <v>0</v>
      </c>
      <c r="M47" s="54">
        <f>VLOOKUP($B47,GainLoss!$B$5:$O$14,12,FALSE)</f>
        <v>0</v>
      </c>
      <c r="N47" s="54">
        <f>VLOOKUP($B47,GainLoss!$B$5:$O$14,13,FALSE)</f>
        <v>0</v>
      </c>
      <c r="O47" s="110">
        <f>VLOOKUP($B47,GainLoss!$B$5:$O$14,14,FALSE)</f>
        <v>0</v>
      </c>
    </row>
    <row r="48" spans="2:15" ht="14.25">
      <c r="B48" s="14" t="str">
        <f>+B43 &amp;" Import/Export"</f>
        <v>Node 12.03 Import/Export</v>
      </c>
      <c r="C48" s="13"/>
      <c r="D48" s="190">
        <f>VLOOKUP($B43,ImportExport!$B$6:$O$99,3,FALSE)</f>
        <v>0</v>
      </c>
      <c r="E48" s="190">
        <f>VLOOKUP($B43,ImportExport!$B$6:$O$99,4,FALSE)</f>
        <v>0</v>
      </c>
      <c r="F48" s="190">
        <f>VLOOKUP($B43,ImportExport!$B$6:$O$99,5,FALSE)</f>
        <v>0</v>
      </c>
      <c r="G48" s="190">
        <f>VLOOKUP($B43,ImportExport!$B$6:$O$99,6,FALSE)</f>
        <v>0</v>
      </c>
      <c r="H48" s="190">
        <f>VLOOKUP($B43,ImportExport!$B$6:$O$99,7,FALSE)</f>
        <v>0</v>
      </c>
      <c r="I48" s="190">
        <f>VLOOKUP($B43,ImportExport!$B$6:$O$99,8,FALSE)</f>
        <v>0</v>
      </c>
      <c r="J48" s="190">
        <f>VLOOKUP($B43,ImportExport!$B$6:$O$99,9,FALSE)</f>
        <v>0</v>
      </c>
      <c r="K48" s="190">
        <f>VLOOKUP($B43,ImportExport!$B$6:$O$99,10,FALSE)</f>
        <v>0</v>
      </c>
      <c r="L48" s="190">
        <f>VLOOKUP($B43,ImportExport!$B$6:$O$99,11,FALSE)</f>
        <v>0</v>
      </c>
      <c r="M48" s="190">
        <f>VLOOKUP($B43,ImportExport!$B$6:$O$99,12,FALSE)</f>
        <v>0</v>
      </c>
      <c r="N48" s="190">
        <f>VLOOKUP($B43,ImportExport!$B$6:$O$99,13,FALSE)</f>
        <v>0</v>
      </c>
      <c r="O48" s="197">
        <f>VLOOKUP($B43,ImportExport!$B$6:$O$99,14,FALSE)</f>
        <v>0</v>
      </c>
    </row>
    <row r="49" spans="2:15" ht="15.75" thickBot="1">
      <c r="B49" s="18" t="str">
        <f>"Total "&amp; (B43)&amp;" Inflow"</f>
        <v>Total Node 12.03 Inflow</v>
      </c>
      <c r="C49" s="17"/>
      <c r="D49" s="25">
        <f t="shared" ref="D49:O49" si="12">SUM(D45:D48)</f>
        <v>7420.5958677685958</v>
      </c>
      <c r="E49" s="25">
        <f t="shared" si="12"/>
        <v>6467.4167650531308</v>
      </c>
      <c r="F49" s="25">
        <f t="shared" si="12"/>
        <v>12639.108854781582</v>
      </c>
      <c r="G49" s="25">
        <f t="shared" si="12"/>
        <v>11421.712632821725</v>
      </c>
      <c r="H49" s="25">
        <f t="shared" si="12"/>
        <v>8319.8924983578945</v>
      </c>
      <c r="I49" s="25">
        <f t="shared" si="12"/>
        <v>10754.632894942541</v>
      </c>
      <c r="J49" s="25">
        <f t="shared" si="12"/>
        <v>6583.0091498311967</v>
      </c>
      <c r="K49" s="25">
        <f t="shared" si="12"/>
        <v>4262.2634291588802</v>
      </c>
      <c r="L49" s="25">
        <f t="shared" si="12"/>
        <v>2818.1309612917412</v>
      </c>
      <c r="M49" s="25">
        <f t="shared" si="12"/>
        <v>8289.4778748595782</v>
      </c>
      <c r="N49" s="25">
        <f t="shared" si="12"/>
        <v>8796.421720382792</v>
      </c>
      <c r="O49" s="26">
        <f t="shared" si="12"/>
        <v>7733.5340023612762</v>
      </c>
    </row>
    <row r="50" spans="2:15" ht="15">
      <c r="B50" s="19" t="s">
        <v>17</v>
      </c>
      <c r="C50" s="20"/>
      <c r="D50" s="282" t="str">
        <f>IF(((VLOOKUP($B43,'Diversion Data'!$B$3:$O$227,3,FALSE))-D52)&gt;0,"Short","")</f>
        <v/>
      </c>
      <c r="E50" s="282" t="str">
        <f>IF(((VLOOKUP($B43,'Diversion Data'!$B$3:$O$227,4,FALSE))-E52)&gt;0,"Short","")</f>
        <v/>
      </c>
      <c r="F50" s="282" t="str">
        <f>IF(((VLOOKUP($B43,'Diversion Data'!$B$3:$O$227,5,FALSE))-F52)&gt;0,"Short","")</f>
        <v>Short</v>
      </c>
      <c r="G50" s="282" t="str">
        <f>IF(((VLOOKUP($B43,'Diversion Data'!$B$3:$O$227,6,FALSE))-G52)&gt;0,"Short","")</f>
        <v/>
      </c>
      <c r="H50" s="282" t="str">
        <f>IF(((VLOOKUP($B43,'Diversion Data'!$B$3:$O$227,7,FALSE))-H52)&gt;0,"Short","")</f>
        <v/>
      </c>
      <c r="I50" s="282" t="str">
        <f>IF(((VLOOKUP($B43,'Diversion Data'!$B$3:$O$227,8,FALSE))-I52)&gt;0,"Short","")</f>
        <v/>
      </c>
      <c r="J50" s="282" t="str">
        <f>IF(((VLOOKUP($B43,'Diversion Data'!$B$3:$O$227,9,FALSE))-J52)&gt;0,"Short","")</f>
        <v/>
      </c>
      <c r="K50" s="282" t="str">
        <f>IF(((VLOOKUP($B43,'Diversion Data'!$B$3:$O$227,10,FALSE))-K52)&gt;0,"Short","")</f>
        <v/>
      </c>
      <c r="L50" s="282" t="str">
        <f>IF(((VLOOKUP($B43,'Diversion Data'!$B$3:$O$227,11,FALSE))-L52)&gt;0,"Short","")</f>
        <v/>
      </c>
      <c r="M50" s="282" t="str">
        <f>IF(((VLOOKUP($B43,'Diversion Data'!$B$3:$O$227,12,FALSE))-M52)&gt;0,"Short","")</f>
        <v/>
      </c>
      <c r="N50" s="282" t="str">
        <f>IF(((VLOOKUP($B43,'Diversion Data'!$B$3:$O$227,13,FALSE))-N52)&gt;0,"Short","")</f>
        <v/>
      </c>
      <c r="O50" s="283" t="str">
        <f>IF(((VLOOKUP($B43,'Diversion Data'!$B$3:$O$227,14,FALSE))-O52)&gt;0,"Short","")</f>
        <v/>
      </c>
    </row>
    <row r="51" spans="2:15" ht="14.25">
      <c r="B51" s="14" t="s">
        <v>328</v>
      </c>
      <c r="C51" s="13" t="s">
        <v>181</v>
      </c>
      <c r="D51" s="171">
        <f>VLOOKUP($B51,GainLoss!$B$19:$O$27,3,FALSE)</f>
        <v>0</v>
      </c>
      <c r="E51" s="171">
        <f>VLOOKUP($B51,GainLoss!$B$19:$O$27,4,FALSE)</f>
        <v>0</v>
      </c>
      <c r="F51" s="171">
        <f>VLOOKUP($B51,GainLoss!$B$19:$O$27,5,FALSE)</f>
        <v>0</v>
      </c>
      <c r="G51" s="171">
        <f>VLOOKUP($B51,GainLoss!$B$19:$O$27,6,FALSE)</f>
        <v>0</v>
      </c>
      <c r="H51" s="171">
        <f>VLOOKUP($B51,GainLoss!$B$19:$O$27,7,FALSE)</f>
        <v>0</v>
      </c>
      <c r="I51" s="171">
        <f>VLOOKUP($B51,GainLoss!$B$19:$O$27,8,FALSE)</f>
        <v>0</v>
      </c>
      <c r="J51" s="171">
        <f>VLOOKUP($B51,GainLoss!$B$19:$O$27,9,FALSE)</f>
        <v>0</v>
      </c>
      <c r="K51" s="171">
        <f>VLOOKUP($B51,GainLoss!$B$19:$O$27,10,FALSE)</f>
        <v>0</v>
      </c>
      <c r="L51" s="171">
        <f>VLOOKUP($B51,GainLoss!$B$19:$O$27,11,FALSE)</f>
        <v>0</v>
      </c>
      <c r="M51" s="171">
        <f>VLOOKUP($B51,GainLoss!$B$19:$O$27,12,FALSE)</f>
        <v>0</v>
      </c>
      <c r="N51" s="171">
        <f>VLOOKUP($B51,GainLoss!$B$19:$O$27,13,FALSE)</f>
        <v>0</v>
      </c>
      <c r="O51" s="198">
        <f>VLOOKUP($B51,GainLoss!$B$19:$O$27,14,FALSE)</f>
        <v>0</v>
      </c>
    </row>
    <row r="52" spans="2:15" ht="14.25">
      <c r="B52" s="14" t="str">
        <f>+B43 &amp;" Diversions"</f>
        <v>Node 12.03 Diversions</v>
      </c>
      <c r="C52" s="13"/>
      <c r="D52" s="54">
        <f>MIN(VLOOKUP($B43,'Diversion Data'!$B$3:$O$227,3,FALSE),(D49-D51))</f>
        <v>6190.7644628099179</v>
      </c>
      <c r="E52" s="54">
        <f>MIN(VLOOKUP($B43,'Diversion Data'!$B$3:$O$227,4,FALSE),(E49-E51))</f>
        <v>5850.7851239669417</v>
      </c>
      <c r="F52" s="54">
        <f>MIN(VLOOKUP($B43,'Diversion Data'!$B$3:$O$227,5,FALSE),(F49-F51))</f>
        <v>12639.108854781582</v>
      </c>
      <c r="G52" s="54">
        <f>MIN(VLOOKUP($B43,'Diversion Data'!$B$3:$O$227,6,FALSE),(G49-G51))</f>
        <v>8360.8512396694205</v>
      </c>
      <c r="H52" s="54">
        <f>MIN(VLOOKUP($B43,'Diversion Data'!$B$3:$O$227,7,FALSE),(H49-H51))</f>
        <v>1053.5115785764463</v>
      </c>
      <c r="I52" s="54">
        <f>MIN(VLOOKUP($B43,'Diversion Data'!$B$3:$O$227,8,FALSE),(I49-I51))</f>
        <v>1049.8193938873967</v>
      </c>
      <c r="J52" s="54">
        <f>MIN(VLOOKUP($B43,'Diversion Data'!$B$3:$O$227,9,FALSE),(J49-J51))</f>
        <v>2265.8863379845043</v>
      </c>
      <c r="K52" s="54">
        <f>MIN(VLOOKUP($B43,'Diversion Data'!$B$3:$O$227,10,FALSE),(K49-K51))</f>
        <v>1134.4435866787189</v>
      </c>
      <c r="L52" s="54">
        <f>MIN(VLOOKUP($B43,'Diversion Data'!$B$3:$O$227,11,FALSE),(L49-L51))</f>
        <v>1116.543180411157</v>
      </c>
      <c r="M52" s="54">
        <f>MIN(VLOOKUP($B43,'Diversion Data'!$B$3:$O$227,12,FALSE),(M49-M51))</f>
        <v>2633.7561983471073</v>
      </c>
      <c r="N52" s="54">
        <f>MIN(VLOOKUP($B43,'Diversion Data'!$B$3:$O$227,13,FALSE),(N49-N51))</f>
        <v>4433.0371900826449</v>
      </c>
      <c r="O52" s="110">
        <f>MIN(VLOOKUP($B43,'Diversion Data'!$B$3:$O$227,14,FALSE),(O49-O51))</f>
        <v>4688.553719008265</v>
      </c>
    </row>
    <row r="53" spans="2:15" ht="15.75" thickBot="1">
      <c r="B53" s="24" t="str">
        <f>"Total " &amp; (B43) &amp;" Outflow"</f>
        <v>Total Node 12.03 Outflow</v>
      </c>
      <c r="C53" s="23"/>
      <c r="D53" s="27">
        <f t="shared" ref="D53:O53" si="13">SUM(D51:D52)</f>
        <v>6190.7644628099179</v>
      </c>
      <c r="E53" s="27">
        <f t="shared" si="13"/>
        <v>5850.7851239669417</v>
      </c>
      <c r="F53" s="27">
        <f t="shared" si="13"/>
        <v>12639.108854781582</v>
      </c>
      <c r="G53" s="27">
        <f t="shared" si="13"/>
        <v>8360.8512396694205</v>
      </c>
      <c r="H53" s="27">
        <f t="shared" si="13"/>
        <v>1053.5115785764463</v>
      </c>
      <c r="I53" s="27">
        <f t="shared" si="13"/>
        <v>1049.8193938873967</v>
      </c>
      <c r="J53" s="27">
        <f t="shared" si="13"/>
        <v>2265.8863379845043</v>
      </c>
      <c r="K53" s="27">
        <f t="shared" si="13"/>
        <v>1134.4435866787189</v>
      </c>
      <c r="L53" s="27">
        <f t="shared" si="13"/>
        <v>1116.543180411157</v>
      </c>
      <c r="M53" s="27">
        <f t="shared" si="13"/>
        <v>2633.7561983471073</v>
      </c>
      <c r="N53" s="27">
        <f t="shared" si="13"/>
        <v>4433.0371900826449</v>
      </c>
      <c r="O53" s="28">
        <f t="shared" si="13"/>
        <v>4688.553719008265</v>
      </c>
    </row>
    <row r="54" spans="2:15" ht="15.75" thickBot="1">
      <c r="B54" s="24" t="str">
        <f>(B43)&amp;" NET Flow (In - Out)"</f>
        <v>Node 12.03 NET Flow (In - Out)</v>
      </c>
      <c r="C54" s="23"/>
      <c r="D54" s="193">
        <f t="shared" ref="D54:O54" si="14">MAX(D49-D53,0)</f>
        <v>1229.8314049586779</v>
      </c>
      <c r="E54" s="193">
        <f t="shared" si="14"/>
        <v>616.63164108618912</v>
      </c>
      <c r="F54" s="193">
        <f t="shared" si="14"/>
        <v>0</v>
      </c>
      <c r="G54" s="193">
        <f t="shared" si="14"/>
        <v>3060.861393152305</v>
      </c>
      <c r="H54" s="193">
        <f t="shared" si="14"/>
        <v>7266.380919781448</v>
      </c>
      <c r="I54" s="193">
        <f t="shared" si="14"/>
        <v>9704.8135010551432</v>
      </c>
      <c r="J54" s="193">
        <f t="shared" si="14"/>
        <v>4317.1228118466925</v>
      </c>
      <c r="K54" s="193">
        <f t="shared" si="14"/>
        <v>3127.8198424801612</v>
      </c>
      <c r="L54" s="193">
        <f t="shared" si="14"/>
        <v>1701.5877808805842</v>
      </c>
      <c r="M54" s="193">
        <f t="shared" si="14"/>
        <v>5655.7216765124704</v>
      </c>
      <c r="N54" s="193">
        <f t="shared" si="14"/>
        <v>4363.3845303001472</v>
      </c>
      <c r="O54" s="200">
        <f t="shared" si="14"/>
        <v>3044.9802833530111</v>
      </c>
    </row>
    <row r="56" spans="2:15" ht="15.75" thickBot="1">
      <c r="B56" s="523" t="s">
        <v>324</v>
      </c>
      <c r="C56" s="524" t="str">
        <f>VLOOKUP(B56,NodeList!$D$4:$E$121,2,FALSE)</f>
        <v>Stewart Dam</v>
      </c>
      <c r="D56" s="518"/>
      <c r="E56" s="518"/>
      <c r="F56" s="518"/>
      <c r="G56" s="518"/>
      <c r="H56" s="519"/>
      <c r="I56" s="519"/>
      <c r="J56" s="519"/>
      <c r="K56" s="519"/>
      <c r="L56" s="519"/>
      <c r="M56" s="519"/>
      <c r="N56" s="519"/>
      <c r="O56" s="519"/>
    </row>
    <row r="57" spans="2:15" ht="15">
      <c r="B57" s="9" t="s">
        <v>16</v>
      </c>
      <c r="C57" s="10"/>
      <c r="D57" s="11" t="s">
        <v>0</v>
      </c>
      <c r="E57" s="11" t="s">
        <v>1</v>
      </c>
      <c r="F57" s="11" t="s">
        <v>2</v>
      </c>
      <c r="G57" s="11" t="s">
        <v>3</v>
      </c>
      <c r="H57" s="11" t="s">
        <v>4</v>
      </c>
      <c r="I57" s="11" t="s">
        <v>5</v>
      </c>
      <c r="J57" s="11" t="s">
        <v>6</v>
      </c>
      <c r="K57" s="11" t="s">
        <v>7</v>
      </c>
      <c r="L57" s="11" t="s">
        <v>8</v>
      </c>
      <c r="M57" s="11" t="s">
        <v>9</v>
      </c>
      <c r="N57" s="11" t="s">
        <v>10</v>
      </c>
      <c r="O57" s="12" t="s">
        <v>11</v>
      </c>
    </row>
    <row r="58" spans="2:15" ht="14.25">
      <c r="B58" s="14" t="str">
        <f>+B56 &amp;" Node Inflow"</f>
        <v>Node 12.04 Node Inflow</v>
      </c>
      <c r="C58" s="13"/>
      <c r="D58" s="533"/>
      <c r="E58" s="533"/>
      <c r="F58" s="533"/>
      <c r="G58" s="533"/>
      <c r="H58" s="15">
        <f t="shared" ref="H58:L58" si="15">+H54</f>
        <v>7266.380919781448</v>
      </c>
      <c r="I58" s="15">
        <f t="shared" si="15"/>
        <v>9704.8135010551432</v>
      </c>
      <c r="J58" s="15">
        <f t="shared" si="15"/>
        <v>4317.1228118466925</v>
      </c>
      <c r="K58" s="15">
        <f t="shared" si="15"/>
        <v>3127.8198424801612</v>
      </c>
      <c r="L58" s="15">
        <f t="shared" si="15"/>
        <v>1701.5877808805842</v>
      </c>
      <c r="M58" s="533"/>
      <c r="N58" s="533"/>
      <c r="O58" s="557"/>
    </row>
    <row r="59" spans="2:15" ht="14.25">
      <c r="B59" s="14" t="str">
        <f>+B56 &amp;" Irrigation Returns"</f>
        <v>Node 12.04 Irrigation Returns</v>
      </c>
      <c r="C59" s="13"/>
      <c r="D59" s="534"/>
      <c r="E59" s="534"/>
      <c r="F59" s="534"/>
      <c r="G59" s="534"/>
      <c r="H59" s="54">
        <f>VLOOKUP(($B56),'Irrigation Returns'!$B$644:$P$930,8,FALSE)</f>
        <v>0</v>
      </c>
      <c r="I59" s="54">
        <f>VLOOKUP(($B56),'Irrigation Returns'!$B$644:$P$930,9,FALSE)</f>
        <v>0</v>
      </c>
      <c r="J59" s="54">
        <f>VLOOKUP(($B56),'Irrigation Returns'!$B$644:$P$930,10,FALSE)</f>
        <v>0</v>
      </c>
      <c r="K59" s="54">
        <f>VLOOKUP(($B56),'Irrigation Returns'!$B$644:$P$930,11,FALSE)</f>
        <v>0</v>
      </c>
      <c r="L59" s="54">
        <f>VLOOKUP(($B56),'Irrigation Returns'!$B$644:$P$930,12,FALSE)</f>
        <v>0</v>
      </c>
      <c r="M59" s="534"/>
      <c r="N59" s="534"/>
      <c r="O59" s="541"/>
    </row>
    <row r="60" spans="2:15" ht="14.25">
      <c r="B60" s="14" t="s">
        <v>328</v>
      </c>
      <c r="C60" s="13" t="s">
        <v>180</v>
      </c>
      <c r="D60" s="534"/>
      <c r="E60" s="534"/>
      <c r="F60" s="534"/>
      <c r="G60" s="534"/>
      <c r="H60" s="54">
        <f>VLOOKUP($B60,GainLoss!$B$5:$O$14,7,FALSE)</f>
        <v>0</v>
      </c>
      <c r="I60" s="54">
        <f>VLOOKUP($B60,GainLoss!$B$5:$O$14,8,FALSE)</f>
        <v>0</v>
      </c>
      <c r="J60" s="54">
        <f>VLOOKUP($B60,GainLoss!$B$5:$O$14,9,FALSE)</f>
        <v>0</v>
      </c>
      <c r="K60" s="54">
        <f>VLOOKUP($B60,GainLoss!$B$5:$O$14,10,FALSE)</f>
        <v>0</v>
      </c>
      <c r="L60" s="54">
        <f>VLOOKUP($B60,GainLoss!$B$5:$O$14,11,FALSE)</f>
        <v>0</v>
      </c>
      <c r="M60" s="534"/>
      <c r="N60" s="534"/>
      <c r="O60" s="541"/>
    </row>
    <row r="61" spans="2:15" ht="14.25">
      <c r="B61" s="14" t="str">
        <f>+B56 &amp;" Import/Export"</f>
        <v>Node 12.04 Import/Export</v>
      </c>
      <c r="C61" s="13"/>
      <c r="D61" s="535"/>
      <c r="E61" s="535"/>
      <c r="F61" s="535"/>
      <c r="G61" s="535"/>
      <c r="H61" s="190">
        <f>VLOOKUP($B56,ImportExport!$B$6:$O$99,7,FALSE)</f>
        <v>0</v>
      </c>
      <c r="I61" s="190">
        <f>VLOOKUP($B56,ImportExport!$B$6:$O$99,8,FALSE)</f>
        <v>0</v>
      </c>
      <c r="J61" s="190">
        <f>VLOOKUP($B56,ImportExport!$B$6:$O$99,9,FALSE)</f>
        <v>0</v>
      </c>
      <c r="K61" s="190">
        <f>VLOOKUP($B56,ImportExport!$B$6:$O$99,10,FALSE)</f>
        <v>0</v>
      </c>
      <c r="L61" s="190">
        <f>VLOOKUP($B56,ImportExport!$B$6:$O$99,11,FALSE)</f>
        <v>0</v>
      </c>
      <c r="M61" s="535"/>
      <c r="N61" s="535"/>
      <c r="O61" s="542"/>
    </row>
    <row r="62" spans="2:15" ht="15.75" thickBot="1">
      <c r="B62" s="18" t="str">
        <f>"Total "&amp; (B56)&amp;" Inflow"</f>
        <v>Total Node 12.04 Inflow</v>
      </c>
      <c r="C62" s="17"/>
      <c r="D62" s="536"/>
      <c r="E62" s="536"/>
      <c r="F62" s="536"/>
      <c r="G62" s="536"/>
      <c r="H62" s="25">
        <f t="shared" ref="H62:L62" si="16">SUM(H58:H61)</f>
        <v>7266.380919781448</v>
      </c>
      <c r="I62" s="25">
        <f t="shared" si="16"/>
        <v>9704.8135010551432</v>
      </c>
      <c r="J62" s="25">
        <f t="shared" si="16"/>
        <v>4317.1228118466925</v>
      </c>
      <c r="K62" s="25">
        <f t="shared" si="16"/>
        <v>3127.8198424801612</v>
      </c>
      <c r="L62" s="25">
        <f t="shared" si="16"/>
        <v>1701.5877808805842</v>
      </c>
      <c r="M62" s="536"/>
      <c r="N62" s="536"/>
      <c r="O62" s="543"/>
    </row>
    <row r="63" spans="2:15" ht="15">
      <c r="B63" s="19" t="s">
        <v>17</v>
      </c>
      <c r="C63" s="20"/>
      <c r="D63" s="537"/>
      <c r="E63" s="537"/>
      <c r="F63" s="537"/>
      <c r="G63" s="537"/>
      <c r="H63" s="282" t="str">
        <f>IF(((VLOOKUP($B56,'Diversion Data'!$B$3:$O$227,7,FALSE))-H65)&gt;0,"Short","")</f>
        <v/>
      </c>
      <c r="I63" s="282" t="str">
        <f>IF(((VLOOKUP($B56,'Diversion Data'!$B$3:$O$227,8,FALSE))-I65)&gt;0,"Short","")</f>
        <v/>
      </c>
      <c r="J63" s="282" t="str">
        <f>IF(((VLOOKUP($B56,'Diversion Data'!$B$3:$O$227,9,FALSE))-J65)&gt;0,"Short","")</f>
        <v/>
      </c>
      <c r="K63" s="282" t="str">
        <f>IF(((VLOOKUP($B56,'Diversion Data'!$B$3:$O$227,10,FALSE))-K65)&gt;0,"Short","")</f>
        <v/>
      </c>
      <c r="L63" s="282" t="str">
        <f>IF(((VLOOKUP($B56,'Diversion Data'!$B$3:$O$227,11,FALSE))-L65)&gt;0,"Short","")</f>
        <v/>
      </c>
      <c r="M63" s="537"/>
      <c r="N63" s="537"/>
      <c r="O63" s="544"/>
    </row>
    <row r="64" spans="2:15" ht="14.25">
      <c r="B64" s="520" t="s">
        <v>30</v>
      </c>
      <c r="C64" s="13" t="s">
        <v>181</v>
      </c>
      <c r="D64" s="538"/>
      <c r="E64" s="538"/>
      <c r="F64" s="538"/>
      <c r="G64" s="538"/>
      <c r="H64" s="171">
        <f>VLOOKUP($B64,GainLoss!$B$19:$O$27,7,FALSE)</f>
        <v>1442.9399254654772</v>
      </c>
      <c r="I64" s="171">
        <f>VLOOKUP($B64,GainLoss!$B$19:$O$27,8,FALSE)</f>
        <v>2986.4051584001982</v>
      </c>
      <c r="J64" s="171">
        <f>VLOOKUP($B64,GainLoss!$B$19:$O$27,9,FALSE)</f>
        <v>3628.5360542986355</v>
      </c>
      <c r="K64" s="171">
        <f>VLOOKUP($B64,GainLoss!$B$19:$O$27,10,FALSE)</f>
        <v>2102.810746697678</v>
      </c>
      <c r="L64" s="171">
        <f>VLOOKUP($B64,GainLoss!$B$19:$O$27,11,FALSE)</f>
        <v>1116.7539782464478</v>
      </c>
      <c r="M64" s="538"/>
      <c r="N64" s="538"/>
      <c r="O64" s="545"/>
    </row>
    <row r="65" spans="2:15" ht="14.25">
      <c r="B65" s="14" t="str">
        <f>+B56 &amp;" Diversions"</f>
        <v>Node 12.04 Diversions</v>
      </c>
      <c r="C65" s="13"/>
      <c r="D65" s="534"/>
      <c r="E65" s="534"/>
      <c r="F65" s="534"/>
      <c r="G65" s="534"/>
      <c r="H65" s="54">
        <f>MIN(VLOOKUP($B56,'Diversion Data'!$B$3:$O$227,7,FALSE),(H62-H64))</f>
        <v>0</v>
      </c>
      <c r="I65" s="54">
        <f>MIN(VLOOKUP($B56,'Diversion Data'!$B$3:$O$227,8,FALSE),(I62-I64))</f>
        <v>0</v>
      </c>
      <c r="J65" s="54">
        <f>MIN(VLOOKUP($B56,'Diversion Data'!$B$3:$O$227,9,FALSE),(J62-J64))</f>
        <v>0</v>
      </c>
      <c r="K65" s="54">
        <f>MIN(VLOOKUP($B56,'Diversion Data'!$B$3:$O$227,10,FALSE),(K62-K64))</f>
        <v>0</v>
      </c>
      <c r="L65" s="54">
        <f>MIN(VLOOKUP($B56,'Diversion Data'!$B$3:$O$227,11,FALSE),(L62-L64))</f>
        <v>0</v>
      </c>
      <c r="M65" s="534"/>
      <c r="N65" s="534"/>
      <c r="O65" s="541"/>
    </row>
    <row r="66" spans="2:15" ht="15.75" thickBot="1">
      <c r="B66" s="24" t="str">
        <f>"Total " &amp; (B56) &amp;" Outflow"</f>
        <v>Total Node 12.04 Outflow</v>
      </c>
      <c r="C66" s="23"/>
      <c r="D66" s="539"/>
      <c r="E66" s="539"/>
      <c r="F66" s="539"/>
      <c r="G66" s="539"/>
      <c r="H66" s="27">
        <f t="shared" ref="H66:L66" si="17">SUM(H64:H65)</f>
        <v>1442.9399254654772</v>
      </c>
      <c r="I66" s="27">
        <f t="shared" si="17"/>
        <v>2986.4051584001982</v>
      </c>
      <c r="J66" s="27">
        <f t="shared" si="17"/>
        <v>3628.5360542986355</v>
      </c>
      <c r="K66" s="27">
        <f t="shared" si="17"/>
        <v>2102.810746697678</v>
      </c>
      <c r="L66" s="27">
        <f t="shared" si="17"/>
        <v>1116.7539782464478</v>
      </c>
      <c r="M66" s="539"/>
      <c r="N66" s="539"/>
      <c r="O66" s="546"/>
    </row>
    <row r="67" spans="2:15" ht="15.75" thickBot="1">
      <c r="B67" s="24" t="str">
        <f>(B56)&amp;" NET Flow (In - Out)"</f>
        <v>Node 12.04 NET Flow (In - Out)</v>
      </c>
      <c r="C67" s="23"/>
      <c r="D67" s="540">
        <f t="shared" ref="D67:O67" si="18">MAX(D62-D66,0)</f>
        <v>0</v>
      </c>
      <c r="E67" s="540">
        <f t="shared" si="18"/>
        <v>0</v>
      </c>
      <c r="F67" s="540">
        <f t="shared" si="18"/>
        <v>0</v>
      </c>
      <c r="G67" s="540">
        <f t="shared" si="18"/>
        <v>0</v>
      </c>
      <c r="H67" s="193">
        <f t="shared" si="18"/>
        <v>5823.4409943159708</v>
      </c>
      <c r="I67" s="193">
        <f t="shared" si="18"/>
        <v>6718.408342654945</v>
      </c>
      <c r="J67" s="193">
        <f t="shared" si="18"/>
        <v>688.58675754805699</v>
      </c>
      <c r="K67" s="193">
        <f t="shared" si="18"/>
        <v>1025.0090957824832</v>
      </c>
      <c r="L67" s="193">
        <f t="shared" si="18"/>
        <v>584.83380263413642</v>
      </c>
      <c r="M67" s="540">
        <f t="shared" si="18"/>
        <v>0</v>
      </c>
      <c r="N67" s="540">
        <f t="shared" si="18"/>
        <v>0</v>
      </c>
      <c r="O67" s="547">
        <f t="shared" si="18"/>
        <v>0</v>
      </c>
    </row>
    <row r="68" spans="2:15">
      <c r="D68" s="363"/>
      <c r="E68" s="363"/>
      <c r="F68" s="363"/>
      <c r="G68" s="363"/>
      <c r="H68" s="363"/>
      <c r="I68" s="363"/>
      <c r="J68" s="363"/>
      <c r="K68" s="363"/>
      <c r="L68" s="363"/>
      <c r="M68" s="363"/>
      <c r="N68" s="363"/>
      <c r="O68" s="363"/>
    </row>
    <row r="69" spans="2:15" ht="20.25">
      <c r="B69" s="285" t="s">
        <v>564</v>
      </c>
      <c r="C69" s="285"/>
      <c r="D69" s="285"/>
      <c r="E69" s="285"/>
      <c r="F69" s="285"/>
      <c r="G69" s="285"/>
      <c r="H69" s="285"/>
      <c r="I69" s="285"/>
      <c r="J69" s="285"/>
      <c r="K69" s="285"/>
      <c r="L69" s="285"/>
      <c r="M69" s="285"/>
      <c r="N69" s="285"/>
      <c r="O69" s="285"/>
    </row>
    <row r="71" spans="2:15">
      <c r="D71" s="548"/>
      <c r="E71" s="517" t="s">
        <v>567</v>
      </c>
    </row>
    <row r="72" spans="2:15">
      <c r="D72" s="569"/>
      <c r="E72" s="569"/>
    </row>
  </sheetData>
  <sheetProtection objects="1" scenarios="1"/>
  <mergeCells count="1">
    <mergeCell ref="D1:O1"/>
  </mergeCells>
  <phoneticPr fontId="0" type="noConversion"/>
  <conditionalFormatting sqref="D15:O15 D28:O28 D41:O41 D54:O54 D67:O67">
    <cfRule type="cellIs" dxfId="1" priority="1" stopIfTrue="1" operator="lessThanOrEqual">
      <formula>0</formula>
    </cfRule>
  </conditionalFormatting>
  <pageMargins left="0.75" right="0.75" top="1" bottom="1" header="0.5" footer="0.5"/>
  <pageSetup scale="65" fitToHeight="2" orientation="landscape" horizontalDpi="4294967292" r:id="rId1"/>
  <headerFooter alignWithMargins="0">
    <oddHeader>&amp;C&amp;"Arial,Bold"&amp;12Bear River Spreadsheet Model
Dry Year Conditions</oddHeader>
    <oddFooter>&amp;L&amp;F &amp;A&amp;RAPPENDIX A (Page &amp;P of &amp;N)</oddFooter>
  </headerFooter>
  <rowBreaks count="1" manualBreakCount="1">
    <brk id="42" max="15" man="1"/>
  </rowBreaks>
  <legacyDrawing r:id="rId2"/>
</worksheet>
</file>

<file path=xl/worksheets/sheet16.xml><?xml version="1.0" encoding="utf-8"?>
<worksheet xmlns="http://schemas.openxmlformats.org/spreadsheetml/2006/main" xmlns:r="http://schemas.openxmlformats.org/officeDocument/2006/relationships">
  <sheetPr codeName="Sheet2">
    <pageSetUpPr autoPageBreaks="0"/>
  </sheetPr>
  <dimension ref="A1:AW734"/>
  <sheetViews>
    <sheetView showGridLines="0" zoomScale="75" zoomScaleNormal="75" workbookViewId="0">
      <pane ySplit="2" topLeftCell="A649" activePane="bottomLeft" state="frozen"/>
      <selection activeCell="B26" sqref="B26"/>
      <selection pane="bottomLeft" activeCell="I680" sqref="I680"/>
    </sheetView>
  </sheetViews>
  <sheetFormatPr defaultRowHeight="15"/>
  <cols>
    <col min="1" max="1" width="4" style="87" customWidth="1"/>
    <col min="2" max="2" width="36.42578125" style="88" customWidth="1"/>
    <col min="3" max="3" width="23.28515625" style="88" customWidth="1"/>
    <col min="4" max="4" width="15.7109375" style="88" customWidth="1"/>
    <col min="5" max="5" width="11.140625" style="447" customWidth="1"/>
    <col min="6" max="8" width="9.5703125" style="447" bestFit="1" customWidth="1"/>
    <col min="9" max="9" width="11" style="447" bestFit="1" customWidth="1"/>
    <col min="10" max="10" width="11.28515625" style="447" bestFit="1" customWidth="1"/>
    <col min="11" max="11" width="11" style="447" bestFit="1" customWidth="1"/>
    <col min="12" max="13" width="10.5703125" style="447" bestFit="1" customWidth="1"/>
    <col min="14" max="16" width="9.5703125" style="447" bestFit="1" customWidth="1"/>
    <col min="17" max="17" width="9.5703125" style="87" bestFit="1" customWidth="1"/>
    <col min="18" max="18" width="10" style="87" bestFit="1" customWidth="1"/>
    <col min="19" max="29" width="9.140625" style="87"/>
    <col min="30" max="30" width="12.28515625" style="87" customWidth="1"/>
    <col min="31" max="31" width="23.28515625" style="87" customWidth="1"/>
    <col min="32" max="32" width="15.7109375" style="87" customWidth="1"/>
    <col min="33" max="33" width="11.140625" style="87" customWidth="1"/>
    <col min="34" max="36" width="9.42578125" style="87" bestFit="1" customWidth="1"/>
    <col min="37" max="39" width="14.42578125" style="87" bestFit="1" customWidth="1"/>
    <col min="40" max="41" width="11.5703125" style="87" bestFit="1" customWidth="1"/>
    <col min="42" max="44" width="9.42578125" style="87" bestFit="1" customWidth="1"/>
    <col min="45" max="16384" width="9.140625" style="87"/>
  </cols>
  <sheetData>
    <row r="1" spans="1:44" ht="56.25" customHeight="1" thickBot="1">
      <c r="D1" s="674" t="s">
        <v>201</v>
      </c>
      <c r="E1" s="674"/>
      <c r="F1" s="674"/>
      <c r="G1" s="674"/>
      <c r="H1" s="674"/>
      <c r="I1" s="680" t="s">
        <v>541</v>
      </c>
      <c r="J1" s="680"/>
      <c r="K1" s="680"/>
      <c r="L1" s="680"/>
      <c r="M1" s="680"/>
      <c r="AG1" s="145"/>
    </row>
    <row r="2" spans="1:44" ht="30.75" thickBot="1">
      <c r="B2" s="89"/>
      <c r="E2" s="448" t="s">
        <v>0</v>
      </c>
      <c r="F2" s="448" t="s">
        <v>1</v>
      </c>
      <c r="G2" s="448" t="s">
        <v>2</v>
      </c>
      <c r="H2" s="448" t="s">
        <v>3</v>
      </c>
      <c r="I2" s="448" t="s">
        <v>4</v>
      </c>
      <c r="J2" s="448" t="s">
        <v>5</v>
      </c>
      <c r="K2" s="448" t="s">
        <v>6</v>
      </c>
      <c r="L2" s="448" t="s">
        <v>7</v>
      </c>
      <c r="M2" s="448" t="s">
        <v>8</v>
      </c>
      <c r="N2" s="448" t="s">
        <v>9</v>
      </c>
      <c r="O2" s="448" t="s">
        <v>10</v>
      </c>
      <c r="P2" s="448" t="s">
        <v>11</v>
      </c>
      <c r="AD2" s="659" t="s">
        <v>208</v>
      </c>
      <c r="AE2" s="659"/>
      <c r="AF2" s="659"/>
      <c r="AG2" s="659"/>
      <c r="AH2" s="659"/>
      <c r="AI2" s="659"/>
      <c r="AJ2" s="659"/>
      <c r="AK2" s="659"/>
      <c r="AL2" s="659"/>
      <c r="AM2" s="659"/>
      <c r="AN2" s="659"/>
      <c r="AO2" s="659"/>
      <c r="AP2" s="659"/>
      <c r="AQ2" s="659"/>
    </row>
    <row r="3" spans="1:44" ht="15.75" customHeight="1">
      <c r="D3" s="84"/>
      <c r="H3" s="449"/>
      <c r="I3" s="449"/>
      <c r="J3" s="449"/>
      <c r="K3" s="449"/>
      <c r="L3" s="449"/>
      <c r="M3" s="449"/>
      <c r="N3" s="449"/>
      <c r="O3" s="449"/>
      <c r="P3" s="449"/>
      <c r="Q3" s="424"/>
      <c r="R3" s="424"/>
      <c r="S3" s="424"/>
    </row>
    <row r="4" spans="1:44" ht="26.25">
      <c r="B4" s="675" t="s">
        <v>200</v>
      </c>
      <c r="C4" s="675"/>
      <c r="D4" s="675"/>
      <c r="E4" s="675"/>
      <c r="F4" s="675"/>
      <c r="G4" s="675"/>
      <c r="H4" s="675"/>
      <c r="I4" s="675"/>
      <c r="J4" s="675"/>
    </row>
    <row r="5" spans="1:44" ht="27.75" customHeight="1" thickBot="1">
      <c r="A5" s="142" t="s">
        <v>257</v>
      </c>
      <c r="AE5" s="660" t="s">
        <v>229</v>
      </c>
      <c r="AF5" s="660"/>
      <c r="AG5" s="660"/>
      <c r="AH5" s="660"/>
      <c r="AI5" s="660"/>
      <c r="AJ5" s="660"/>
      <c r="AK5" s="660"/>
      <c r="AL5" s="660"/>
      <c r="AM5" s="660"/>
    </row>
    <row r="6" spans="1:44" ht="15.75" customHeight="1" thickBot="1">
      <c r="B6" s="85" t="s">
        <v>58</v>
      </c>
      <c r="C6" s="284" t="str">
        <f>VLOOKUP(B6,NodeList!$D$5:$E$73,2,FALSE)</f>
        <v>Lannon &amp; Lone Mountain</v>
      </c>
      <c r="D6" s="91"/>
      <c r="E6" s="450"/>
      <c r="F6" s="451"/>
      <c r="G6" s="452"/>
      <c r="H6" s="453" t="s">
        <v>54</v>
      </c>
      <c r="I6" s="68">
        <v>25</v>
      </c>
      <c r="J6" s="454"/>
      <c r="K6" s="454"/>
      <c r="L6" s="454"/>
      <c r="M6" s="454"/>
      <c r="N6" s="454"/>
      <c r="O6" s="454"/>
      <c r="P6" s="455"/>
      <c r="AE6" s="660"/>
      <c r="AF6" s="660"/>
      <c r="AG6" s="660"/>
      <c r="AH6" s="660"/>
      <c r="AI6" s="660"/>
      <c r="AJ6" s="660"/>
      <c r="AK6" s="660"/>
      <c r="AL6" s="660"/>
      <c r="AM6" s="660"/>
    </row>
    <row r="7" spans="1:44" ht="15.75" customHeight="1" thickBot="1">
      <c r="B7" s="94"/>
      <c r="C7" s="66" t="s">
        <v>57</v>
      </c>
      <c r="D7" s="69"/>
      <c r="E7" s="456">
        <f>VLOOKUP($B6,'Diversion Data'!$B$3:$O$227,3,FALSE)</f>
        <v>0</v>
      </c>
      <c r="F7" s="456">
        <f>VLOOKUP($B6,'Diversion Data'!$B$3:$O$227,4,FALSE)</f>
        <v>0</v>
      </c>
      <c r="G7" s="456">
        <f>VLOOKUP($B6,'Diversion Data'!$B$3:$O$227,5,FALSE)</f>
        <v>0</v>
      </c>
      <c r="H7" s="456">
        <f>VLOOKUP($B6,'Diversion Data'!$B$3:$O$227,6,FALSE)</f>
        <v>0</v>
      </c>
      <c r="I7" s="456">
        <f>VLOOKUP($B6,'Diversion Data'!$B$3:$O$227,7,FALSE)</f>
        <v>783.79691711146677</v>
      </c>
      <c r="J7" s="456">
        <f>VLOOKUP($B6,'Diversion Data'!$B$3:$O$227,8,FALSE)</f>
        <v>940.39186782582658</v>
      </c>
      <c r="K7" s="456">
        <f>VLOOKUP($B6,'Diversion Data'!$B$3:$O$227,9,FALSE)</f>
        <v>530.45671204824384</v>
      </c>
      <c r="L7" s="456">
        <f>VLOOKUP($B6,'Diversion Data'!$B$3:$O$227,10,FALSE)</f>
        <v>139.23067744886362</v>
      </c>
      <c r="M7" s="456">
        <f>VLOOKUP($B6,'Diversion Data'!$B$3:$O$227,11,FALSE)</f>
        <v>56.579838640289253</v>
      </c>
      <c r="N7" s="456">
        <f>VLOOKUP($B6,'Diversion Data'!$B$3:$O$227,12,FALSE)</f>
        <v>0</v>
      </c>
      <c r="O7" s="456">
        <f>VLOOKUP($B6,'Diversion Data'!$B$3:$O$227,13,FALSE)</f>
        <v>0</v>
      </c>
      <c r="P7" s="457">
        <f>VLOOKUP($B6,'Diversion Data'!$B$3:$O$227,14,FALSE)</f>
        <v>0</v>
      </c>
      <c r="AE7" s="660"/>
      <c r="AF7" s="660"/>
      <c r="AG7" s="660"/>
      <c r="AH7" s="660"/>
      <c r="AI7" s="660"/>
      <c r="AJ7" s="660"/>
      <c r="AK7" s="660"/>
      <c r="AL7" s="660"/>
      <c r="AM7" s="660"/>
    </row>
    <row r="8" spans="1:44" ht="15.75" customHeight="1" thickBot="1">
      <c r="B8" s="95"/>
      <c r="C8" s="72" t="s">
        <v>56</v>
      </c>
      <c r="D8" s="70"/>
      <c r="E8" s="458">
        <f>VLOOKUP($I6,'Option Tables'!$B$3:$N$19,2,FALSE)*E7</f>
        <v>0</v>
      </c>
      <c r="F8" s="458">
        <f>VLOOKUP($I6,'Option Tables'!$B$3:$N$19,3,FALSE)*F7</f>
        <v>0</v>
      </c>
      <c r="G8" s="458">
        <f>VLOOKUP($I6,'Option Tables'!$B$3:$N$19,4,FALSE)*G7</f>
        <v>0</v>
      </c>
      <c r="H8" s="458">
        <f>VLOOKUP($I6,'Option Tables'!$B$3:$N$19,5,FALSE)*H7</f>
        <v>0</v>
      </c>
      <c r="I8" s="458">
        <f>VLOOKUP($I6,'Option Tables'!$B$3:$N$19,6,FALSE)*I7</f>
        <v>587.84768783360005</v>
      </c>
      <c r="J8" s="458">
        <f>VLOOKUP($I6,'Option Tables'!$B$3:$N$19,7,FALSE)*J7</f>
        <v>705.29390086936996</v>
      </c>
      <c r="K8" s="458">
        <f>VLOOKUP($I6,'Option Tables'!$B$3:$N$19,8,FALSE)*K7</f>
        <v>397.84253403618288</v>
      </c>
      <c r="L8" s="458">
        <f>VLOOKUP($I6,'Option Tables'!$B$3:$N$19,9,FALSE)*L7</f>
        <v>104.42300808664771</v>
      </c>
      <c r="M8" s="458">
        <f>VLOOKUP($I6,'Option Tables'!$B$3:$N$19,10,FALSE)*M7</f>
        <v>42.434878980216936</v>
      </c>
      <c r="N8" s="458">
        <f>VLOOKUP($I6,'Option Tables'!$B$3:$N$19,11,FALSE)*N7</f>
        <v>0</v>
      </c>
      <c r="O8" s="458">
        <f>VLOOKUP($I6,'Option Tables'!$B$3:$N$19,12,FALSE)*O7</f>
        <v>0</v>
      </c>
      <c r="P8" s="459">
        <f>VLOOKUP($I6,'Option Tables'!$B$3:$N$19,13,FALSE)*P7</f>
        <v>0</v>
      </c>
      <c r="Q8" s="140"/>
      <c r="AG8" s="90" t="s">
        <v>0</v>
      </c>
      <c r="AH8" s="90" t="s">
        <v>1</v>
      </c>
      <c r="AI8" s="90" t="s">
        <v>2</v>
      </c>
      <c r="AJ8" s="90" t="s">
        <v>3</v>
      </c>
      <c r="AK8" s="90" t="s">
        <v>4</v>
      </c>
      <c r="AL8" s="90" t="s">
        <v>5</v>
      </c>
      <c r="AM8" s="90" t="s">
        <v>6</v>
      </c>
      <c r="AN8" s="90" t="s">
        <v>7</v>
      </c>
      <c r="AO8" s="90" t="s">
        <v>8</v>
      </c>
      <c r="AP8" s="90" t="s">
        <v>9</v>
      </c>
      <c r="AQ8" s="90" t="s">
        <v>10</v>
      </c>
      <c r="AR8" s="90" t="s">
        <v>11</v>
      </c>
    </row>
    <row r="9" spans="1:44" ht="15.75" customHeight="1" thickBot="1">
      <c r="B9" s="95"/>
      <c r="C9" s="66"/>
      <c r="D9" s="62"/>
      <c r="E9" s="355"/>
      <c r="F9" s="355"/>
      <c r="G9" s="355"/>
      <c r="H9" s="355"/>
      <c r="I9" s="355"/>
      <c r="J9" s="355"/>
      <c r="K9" s="355"/>
      <c r="L9" s="355"/>
      <c r="M9" s="460"/>
      <c r="N9" s="460"/>
      <c r="O9" s="460"/>
      <c r="P9" s="461"/>
      <c r="Q9" s="96"/>
      <c r="AD9" s="85" t="s">
        <v>209</v>
      </c>
      <c r="AE9" s="86" t="s">
        <v>210</v>
      </c>
      <c r="AF9" s="91"/>
      <c r="AG9" s="669" t="s">
        <v>54</v>
      </c>
      <c r="AH9" s="669"/>
      <c r="AI9" s="669"/>
      <c r="AJ9" s="670"/>
      <c r="AK9" s="111">
        <v>25</v>
      </c>
      <c r="AL9" s="92"/>
      <c r="AM9" s="92"/>
      <c r="AN9" s="92"/>
      <c r="AO9" s="92"/>
      <c r="AP9" s="92"/>
      <c r="AQ9" s="92"/>
      <c r="AR9" s="93"/>
    </row>
    <row r="10" spans="1:44" ht="15.75" customHeight="1" thickBot="1">
      <c r="B10" s="254" t="s">
        <v>73</v>
      </c>
      <c r="C10" s="105" t="s">
        <v>73</v>
      </c>
      <c r="D10" s="105" t="s">
        <v>74</v>
      </c>
      <c r="E10" s="462"/>
      <c r="F10" s="463"/>
      <c r="G10" s="464"/>
      <c r="H10" s="464" t="s">
        <v>55</v>
      </c>
      <c r="I10" s="68">
        <v>1</v>
      </c>
      <c r="J10" s="460"/>
      <c r="K10" s="460"/>
      <c r="L10" s="460"/>
      <c r="M10" s="460"/>
      <c r="N10" s="460"/>
      <c r="O10" s="460"/>
      <c r="P10" s="461"/>
      <c r="AD10" s="94"/>
      <c r="AE10" s="231" t="s">
        <v>57</v>
      </c>
      <c r="AF10" s="69"/>
      <c r="AG10" s="107">
        <v>0</v>
      </c>
      <c r="AH10" s="107">
        <v>0</v>
      </c>
      <c r="AI10" s="107">
        <v>0</v>
      </c>
      <c r="AJ10" s="107">
        <v>0</v>
      </c>
      <c r="AK10" s="107">
        <v>882.64462809917347</v>
      </c>
      <c r="AL10" s="107">
        <v>988.76033057851237</v>
      </c>
      <c r="AM10" s="107">
        <v>580.16528925619832</v>
      </c>
      <c r="AN10" s="107">
        <v>146.77685950413223</v>
      </c>
      <c r="AO10" s="107">
        <v>88.760330578512367</v>
      </c>
      <c r="AP10" s="107">
        <v>0</v>
      </c>
      <c r="AQ10" s="107">
        <v>0</v>
      </c>
      <c r="AR10" s="162">
        <v>0</v>
      </c>
    </row>
    <row r="11" spans="1:44" ht="15.75" customHeight="1">
      <c r="B11" s="255" t="str">
        <f>"("&amp;VLOOKUP(C11,NodeList!$D$5:$E$68,2,FALSE)&amp;")"</f>
        <v>(Lewis)</v>
      </c>
      <c r="C11" s="256" t="s">
        <v>63</v>
      </c>
      <c r="D11" s="388">
        <v>0.3</v>
      </c>
      <c r="E11" s="355">
        <f>$D11*((E8*(VLOOKUP(I10,'Option Tables'!$B$23:$F$26,2)))+(P8*(VLOOKUP(I10,'Option Tables'!$B$23:$F$26,3)))+(O8*(VLOOKUP(I10,'Option Tables'!$B$23:$F$26,4))+(N8*(VLOOKUP(I10,'Option Tables'!$B$23:$F$26,5)))))</f>
        <v>0</v>
      </c>
      <c r="F11" s="355">
        <f>$D11*((F8*(VLOOKUP(I10,'Option Tables'!$B$23:$F$26,2)))+(E8*(VLOOKUP(I10,'Option Tables'!$B$23:$F$26,3)))+(P8*(VLOOKUP(I10,'Option Tables'!$B$23:$F$26,4))+(O8*(VLOOKUP(I10,'Option Tables'!$B$23:$F$26,5)))))</f>
        <v>0</v>
      </c>
      <c r="G11" s="355">
        <f>$D11*((G8*(VLOOKUP(I10,'Option Tables'!$B$23:$F$26,2)))+(F8*(VLOOKUP(I10,'Option Tables'!$B$23:$F$26,3)))+(E8*(VLOOKUP(I10,'Option Tables'!$B$23:$F$26,4))+(P8*(VLOOKUP(I10,'Option Tables'!$B$23:$F$26,5)))))</f>
        <v>0</v>
      </c>
      <c r="H11" s="355">
        <f>$D11*((H8*(VLOOKUP(I10,'Option Tables'!$B$23:$F$26,2)))+(G8*(VLOOKUP(I10,'Option Tables'!$B$23:$F$26,3)))+(F8*(VLOOKUP(I10,'Option Tables'!$B$23:$F$26,4))+(E8*(VLOOKUP(I10,'Option Tables'!$B$23:$F$26,5)))))</f>
        <v>0</v>
      </c>
      <c r="I11" s="355">
        <f>$D11*((I8*(VLOOKUP(I10,'Option Tables'!$B$23:$F$26,2)))+(H8*(VLOOKUP(I10,'Option Tables'!$B$23:$F$26,3)))+(G8*(VLOOKUP(I10,'Option Tables'!$B$23:$F$26,4))+(F8*(VLOOKUP(I10,'Option Tables'!$B$23:$F$26,5)))))</f>
        <v>88.177153175040004</v>
      </c>
      <c r="J11" s="355">
        <f>$D11*((J8*(VLOOKUP(I10,'Option Tables'!$B$23:$F$26,2)))+(I8*(VLOOKUP(I10,'Option Tables'!$B$23:$F$26,3)))+(H8*(VLOOKUP(I10,'Option Tables'!$B$23:$F$26,4))+(G8*(VLOOKUP(I10,'Option Tables'!$B$23:$F$26,5)))))</f>
        <v>149.88266171792549</v>
      </c>
      <c r="K11" s="355">
        <f>$D11*((K8*(VLOOKUP(I10,'Option Tables'!$B$23:$F$26,2)))+(J8*(VLOOKUP(I10,'Option Tables'!$B$23:$F$26,3)))+(I8*(VLOOKUP(I10,'Option Tables'!$B$23:$F$26,4))+(H8*(VLOOKUP(I10,'Option Tables'!$B$23:$F$26,5)))))</f>
        <v>139.02656862314217</v>
      </c>
      <c r="L11" s="355">
        <f>$D11*((L8*(VLOOKUP(I10,'Option Tables'!$B$23:$F$26,2)))+(K8*(VLOOKUP(I10,'Option Tables'!$B$23:$F$26,3)))+(J8*(VLOOKUP(I10,'Option Tables'!$B$23:$F$26,4))+(I8*(VLOOKUP(I10,'Option Tables'!$B$23:$F$26,5)))))</f>
        <v>94.875297439840523</v>
      </c>
      <c r="M11" s="355">
        <f>$D11*((M8*(VLOOKUP(I10,'Option Tables'!$B$23:$F$26,2)))+(L8*(VLOOKUP(I10,'Option Tables'!$B$23:$F$26,3)))+(K8*(VLOOKUP(I10,'Option Tables'!$B$23:$F$26,4))+(J8*(VLOOKUP(I10,'Option Tables'!$B$23:$F$26,5)))))</f>
        <v>53.258688511240443</v>
      </c>
      <c r="N11" s="355">
        <f>$D11*((N8*(VLOOKUP(I10,'Option Tables'!$B$23:$F$26,2)))+(M8*(VLOOKUP(I10,'Option Tables'!$B$23:$F$26,3)))+(L8*(VLOOKUP(I10,'Option Tables'!$B$23:$F$26,4))+(K8*(VLOOKUP(I10,'Option Tables'!$B$23:$F$26,5)))))</f>
        <v>19.816927308500905</v>
      </c>
      <c r="O11" s="355">
        <f>$D11*((O8*(VLOOKUP(I10,'Option Tables'!$B$23:$F$26,2)))+(N8*(VLOOKUP(I10,'Option Tables'!$B$23:$F$26,3)))+(M8*(VLOOKUP(I10,'Option Tables'!$B$23:$F$26,4))+(L8*(VLOOKUP(I10,'Option Tables'!$B$23:$F$26,5)))))</f>
        <v>5.0422597967091933</v>
      </c>
      <c r="P11" s="465">
        <f>$D11*((P8*(VLOOKUP(I10,'Option Tables'!$B$23:$F$26,2)))+(O8*(VLOOKUP(I10,'Option Tables'!$B$23:$F$26,3)))+(N8*(VLOOKUP(I10,'Option Tables'!$B$23:$F$26,4))+(M8*(VLOOKUP(I10,'Option Tables'!$B$23:$F$26,5)))))</f>
        <v>1.2730463694065079</v>
      </c>
      <c r="Q11" s="140"/>
      <c r="AD11" s="95"/>
      <c r="AE11" s="232" t="s">
        <v>56</v>
      </c>
      <c r="AF11" s="70"/>
      <c r="AG11" s="311">
        <v>0</v>
      </c>
      <c r="AH11" s="311">
        <v>0</v>
      </c>
      <c r="AI11" s="311">
        <v>0</v>
      </c>
      <c r="AJ11" s="311">
        <v>0</v>
      </c>
      <c r="AK11" s="311">
        <v>661.98347107438008</v>
      </c>
      <c r="AL11" s="311">
        <v>741.57024793388427</v>
      </c>
      <c r="AM11" s="311">
        <v>435.12396694214874</v>
      </c>
      <c r="AN11" s="311">
        <v>110.08264462809917</v>
      </c>
      <c r="AO11" s="311">
        <v>66.570247933884275</v>
      </c>
      <c r="AP11" s="311">
        <v>0</v>
      </c>
      <c r="AQ11" s="311">
        <v>0</v>
      </c>
      <c r="AR11" s="387">
        <v>0</v>
      </c>
    </row>
    <row r="12" spans="1:44" ht="15.75" customHeight="1" thickBot="1">
      <c r="B12" s="255" t="str">
        <f>"("&amp;VLOOKUP(C12,NodeList!$D$5:$E$68,2,FALSE)&amp;")"</f>
        <v>(Confluence Mill Cr.)</v>
      </c>
      <c r="C12" s="256" t="s">
        <v>319</v>
      </c>
      <c r="D12" s="388">
        <v>0.7</v>
      </c>
      <c r="E12" s="355">
        <f>$D12*((E8*(VLOOKUP(I10,'Option Tables'!$B$23:$F$26,2)))+(P8*(VLOOKUP(I10,'Option Tables'!$B$23:$F$26,3)))+(O8*(VLOOKUP(I10,'Option Tables'!$B$23:$F$26,4))+(N8*(VLOOKUP(I10,'Option Tables'!$B$23:$F$26,5)))))</f>
        <v>0</v>
      </c>
      <c r="F12" s="355">
        <f>$D12*((F8*(VLOOKUP(I10,'Option Tables'!$B$23:$F$26,2)))+(E8*(VLOOKUP(I10,'Option Tables'!$B$23:$F$26,3)))+(P8*(VLOOKUP(I10,'Option Tables'!$B$23:$F$26,4))+(O8*(VLOOKUP(I10,'Option Tables'!$B$23:$F$26,5)))))</f>
        <v>0</v>
      </c>
      <c r="G12" s="355">
        <f>$D12*((G8*(VLOOKUP(I10,'Option Tables'!$B$23:$F$26,2)))+(F8*(VLOOKUP(I10,'Option Tables'!$B$23:$F$26,3)))+(E8*(VLOOKUP(I10,'Option Tables'!$B$23:$F$26,4))+(P8*(VLOOKUP(I10,'Option Tables'!$B$23:$F$26,5)))))</f>
        <v>0</v>
      </c>
      <c r="H12" s="355">
        <f>$D12*((H8*(VLOOKUP(I10,'Option Tables'!$B$23:$F$26,2)))+(G8*(VLOOKUP(I10,'Option Tables'!$B$23:$F$26,3)))+(F8*(VLOOKUP(I10,'Option Tables'!$B$23:$F$26,4))+(E8*(VLOOKUP(I10,'Option Tables'!$B$23:$F$26,5)))))</f>
        <v>0</v>
      </c>
      <c r="I12" s="355">
        <f>$D12*((I8*(VLOOKUP(I10,'Option Tables'!$B$23:$F$26,2)))+(H8*(VLOOKUP(I10,'Option Tables'!$B$23:$F$26,3)))+(G8*(VLOOKUP(I10,'Option Tables'!$B$23:$F$26,4))+(F8*(VLOOKUP(I10,'Option Tables'!$B$23:$F$26,5)))))</f>
        <v>205.74669074176001</v>
      </c>
      <c r="J12" s="355">
        <f>$D12*((J8*(VLOOKUP(I10,'Option Tables'!$B$23:$F$26,2)))+(I8*(VLOOKUP(I10,'Option Tables'!$B$23:$F$26,3)))+(H8*(VLOOKUP(I10,'Option Tables'!$B$23:$F$26,4))+(G8*(VLOOKUP(I10,'Option Tables'!$B$23:$F$26,5)))))</f>
        <v>349.72621067515945</v>
      </c>
      <c r="K12" s="355">
        <f>$D12*((K8*(VLOOKUP(I10,'Option Tables'!$B$23:$F$26,2)))+(J8*(VLOOKUP(I10,'Option Tables'!$B$23:$F$26,3)))+(I8*(VLOOKUP(I10,'Option Tables'!$B$23:$F$26,4))+(H8*(VLOOKUP(I10,'Option Tables'!$B$23:$F$26,5)))))</f>
        <v>324.39532678733173</v>
      </c>
      <c r="L12" s="355">
        <f>$D12*((L8*(VLOOKUP(I10,'Option Tables'!$B$23:$F$26,2)))+(K8*(VLOOKUP(I10,'Option Tables'!$B$23:$F$26,3)))+(J8*(VLOOKUP(I10,'Option Tables'!$B$23:$F$26,4))+(I8*(VLOOKUP(I10,'Option Tables'!$B$23:$F$26,5)))))</f>
        <v>221.37569402629455</v>
      </c>
      <c r="M12" s="355">
        <f>$D12*((M8*(VLOOKUP(I10,'Option Tables'!$B$23:$F$26,2)))+(L8*(VLOOKUP(I10,'Option Tables'!$B$23:$F$26,3)))+(K8*(VLOOKUP(I10,'Option Tables'!$B$23:$F$26,4))+(J8*(VLOOKUP(I10,'Option Tables'!$B$23:$F$26,5)))))</f>
        <v>124.27027319289436</v>
      </c>
      <c r="N12" s="355">
        <f>$D12*((N8*(VLOOKUP(I10,'Option Tables'!$B$23:$F$26,2)))+(M8*(VLOOKUP(I10,'Option Tables'!$B$23:$F$26,3)))+(L8*(VLOOKUP(I10,'Option Tables'!$B$23:$F$26,4))+(K8*(VLOOKUP(I10,'Option Tables'!$B$23:$F$26,5)))))</f>
        <v>46.239497053168776</v>
      </c>
      <c r="O12" s="355">
        <f>$D12*((O8*(VLOOKUP(I10,'Option Tables'!$B$23:$F$26,2)))+(N8*(VLOOKUP(I10,'Option Tables'!$B$23:$F$26,3)))+(M8*(VLOOKUP(I10,'Option Tables'!$B$23:$F$26,4))+(L8*(VLOOKUP(I10,'Option Tables'!$B$23:$F$26,5)))))</f>
        <v>11.765272858988117</v>
      </c>
      <c r="P12" s="465">
        <f>$D12*((P8*(VLOOKUP(I10,'Option Tables'!$B$23:$F$26,2)))+(O8*(VLOOKUP(I10,'Option Tables'!$B$23:$F$26,3)))+(N8*(VLOOKUP(I10,'Option Tables'!$B$23:$F$26,4))+(M8*(VLOOKUP(I10,'Option Tables'!$B$23:$F$26,5)))))</f>
        <v>2.9704415286151851</v>
      </c>
      <c r="AD12" s="95"/>
      <c r="AE12" s="66"/>
      <c r="AF12" s="62"/>
      <c r="AG12" s="63"/>
      <c r="AH12" s="63"/>
      <c r="AI12" s="63"/>
      <c r="AJ12" s="63"/>
      <c r="AK12" s="63"/>
      <c r="AL12" s="63"/>
      <c r="AM12" s="63"/>
      <c r="AN12" s="63"/>
      <c r="AO12" s="64"/>
      <c r="AP12" s="64"/>
      <c r="AQ12" s="64"/>
      <c r="AR12" s="65"/>
    </row>
    <row r="13" spans="1:44" ht="15.75" customHeight="1" thickBot="1">
      <c r="B13" s="255"/>
      <c r="C13" s="256"/>
      <c r="D13" s="388">
        <v>0</v>
      </c>
      <c r="E13" s="355">
        <f>$D13*((E8*(VLOOKUP(I10,'Option Tables'!$B$23:$F$26,2)))+(P8*(VLOOKUP(I10,'Option Tables'!$B$23:$F$26,3)))+(O8*(VLOOKUP(I10,'Option Tables'!$B$23:$F$26,4))+(N8*(VLOOKUP(I10,'Option Tables'!$B$23:$F$26,5)))))</f>
        <v>0</v>
      </c>
      <c r="F13" s="355">
        <f>$D13*((F8*(VLOOKUP(I10,'Option Tables'!$B$23:$F$26,2)))+(E8*(VLOOKUP(I10,'Option Tables'!$B$23:$F$26,3)))+(P8*(VLOOKUP(I10,'Option Tables'!$B$23:$F$26,4))+(O8*(VLOOKUP(I10,'Option Tables'!$B$23:$F$26,5)))))</f>
        <v>0</v>
      </c>
      <c r="G13" s="355">
        <f>$D13*((G8*(VLOOKUP(I10,'Option Tables'!$B$23:$F$26,2)))+(F8*(VLOOKUP(I10,'Option Tables'!$B$23:$F$26,3)))+(E8*(VLOOKUP(I10,'Option Tables'!$B$23:$F$26,4))+(P8*(VLOOKUP(I10,'Option Tables'!$B$23:$F$26,5)))))</f>
        <v>0</v>
      </c>
      <c r="H13" s="355">
        <f>$D13*((H8*(VLOOKUP(I10,'Option Tables'!$B$23:$F$26,2)))+(G8*(VLOOKUP(I10,'Option Tables'!$B$23:$F$26,3)))+(F8*(VLOOKUP(I10,'Option Tables'!$B$23:$F$26,4))+(E8*(VLOOKUP(I10,'Option Tables'!$B$23:$F$26,5)))))</f>
        <v>0</v>
      </c>
      <c r="I13" s="355">
        <f>$D13*((I8*(VLOOKUP(I10,'Option Tables'!$B$23:$F$26,2)))+(H8*(VLOOKUP(I10,'Option Tables'!$B$23:$F$26,3)))+(G8*(VLOOKUP(I10,'Option Tables'!$B$23:$F$26,4))+(F8*(VLOOKUP(I10,'Option Tables'!$B$23:$F$26,5)))))</f>
        <v>0</v>
      </c>
      <c r="J13" s="355">
        <f>$D13*((J8*(VLOOKUP(I10,'Option Tables'!$B$23:$F$26,2)))+(I8*(VLOOKUP(I10,'Option Tables'!$B$23:$F$26,3)))+(H8*(VLOOKUP(I10,'Option Tables'!$B$23:$F$26,4))+(G8*(VLOOKUP(I10,'Option Tables'!$B$23:$F$26,5)))))</f>
        <v>0</v>
      </c>
      <c r="K13" s="355">
        <f>$D13*((K8*(VLOOKUP(I10,'Option Tables'!$B$23:$F$26,2)))+(J8*(VLOOKUP(I10,'Option Tables'!$B$23:$F$26,3)))+(I8*(VLOOKUP(I10,'Option Tables'!$B$23:$F$26,4))+(H8*(VLOOKUP(I10,'Option Tables'!$B$23:$F$26,5)))))</f>
        <v>0</v>
      </c>
      <c r="L13" s="355">
        <f>$D13*((L8*(VLOOKUP(I10,'Option Tables'!$B$23:$F$26,2)))+(K8*(VLOOKUP(I10,'Option Tables'!$B$23:$F$26,3)))+(J8*(VLOOKUP(I10,'Option Tables'!$B$23:$F$26,4))+(I8*(VLOOKUP(I10,'Option Tables'!$B$23:$F$26,5)))))</f>
        <v>0</v>
      </c>
      <c r="M13" s="355">
        <f>$D13*((M8*(VLOOKUP(I10,'Option Tables'!$B$23:$F$26,2)))+(L8*(VLOOKUP(I10,'Option Tables'!$B$23:$F$26,3)))+(K8*(VLOOKUP(I10,'Option Tables'!$B$23:$F$26,4))+(J8*(VLOOKUP(I10,'Option Tables'!$B$23:$F$26,5)))))</f>
        <v>0</v>
      </c>
      <c r="N13" s="355">
        <f>$D13*((N8*(VLOOKUP(I10,'Option Tables'!$B$23:$F$26,2)))+(M8*(VLOOKUP(I10,'Option Tables'!$B$23:$F$26,3)))+(L8*(VLOOKUP(I10,'Option Tables'!$B$23:$F$26,4))+(K8*(VLOOKUP(I10,'Option Tables'!$B$23:$F$26,5)))))</f>
        <v>0</v>
      </c>
      <c r="O13" s="355">
        <f>$D13*((O8*(VLOOKUP(I10,'Option Tables'!$B$23:$F$26,2)))+(N8*(VLOOKUP(I10,'Option Tables'!$B$23:$F$26,3)))+(M8*(VLOOKUP(I10,'Option Tables'!$B$23:$F$26,4))+(L8*(VLOOKUP(I10,'Option Tables'!$B$23:$F$26,5)))))</f>
        <v>0</v>
      </c>
      <c r="P13" s="465">
        <f>$D13*((P8*(VLOOKUP(I10,'Option Tables'!$B$23:$F$26,2)))+(O8*(VLOOKUP(I10,'Option Tables'!$B$23:$F$26,3)))+(N8*(VLOOKUP(I10,'Option Tables'!$B$23:$F$26,4))+(M8*(VLOOKUP(I10,'Option Tables'!$B$23:$F$26,5)))))</f>
        <v>0</v>
      </c>
      <c r="AD13" s="95"/>
      <c r="AE13" s="233" t="s">
        <v>73</v>
      </c>
      <c r="AF13" s="233" t="s">
        <v>74</v>
      </c>
      <c r="AG13" s="667" t="s">
        <v>55</v>
      </c>
      <c r="AH13" s="667"/>
      <c r="AI13" s="667"/>
      <c r="AJ13" s="668"/>
      <c r="AK13" s="68">
        <v>1</v>
      </c>
      <c r="AL13" s="64"/>
      <c r="AM13" s="64"/>
      <c r="AN13" s="64"/>
      <c r="AO13" s="64"/>
      <c r="AP13" s="64"/>
      <c r="AQ13" s="64"/>
      <c r="AR13" s="65"/>
    </row>
    <row r="14" spans="1:44" ht="15.75" customHeight="1">
      <c r="B14" s="95"/>
      <c r="C14" s="256"/>
      <c r="D14" s="388">
        <v>0</v>
      </c>
      <c r="E14" s="355">
        <f>$D14*((E8*(VLOOKUP(I10,'Option Tables'!$B$23:$F$26,2)))+(P8*(VLOOKUP(I10,'Option Tables'!$B$23:$F$26,3)))+(O8*(VLOOKUP(I10,'Option Tables'!$B$23:$F$26,4))+(N8*(VLOOKUP(I10,'Option Tables'!$B$23:$F$26,5)))))</f>
        <v>0</v>
      </c>
      <c r="F14" s="355">
        <f>$D14*((F8*(VLOOKUP(I10,'Option Tables'!$B$23:$F$26,2)))+(E8*(VLOOKUP(I10,'Option Tables'!$B$23:$F$26,3)))+(P8*(VLOOKUP(I10,'Option Tables'!$B$23:$F$26,4))+(O8*(VLOOKUP(I10,'Option Tables'!$B$23:$F$26,5)))))</f>
        <v>0</v>
      </c>
      <c r="G14" s="355">
        <f>$D14*((G8*(VLOOKUP(I10,'Option Tables'!$B$23:$F$26,2)))+(F8*(VLOOKUP(I10,'Option Tables'!$B$23:$F$26,3)))+(E8*(VLOOKUP(I10,'Option Tables'!$B$23:$F$26,4))+(P8*(VLOOKUP(I10,'Option Tables'!$B$23:$F$26,5)))))</f>
        <v>0</v>
      </c>
      <c r="H14" s="355">
        <f>$D14*((H8*(VLOOKUP(I10,'Option Tables'!$B$23:$F$26,2)))+(G8*(VLOOKUP(I10,'Option Tables'!$B$23:$F$26,3)))+(F8*(VLOOKUP(I10,'Option Tables'!$B$23:$F$26,4))+(E8*(VLOOKUP(I10,'Option Tables'!$B$23:$F$26,5)))))</f>
        <v>0</v>
      </c>
      <c r="I14" s="355">
        <f>$D14*((I8*(VLOOKUP(I10,'Option Tables'!$B$23:$F$26,2)))+(H8*(VLOOKUP(I10,'Option Tables'!$B$23:$F$26,3)))+(G8*(VLOOKUP(I10,'Option Tables'!$B$23:$F$26,4))+(F8*(VLOOKUP(I10,'Option Tables'!$B$23:$F$26,5)))))</f>
        <v>0</v>
      </c>
      <c r="J14" s="355">
        <f>$D14*((J8*(VLOOKUP(I10,'Option Tables'!$B$23:$F$26,2)))+(I8*(VLOOKUP(I10,'Option Tables'!$B$23:$F$26,3)))+(H8*(VLOOKUP(I10,'Option Tables'!$B$23:$F$26,4))+(G8*(VLOOKUP(I10,'Option Tables'!$B$23:$F$26,5)))))</f>
        <v>0</v>
      </c>
      <c r="K14" s="355">
        <f>$D14*((K8*(VLOOKUP(I10,'Option Tables'!$B$23:$F$26,2)))+(J8*(VLOOKUP(I10,'Option Tables'!$B$23:$F$26,3)))+(I8*(VLOOKUP(I10,'Option Tables'!$B$23:$F$26,4))+(H8*(VLOOKUP(I10,'Option Tables'!$B$23:$F$26,5)))))</f>
        <v>0</v>
      </c>
      <c r="L14" s="355">
        <f>$D14*((L8*(VLOOKUP(I10,'Option Tables'!$B$23:$F$26,2)))+(K8*(VLOOKUP(I10,'Option Tables'!$B$23:$F$26,3)))+(J8*(VLOOKUP(I10,'Option Tables'!$B$23:$F$26,4))+(I8*(VLOOKUP(I10,'Option Tables'!$B$23:$F$26,5)))))</f>
        <v>0</v>
      </c>
      <c r="M14" s="355">
        <f>$D14*((M8*(VLOOKUP(I10,'Option Tables'!$B$23:$F$26,2)))+(L8*(VLOOKUP(I10,'Option Tables'!$B$23:$F$26,3)))+(K8*(VLOOKUP(I10,'Option Tables'!$B$23:$F$26,4))+(J8*(VLOOKUP(I10,'Option Tables'!$B$23:$F$26,5)))))</f>
        <v>0</v>
      </c>
      <c r="N14" s="355">
        <f>$D14*((N8*(VLOOKUP(I10,'Option Tables'!$B$23:$F$26,2)))+(M8*(VLOOKUP(I10,'Option Tables'!$B$23:$F$26,3)))+(L8*(VLOOKUP(I10,'Option Tables'!$B$23:$F$26,4))+(K8*(VLOOKUP(I10,'Option Tables'!$B$23:$F$26,5)))))</f>
        <v>0</v>
      </c>
      <c r="O14" s="355">
        <f>$D14*((O8*(VLOOKUP(I10,'Option Tables'!$B$23:$F$26,2)))+(N8*(VLOOKUP(I10,'Option Tables'!$B$23:$F$26,3)))+(M8*(VLOOKUP(I10,'Option Tables'!$B$23:$F$26,4))+(L8*(VLOOKUP(I10,'Option Tables'!$B$23:$F$26,5)))))</f>
        <v>0</v>
      </c>
      <c r="P14" s="465">
        <f>$D14*((P8*(VLOOKUP(I10,'Option Tables'!$B$23:$F$26,2)))+(O8*(VLOOKUP(I10,'Option Tables'!$B$23:$F$26,3)))+(N8*(VLOOKUP(I10,'Option Tables'!$B$23:$F$26,4))+(M8*(VLOOKUP(I10,'Option Tables'!$B$23:$F$26,5)))))</f>
        <v>0</v>
      </c>
      <c r="AD14" s="95"/>
      <c r="AE14" s="69" t="s">
        <v>211</v>
      </c>
      <c r="AF14" s="70">
        <v>0.3</v>
      </c>
      <c r="AG14" s="234">
        <v>0</v>
      </c>
      <c r="AH14" s="73">
        <v>0</v>
      </c>
      <c r="AI14" s="73">
        <v>0</v>
      </c>
      <c r="AJ14" s="73">
        <v>0</v>
      </c>
      <c r="AK14" s="73">
        <v>99.297520661157009</v>
      </c>
      <c r="AL14" s="73">
        <v>141.02479338842974</v>
      </c>
      <c r="AM14" s="73">
        <v>148.2880165289256</v>
      </c>
      <c r="AN14" s="73">
        <v>111.57024793388429</v>
      </c>
      <c r="AO14" s="73">
        <v>69.820661157024787</v>
      </c>
      <c r="AP14" s="73">
        <v>24.305578512396693</v>
      </c>
      <c r="AQ14" s="73">
        <v>8.2952479338842959</v>
      </c>
      <c r="AR14" s="74">
        <v>1.9971074380165281</v>
      </c>
    </row>
    <row r="15" spans="1:44" ht="15.75" customHeight="1" thickBot="1">
      <c r="B15" s="97"/>
      <c r="C15" s="144" t="str">
        <f>IF(D15&lt;&gt;1,"Must equal %100","")</f>
        <v/>
      </c>
      <c r="D15" s="71">
        <f>SUM(D11:D14)</f>
        <v>1</v>
      </c>
      <c r="E15" s="466">
        <f>SUM(E11:E14)</f>
        <v>0</v>
      </c>
      <c r="F15" s="466">
        <f>SUM(F11:F14)</f>
        <v>0</v>
      </c>
      <c r="G15" s="466">
        <f t="shared" ref="G15:P15" si="0">SUM(G11:G14)</f>
        <v>0</v>
      </c>
      <c r="H15" s="466">
        <f t="shared" si="0"/>
        <v>0</v>
      </c>
      <c r="I15" s="466">
        <f t="shared" si="0"/>
        <v>293.92384391680002</v>
      </c>
      <c r="J15" s="466">
        <f t="shared" si="0"/>
        <v>499.60887239308494</v>
      </c>
      <c r="K15" s="466">
        <f t="shared" si="0"/>
        <v>463.42189541047389</v>
      </c>
      <c r="L15" s="466">
        <f t="shared" si="0"/>
        <v>316.25099146613508</v>
      </c>
      <c r="M15" s="466">
        <f t="shared" si="0"/>
        <v>177.52896170413482</v>
      </c>
      <c r="N15" s="466">
        <f t="shared" si="0"/>
        <v>66.056424361669684</v>
      </c>
      <c r="O15" s="466">
        <f t="shared" si="0"/>
        <v>16.807532655697312</v>
      </c>
      <c r="P15" s="467">
        <f t="shared" si="0"/>
        <v>4.2434878980216926</v>
      </c>
      <c r="Q15" s="96"/>
      <c r="R15" s="140"/>
      <c r="AD15" s="95"/>
      <c r="AE15" s="69" t="s">
        <v>212</v>
      </c>
      <c r="AF15" s="70">
        <v>0.7</v>
      </c>
      <c r="AG15" s="73">
        <v>0</v>
      </c>
      <c r="AH15" s="73">
        <v>0</v>
      </c>
      <c r="AI15" s="73">
        <v>0</v>
      </c>
      <c r="AJ15" s="73">
        <v>0</v>
      </c>
      <c r="AK15" s="73">
        <v>231.69421487603302</v>
      </c>
      <c r="AL15" s="73">
        <v>329.05785123966939</v>
      </c>
      <c r="AM15" s="73">
        <v>346.00537190082639</v>
      </c>
      <c r="AN15" s="73">
        <v>260.33057851239664</v>
      </c>
      <c r="AO15" s="73">
        <v>162.91487603305785</v>
      </c>
      <c r="AP15" s="73">
        <v>56.713016528925614</v>
      </c>
      <c r="AQ15" s="73">
        <v>19.35557851239669</v>
      </c>
      <c r="AR15" s="74">
        <v>4.6599173553718991</v>
      </c>
    </row>
    <row r="16" spans="1:44" ht="15.75" customHeight="1" thickBot="1">
      <c r="A16"/>
      <c r="B16" s="85" t="s">
        <v>59</v>
      </c>
      <c r="C16" s="257" t="str">
        <f>VLOOKUP(B16,NodeList!$D$5:$E$73,2,FALSE)</f>
        <v>Hilliard West Side</v>
      </c>
      <c r="D16" s="91"/>
      <c r="E16" s="450"/>
      <c r="F16" s="451"/>
      <c r="G16" s="452"/>
      <c r="H16" s="453" t="s">
        <v>54</v>
      </c>
      <c r="I16" s="68">
        <v>22</v>
      </c>
      <c r="J16" s="454"/>
      <c r="K16" s="454"/>
      <c r="L16" s="454"/>
      <c r="M16" s="454"/>
      <c r="N16" s="454"/>
      <c r="O16" s="454"/>
      <c r="P16" s="455"/>
      <c r="Q16"/>
      <c r="R16"/>
      <c r="S16"/>
      <c r="T16"/>
      <c r="AD16" s="95"/>
      <c r="AE16" s="69" t="s">
        <v>187</v>
      </c>
      <c r="AF16" s="70">
        <v>0</v>
      </c>
      <c r="AG16" s="73">
        <v>0</v>
      </c>
      <c r="AH16" s="73">
        <v>0</v>
      </c>
      <c r="AI16" s="73">
        <v>0</v>
      </c>
      <c r="AJ16" s="73">
        <v>0</v>
      </c>
      <c r="AK16" s="73">
        <v>0</v>
      </c>
      <c r="AL16" s="73">
        <v>0</v>
      </c>
      <c r="AM16" s="73">
        <v>0</v>
      </c>
      <c r="AN16" s="73">
        <v>0</v>
      </c>
      <c r="AO16" s="73">
        <v>0</v>
      </c>
      <c r="AP16" s="73">
        <v>0</v>
      </c>
      <c r="AQ16" s="73">
        <v>0</v>
      </c>
      <c r="AR16" s="74">
        <v>0</v>
      </c>
    </row>
    <row r="17" spans="1:49" ht="15.75" customHeight="1">
      <c r="A17"/>
      <c r="B17" s="94"/>
      <c r="C17" s="66" t="s">
        <v>57</v>
      </c>
      <c r="D17" s="69"/>
      <c r="E17" s="456">
        <f>VLOOKUP($B16,'Diversion Data'!$B$3:$O$227,3,FALSE)</f>
        <v>0</v>
      </c>
      <c r="F17" s="456">
        <f>VLOOKUP($B16,'Diversion Data'!$B$3:$O$227,4,FALSE)</f>
        <v>0</v>
      </c>
      <c r="G17" s="456">
        <f>VLOOKUP($B16,'Diversion Data'!$B$3:$O$227,5,FALSE)</f>
        <v>0</v>
      </c>
      <c r="H17" s="456">
        <f>VLOOKUP($B16,'Diversion Data'!$B$3:$O$227,6,FALSE)</f>
        <v>0</v>
      </c>
      <c r="I17" s="456">
        <f>VLOOKUP($B16,'Diversion Data'!$B$3:$O$227,7,FALSE)</f>
        <v>1110.2200528911158</v>
      </c>
      <c r="J17" s="456">
        <f>VLOOKUP($B16,'Diversion Data'!$B$3:$O$227,8,FALSE)</f>
        <v>1762.9816121342976</v>
      </c>
      <c r="K17" s="456">
        <f>VLOOKUP($B16,'Diversion Data'!$B$3:$O$227,9,FALSE)</f>
        <v>759.68810638553737</v>
      </c>
      <c r="L17" s="456">
        <f>VLOOKUP($B16,'Diversion Data'!$B$3:$O$227,10,FALSE)</f>
        <v>156.40355244752067</v>
      </c>
      <c r="M17" s="456">
        <f>VLOOKUP($B16,'Diversion Data'!$B$3:$O$227,11,FALSE)</f>
        <v>167.44052331477275</v>
      </c>
      <c r="N17" s="456">
        <f>VLOOKUP($B16,'Diversion Data'!$B$3:$O$227,12,FALSE)</f>
        <v>0</v>
      </c>
      <c r="O17" s="456">
        <f>VLOOKUP($B16,'Diversion Data'!$B$3:$O$227,13,FALSE)</f>
        <v>0</v>
      </c>
      <c r="P17" s="457">
        <f>VLOOKUP($B16,'Diversion Data'!$B$3:$O$227,14,FALSE)</f>
        <v>0</v>
      </c>
      <c r="Q17"/>
      <c r="R17"/>
      <c r="S17"/>
      <c r="T17"/>
      <c r="AD17" s="95"/>
      <c r="AE17" s="69" t="s">
        <v>187</v>
      </c>
      <c r="AF17" s="70">
        <v>0</v>
      </c>
      <c r="AG17" s="73">
        <v>0</v>
      </c>
      <c r="AH17" s="73">
        <v>0</v>
      </c>
      <c r="AI17" s="73">
        <v>0</v>
      </c>
      <c r="AJ17" s="73">
        <v>0</v>
      </c>
      <c r="AK17" s="73">
        <v>0</v>
      </c>
      <c r="AL17" s="73">
        <v>0</v>
      </c>
      <c r="AM17" s="73">
        <v>0</v>
      </c>
      <c r="AN17" s="73">
        <v>0</v>
      </c>
      <c r="AO17" s="73">
        <v>0</v>
      </c>
      <c r="AP17" s="73">
        <v>0</v>
      </c>
      <c r="AQ17" s="73">
        <v>0</v>
      </c>
      <c r="AR17" s="74">
        <v>0</v>
      </c>
    </row>
    <row r="18" spans="1:49" ht="15.75" customHeight="1" thickBot="1">
      <c r="A18"/>
      <c r="B18" s="95"/>
      <c r="C18" s="72" t="s">
        <v>56</v>
      </c>
      <c r="D18" s="70"/>
      <c r="E18" s="458">
        <f>VLOOKUP($I16,'Option Tables'!$B$3:$N$19,2,FALSE)*E17</f>
        <v>0</v>
      </c>
      <c r="F18" s="458">
        <f>VLOOKUP($I16,'Option Tables'!$B$3:$N$19,3,FALSE)*F17</f>
        <v>0</v>
      </c>
      <c r="G18" s="458">
        <f>VLOOKUP($I16,'Option Tables'!$B$3:$N$19,4,FALSE)*G17</f>
        <v>0</v>
      </c>
      <c r="H18" s="458">
        <f>VLOOKUP($I16,'Option Tables'!$B$3:$N$19,5,FALSE)*H17</f>
        <v>0</v>
      </c>
      <c r="I18" s="458">
        <f>VLOOKUP($I16,'Option Tables'!$B$3:$N$19,6,FALSE)*I17</f>
        <v>865.97164125507027</v>
      </c>
      <c r="J18" s="458">
        <f>VLOOKUP($I16,'Option Tables'!$B$3:$N$19,7,FALSE)*J17</f>
        <v>1375.1256574647523</v>
      </c>
      <c r="K18" s="458">
        <f>VLOOKUP($I16,'Option Tables'!$B$3:$N$19,8,FALSE)*K17</f>
        <v>592.5567229807192</v>
      </c>
      <c r="L18" s="458">
        <f>VLOOKUP($I16,'Option Tables'!$B$3:$N$19,9,FALSE)*L17</f>
        <v>121.99477090906612</v>
      </c>
      <c r="M18" s="458">
        <f>VLOOKUP($I16,'Option Tables'!$B$3:$N$19,10,FALSE)*M17</f>
        <v>130.60360818552275</v>
      </c>
      <c r="N18" s="458">
        <f>VLOOKUP($I16,'Option Tables'!$B$3:$N$19,11,FALSE)*N17</f>
        <v>0</v>
      </c>
      <c r="O18" s="458">
        <f>VLOOKUP($I16,'Option Tables'!$B$3:$N$19,12,FALSE)*O17</f>
        <v>0</v>
      </c>
      <c r="P18" s="459">
        <f>VLOOKUP($I16,'Option Tables'!$B$3:$N$19,13,FALSE)*P17</f>
        <v>0</v>
      </c>
      <c r="Q18"/>
      <c r="R18"/>
      <c r="S18"/>
      <c r="T18"/>
      <c r="AD18" s="97"/>
      <c r="AE18" s="144" t="s">
        <v>207</v>
      </c>
      <c r="AF18" s="71">
        <v>1</v>
      </c>
      <c r="AG18" s="75">
        <v>0</v>
      </c>
      <c r="AH18" s="75">
        <v>0</v>
      </c>
      <c r="AI18" s="75">
        <v>0</v>
      </c>
      <c r="AJ18" s="75">
        <v>0</v>
      </c>
      <c r="AK18" s="75">
        <v>330.99173553719004</v>
      </c>
      <c r="AL18" s="75">
        <v>470.08264462809916</v>
      </c>
      <c r="AM18" s="75">
        <v>494.29338842975199</v>
      </c>
      <c r="AN18" s="75">
        <v>371.90082644628092</v>
      </c>
      <c r="AO18" s="75">
        <v>232.73553719008265</v>
      </c>
      <c r="AP18" s="75">
        <v>81.0185950413223</v>
      </c>
      <c r="AQ18" s="75">
        <v>27.650826446280988</v>
      </c>
      <c r="AR18" s="76">
        <v>6.6570247933884268</v>
      </c>
    </row>
    <row r="19" spans="1:49" ht="15.75" customHeight="1" thickBot="1">
      <c r="A19"/>
      <c r="B19" s="95"/>
      <c r="C19" s="66"/>
      <c r="D19" s="62"/>
      <c r="E19" s="355"/>
      <c r="F19" s="355"/>
      <c r="G19" s="355"/>
      <c r="H19" s="355"/>
      <c r="I19" s="355"/>
      <c r="J19" s="355"/>
      <c r="K19" s="355"/>
      <c r="L19" s="355"/>
      <c r="M19" s="460"/>
      <c r="N19" s="460"/>
      <c r="O19" s="460"/>
      <c r="P19" s="461"/>
      <c r="Q19"/>
      <c r="R19"/>
      <c r="S19"/>
      <c r="T19"/>
    </row>
    <row r="20" spans="1:49" ht="15.75" customHeight="1" thickBot="1">
      <c r="A20"/>
      <c r="B20" s="254" t="s">
        <v>73</v>
      </c>
      <c r="C20" s="105" t="s">
        <v>73</v>
      </c>
      <c r="D20" s="105" t="s">
        <v>74</v>
      </c>
      <c r="E20" s="462"/>
      <c r="F20" s="463"/>
      <c r="G20" s="464"/>
      <c r="H20" s="464" t="s">
        <v>55</v>
      </c>
      <c r="I20" s="68">
        <v>1</v>
      </c>
      <c r="J20" s="460"/>
      <c r="K20" s="460"/>
      <c r="L20" s="460"/>
      <c r="M20" s="460"/>
      <c r="N20" s="460"/>
      <c r="O20" s="460"/>
      <c r="P20" s="461"/>
      <c r="Q20"/>
      <c r="R20"/>
      <c r="S20"/>
      <c r="T20"/>
    </row>
    <row r="21" spans="1:49" ht="15.75" customHeight="1">
      <c r="A21"/>
      <c r="B21" s="255" t="str">
        <f>"("&amp;VLOOKUP(C21,NodeList!$D$5:$E$68,2,FALSE)&amp;")"</f>
        <v>(Sulphur Creek Reservoir)</v>
      </c>
      <c r="C21" s="256" t="s">
        <v>161</v>
      </c>
      <c r="D21" s="388">
        <v>1</v>
      </c>
      <c r="E21" s="355">
        <f>$D21*((E18*(VLOOKUP(I20,'Option Tables'!$B$23:$F$26,2)))+(P18*(VLOOKUP(I20,'Option Tables'!$B$23:$F$26,3)))+(O18*(VLOOKUP(I20,'Option Tables'!$B$23:$F$26,4))+(N18*(VLOOKUP(I20,'Option Tables'!$B$23:$F$26,5)))))</f>
        <v>0</v>
      </c>
      <c r="F21" s="355">
        <f>$D21*((F18*(VLOOKUP(I20,'Option Tables'!$B$23:$F$26,2)))+(E18*(VLOOKUP(I20,'Option Tables'!$B$23:$F$26,3)))+(P18*(VLOOKUP(I20,'Option Tables'!$B$23:$F$26,4))+(O18*(VLOOKUP(I20,'Option Tables'!$B$23:$F$26,5)))))</f>
        <v>0</v>
      </c>
      <c r="G21" s="355">
        <f>$D21*((G18*(VLOOKUP(I20,'Option Tables'!$B$23:$F$26,2)))+(F18*(VLOOKUP(I20,'Option Tables'!$B$23:$F$26,3)))+(E18*(VLOOKUP(I20,'Option Tables'!$B$23:$F$26,4))+(P18*(VLOOKUP(I20,'Option Tables'!$B$23:$F$26,5)))))</f>
        <v>0</v>
      </c>
      <c r="H21" s="355">
        <f>$D21*((H18*(VLOOKUP(I20,'Option Tables'!$B$23:$F$26,2)))+(G18*(VLOOKUP(I20,'Option Tables'!$B$23:$F$26,3)))+(F18*(VLOOKUP(I20,'Option Tables'!$B$23:$F$26,4))+(E18*(VLOOKUP(I20,'Option Tables'!$B$23:$F$26,5)))))</f>
        <v>0</v>
      </c>
      <c r="I21" s="355">
        <f>$D21*((I18*(VLOOKUP(I20,'Option Tables'!$B$23:$F$26,2)))+(H18*(VLOOKUP(I20,'Option Tables'!$B$23:$F$26,3)))+(G18*(VLOOKUP(I20,'Option Tables'!$B$23:$F$26,4))+(F18*(VLOOKUP(I20,'Option Tables'!$B$23:$F$26,5)))))</f>
        <v>432.98582062753513</v>
      </c>
      <c r="J21" s="355">
        <f>$D21*((J18*(VLOOKUP(I20,'Option Tables'!$B$23:$F$26,2)))+(I18*(VLOOKUP(I20,'Option Tables'!$B$23:$F$26,3)))+(H18*(VLOOKUP(I20,'Option Tables'!$B$23:$F$26,4))+(G18*(VLOOKUP(I20,'Option Tables'!$B$23:$F$26,5)))))</f>
        <v>904.05573904614369</v>
      </c>
      <c r="K21" s="355">
        <f>$D21*((K18*(VLOOKUP(I20,'Option Tables'!$B$23:$F$26,2)))+(J18*(VLOOKUP(I20,'Option Tables'!$B$23:$F$26,3)))+(I18*(VLOOKUP(I20,'Option Tables'!$B$23:$F$26,4))+(H18*(VLOOKUP(I20,'Option Tables'!$B$23:$F$26,5)))))</f>
        <v>769.95552204480828</v>
      </c>
      <c r="L21" s="355">
        <f>$D21*((L18*(VLOOKUP(I20,'Option Tables'!$B$23:$F$26,2)))+(K18*(VLOOKUP(I20,'Option Tables'!$B$23:$F$26,3)))+(J18*(VLOOKUP(I20,'Option Tables'!$B$23:$F$26,4))+(I18*(VLOOKUP(I20,'Option Tables'!$B$23:$F$26,5)))))</f>
        <v>502.00257894493268</v>
      </c>
      <c r="M21" s="355">
        <f>$D21*((M18*(VLOOKUP(I20,'Option Tables'!$B$23:$F$26,2)))+(L18*(VLOOKUP(I20,'Option Tables'!$B$23:$F$26,3)))+(K18*(VLOOKUP(I20,'Option Tables'!$B$23:$F$26,4))+(J18*(VLOOKUP(I20,'Option Tables'!$B$23:$F$26,5)))))</f>
        <v>322.19657101361099</v>
      </c>
      <c r="N21" s="355">
        <f>$D21*((N18*(VLOOKUP(I20,'Option Tables'!$B$23:$F$26,2)))+(M18*(VLOOKUP(I20,'Option Tables'!$B$23:$F$26,3)))+(L18*(VLOOKUP(I20,'Option Tables'!$B$23:$F$26,4))+(K18*(VLOOKUP(I20,'Option Tables'!$B$23:$F$26,5)))))</f>
        <v>110.20578998081251</v>
      </c>
      <c r="O21" s="355">
        <f>$D21*((O18*(VLOOKUP(I20,'Option Tables'!$B$23:$F$26,2)))+(N18*(VLOOKUP(I20,'Option Tables'!$B$23:$F$26,3)))+(M18*(VLOOKUP(I20,'Option Tables'!$B$23:$F$26,4))+(L18*(VLOOKUP(I20,'Option Tables'!$B$23:$F$26,5)))))</f>
        <v>31.790018318735022</v>
      </c>
      <c r="P21" s="465">
        <f>$D21*((P18*(VLOOKUP(I20,'Option Tables'!$B$23:$F$26,2)))+(O18*(VLOOKUP(I20,'Option Tables'!$B$23:$F$26,3)))+(N18*(VLOOKUP(I20,'Option Tables'!$B$23:$F$26,4))+(M18*(VLOOKUP(I20,'Option Tables'!$B$23:$F$26,5)))))</f>
        <v>13.060360818552276</v>
      </c>
      <c r="Q21"/>
      <c r="R21"/>
      <c r="S21"/>
      <c r="T21"/>
    </row>
    <row r="22" spans="1:49" ht="15.75" customHeight="1">
      <c r="A22"/>
      <c r="B22" s="255"/>
      <c r="C22" s="256"/>
      <c r="D22" s="388">
        <v>0</v>
      </c>
      <c r="E22" s="355">
        <f>$D22*((E18*(VLOOKUP(I20,'Option Tables'!$B$23:$F$26,2)))+(P18*(VLOOKUP(I20,'Option Tables'!$B$23:$F$26,3)))+(O18*(VLOOKUP(I20,'Option Tables'!$B$23:$F$26,4))+(N18*(VLOOKUP(I20,'Option Tables'!$B$23:$F$26,5)))))</f>
        <v>0</v>
      </c>
      <c r="F22" s="355">
        <f>$D22*((F18*(VLOOKUP(I20,'Option Tables'!$B$23:$F$26,2)))+(E18*(VLOOKUP(I20,'Option Tables'!$B$23:$F$26,3)))+(P18*(VLOOKUP(I20,'Option Tables'!$B$23:$F$26,4))+(O18*(VLOOKUP(I20,'Option Tables'!$B$23:$F$26,5)))))</f>
        <v>0</v>
      </c>
      <c r="G22" s="355">
        <f>$D22*((G18*(VLOOKUP(I20,'Option Tables'!$B$23:$F$26,2)))+(F18*(VLOOKUP(I20,'Option Tables'!$B$23:$F$26,3)))+(E18*(VLOOKUP(I20,'Option Tables'!$B$23:$F$26,4))+(P18*(VLOOKUP(I20,'Option Tables'!$B$23:$F$26,5)))))</f>
        <v>0</v>
      </c>
      <c r="H22" s="355">
        <f>$D22*((H18*(VLOOKUP(I20,'Option Tables'!$B$23:$F$26,2)))+(G18*(VLOOKUP(I20,'Option Tables'!$B$23:$F$26,3)))+(F18*(VLOOKUP(I20,'Option Tables'!$B$23:$F$26,4))+(E18*(VLOOKUP(I20,'Option Tables'!$B$23:$F$26,5)))))</f>
        <v>0</v>
      </c>
      <c r="I22" s="355">
        <f>$D22*((I18*(VLOOKUP(I20,'Option Tables'!$B$23:$F$26,2)))+(H18*(VLOOKUP(I20,'Option Tables'!$B$23:$F$26,3)))+(G18*(VLOOKUP(I20,'Option Tables'!$B$23:$F$26,4))+(F18*(VLOOKUP(I20,'Option Tables'!$B$23:$F$26,5)))))</f>
        <v>0</v>
      </c>
      <c r="J22" s="355">
        <f>$D22*((J18*(VLOOKUP(I20,'Option Tables'!$B$23:$F$26,2)))+(I18*(VLOOKUP(I20,'Option Tables'!$B$23:$F$26,3)))+(H18*(VLOOKUP(I20,'Option Tables'!$B$23:$F$26,4))+(G18*(VLOOKUP(I20,'Option Tables'!$B$23:$F$26,5)))))</f>
        <v>0</v>
      </c>
      <c r="K22" s="355">
        <f>$D22*((K18*(VLOOKUP(I20,'Option Tables'!$B$23:$F$26,2)))+(J18*(VLOOKUP(I20,'Option Tables'!$B$23:$F$26,3)))+(I18*(VLOOKUP(I20,'Option Tables'!$B$23:$F$26,4))+(H18*(VLOOKUP(I20,'Option Tables'!$B$23:$F$26,5)))))</f>
        <v>0</v>
      </c>
      <c r="L22" s="355">
        <f>$D22*((L18*(VLOOKUP(I20,'Option Tables'!$B$23:$F$26,2)))+(K18*(VLOOKUP(I20,'Option Tables'!$B$23:$F$26,3)))+(J18*(VLOOKUP(I20,'Option Tables'!$B$23:$F$26,4))+(I18*(VLOOKUP(I20,'Option Tables'!$B$23:$F$26,5)))))</f>
        <v>0</v>
      </c>
      <c r="M22" s="355">
        <f>$D22*((M18*(VLOOKUP(I20,'Option Tables'!$B$23:$F$26,2)))+(L18*(VLOOKUP(I20,'Option Tables'!$B$23:$F$26,3)))+(K18*(VLOOKUP(I20,'Option Tables'!$B$23:$F$26,4))+(J18*(VLOOKUP(I20,'Option Tables'!$B$23:$F$26,5)))))</f>
        <v>0</v>
      </c>
      <c r="N22" s="355">
        <f>$D22*((N18*(VLOOKUP(I20,'Option Tables'!$B$23:$F$26,2)))+(M18*(VLOOKUP(I20,'Option Tables'!$B$23:$F$26,3)))+(L18*(VLOOKUP(I20,'Option Tables'!$B$23:$F$26,4))+(K18*(VLOOKUP(I20,'Option Tables'!$B$23:$F$26,5)))))</f>
        <v>0</v>
      </c>
      <c r="O22" s="355">
        <f>$D22*((O18*(VLOOKUP(I20,'Option Tables'!$B$23:$F$26,2)))+(N18*(VLOOKUP(I20,'Option Tables'!$B$23:$F$26,3)))+(M18*(VLOOKUP(I20,'Option Tables'!$B$23:$F$26,4))+(L18*(VLOOKUP(I20,'Option Tables'!$B$23:$F$26,5)))))</f>
        <v>0</v>
      </c>
      <c r="P22" s="465">
        <f>$D22*((P18*(VLOOKUP(I20,'Option Tables'!$B$23:$F$26,2)))+(O18*(VLOOKUP(I20,'Option Tables'!$B$23:$F$26,3)))+(N18*(VLOOKUP(I20,'Option Tables'!$B$23:$F$26,4))+(M18*(VLOOKUP(I20,'Option Tables'!$B$23:$F$26,5)))))</f>
        <v>0</v>
      </c>
      <c r="Q22"/>
      <c r="R22"/>
      <c r="S22"/>
      <c r="T22"/>
    </row>
    <row r="23" spans="1:49" ht="15.75" customHeight="1">
      <c r="A23"/>
      <c r="B23" s="95"/>
      <c r="C23" s="256"/>
      <c r="D23" s="388">
        <v>0</v>
      </c>
      <c r="E23" s="355">
        <f>$D23*((E18*(VLOOKUP(I20,'Option Tables'!$B$23:$F$26,2)))+(P18*(VLOOKUP(I20,'Option Tables'!$B$23:$F$26,3)))+(O18*(VLOOKUP(I20,'Option Tables'!$B$23:$F$26,4))+(N18*(VLOOKUP(I20,'Option Tables'!$B$23:$F$26,5)))))</f>
        <v>0</v>
      </c>
      <c r="F23" s="355">
        <f>$D23*((F18*(VLOOKUP(I20,'Option Tables'!$B$23:$F$26,2)))+(E18*(VLOOKUP(I20,'Option Tables'!$B$23:$F$26,3)))+(P18*(VLOOKUP(I20,'Option Tables'!$B$23:$F$26,4))+(O18*(VLOOKUP(I20,'Option Tables'!$B$23:$F$26,5)))))</f>
        <v>0</v>
      </c>
      <c r="G23" s="355">
        <f>$D23*((G18*(VLOOKUP(I20,'Option Tables'!$B$23:$F$26,2)))+(F18*(VLOOKUP(I20,'Option Tables'!$B$23:$F$26,3)))+(E18*(VLOOKUP(I20,'Option Tables'!$B$23:$F$26,4))+(P18*(VLOOKUP(I20,'Option Tables'!$B$23:$F$26,5)))))</f>
        <v>0</v>
      </c>
      <c r="H23" s="355">
        <f>$D23*((H18*(VLOOKUP(I20,'Option Tables'!$B$23:$F$26,2)))+(G18*(VLOOKUP(I20,'Option Tables'!$B$23:$F$26,3)))+(F18*(VLOOKUP(I20,'Option Tables'!$B$23:$F$26,4))+(E18*(VLOOKUP(I20,'Option Tables'!$B$23:$F$26,5)))))</f>
        <v>0</v>
      </c>
      <c r="I23" s="355">
        <f>$D23*((I18*(VLOOKUP(I20,'Option Tables'!$B$23:$F$26,2)))+(H18*(VLOOKUP(I20,'Option Tables'!$B$23:$F$26,3)))+(G18*(VLOOKUP(I20,'Option Tables'!$B$23:$F$26,4))+(F18*(VLOOKUP(I20,'Option Tables'!$B$23:$F$26,5)))))</f>
        <v>0</v>
      </c>
      <c r="J23" s="355">
        <f>$D23*((J18*(VLOOKUP(I20,'Option Tables'!$B$23:$F$26,2)))+(I18*(VLOOKUP(I20,'Option Tables'!$B$23:$F$26,3)))+(H18*(VLOOKUP(I20,'Option Tables'!$B$23:$F$26,4))+(G18*(VLOOKUP(I20,'Option Tables'!$B$23:$F$26,5)))))</f>
        <v>0</v>
      </c>
      <c r="K23" s="355">
        <f>$D23*((K18*(VLOOKUP(I20,'Option Tables'!$B$23:$F$26,2)))+(J18*(VLOOKUP(I20,'Option Tables'!$B$23:$F$26,3)))+(I18*(VLOOKUP(I20,'Option Tables'!$B$23:$F$26,4))+(H18*(VLOOKUP(I20,'Option Tables'!$B$23:$F$26,5)))))</f>
        <v>0</v>
      </c>
      <c r="L23" s="355">
        <f>$D23*((L18*(VLOOKUP(I20,'Option Tables'!$B$23:$F$26,2)))+(K18*(VLOOKUP(I20,'Option Tables'!$B$23:$F$26,3)))+(J18*(VLOOKUP(I20,'Option Tables'!$B$23:$F$26,4))+(I18*(VLOOKUP(I20,'Option Tables'!$B$23:$F$26,5)))))</f>
        <v>0</v>
      </c>
      <c r="M23" s="355">
        <f>$D23*((M18*(VLOOKUP(I20,'Option Tables'!$B$23:$F$26,2)))+(L18*(VLOOKUP(I20,'Option Tables'!$B$23:$F$26,3)))+(K18*(VLOOKUP(I20,'Option Tables'!$B$23:$F$26,4))+(J18*(VLOOKUP(I20,'Option Tables'!$B$23:$F$26,5)))))</f>
        <v>0</v>
      </c>
      <c r="N23" s="355">
        <f>$D23*((N18*(VLOOKUP(I20,'Option Tables'!$B$23:$F$26,2)))+(M18*(VLOOKUP(I20,'Option Tables'!$B$23:$F$26,3)))+(L18*(VLOOKUP(I20,'Option Tables'!$B$23:$F$26,4))+(K18*(VLOOKUP(I20,'Option Tables'!$B$23:$F$26,5)))))</f>
        <v>0</v>
      </c>
      <c r="O23" s="355">
        <f>$D23*((O18*(VLOOKUP(I20,'Option Tables'!$B$23:$F$26,2)))+(N18*(VLOOKUP(I20,'Option Tables'!$B$23:$F$26,3)))+(M18*(VLOOKUP(I20,'Option Tables'!$B$23:$F$26,4))+(L18*(VLOOKUP(I20,'Option Tables'!$B$23:$F$26,5)))))</f>
        <v>0</v>
      </c>
      <c r="P23" s="465">
        <f>$D23*((P18*(VLOOKUP(I20,'Option Tables'!$B$23:$F$26,2)))+(O18*(VLOOKUP(I20,'Option Tables'!$B$23:$F$26,3)))+(N18*(VLOOKUP(I20,'Option Tables'!$B$23:$F$26,4))+(M18*(VLOOKUP(I20,'Option Tables'!$B$23:$F$26,5)))))</f>
        <v>0</v>
      </c>
      <c r="Q23"/>
      <c r="R23"/>
      <c r="S23"/>
      <c r="T23"/>
    </row>
    <row r="24" spans="1:49" ht="15.75" customHeight="1">
      <c r="A24"/>
      <c r="B24" s="95"/>
      <c r="C24" s="256"/>
      <c r="D24" s="388">
        <v>0</v>
      </c>
      <c r="E24" s="355">
        <f>$D24*((E18*(VLOOKUP(I20,'Option Tables'!$B$23:$F$26,2)))+(P18*(VLOOKUP(I20,'Option Tables'!$B$23:$F$26,3)))+(O18*(VLOOKUP(I20,'Option Tables'!$B$23:$F$26,4))+(N18*(VLOOKUP(I20,'Option Tables'!$B$23:$F$26,5)))))</f>
        <v>0</v>
      </c>
      <c r="F24" s="355">
        <f>$D24*((F18*(VLOOKUP(I20,'Option Tables'!$B$23:$F$26,2)))+(E18*(VLOOKUP(I20,'Option Tables'!$B$23:$F$26,3)))+(P18*(VLOOKUP(I20,'Option Tables'!$B$23:$F$26,4))+(O18*(VLOOKUP(I20,'Option Tables'!$B$23:$F$26,5)))))</f>
        <v>0</v>
      </c>
      <c r="G24" s="355">
        <f>$D24*((G18*(VLOOKUP(I20,'Option Tables'!$B$23:$F$26,2)))+(F18*(VLOOKUP(I20,'Option Tables'!$B$23:$F$26,3)))+(E18*(VLOOKUP(I20,'Option Tables'!$B$23:$F$26,4))+(P18*(VLOOKUP(I20,'Option Tables'!$B$23:$F$26,5)))))</f>
        <v>0</v>
      </c>
      <c r="H24" s="355">
        <f>$D24*((H18*(VLOOKUP(I20,'Option Tables'!$B$23:$F$26,2)))+(G18*(VLOOKUP(I20,'Option Tables'!$B$23:$F$26,3)))+(F18*(VLOOKUP(I20,'Option Tables'!$B$23:$F$26,4))+(E18*(VLOOKUP(I20,'Option Tables'!$B$23:$F$26,5)))))</f>
        <v>0</v>
      </c>
      <c r="I24" s="355">
        <f>$D24*((I18*(VLOOKUP(I20,'Option Tables'!$B$23:$F$26,2)))+(H18*(VLOOKUP(I20,'Option Tables'!$B$23:$F$26,3)))+(G18*(VLOOKUP(I20,'Option Tables'!$B$23:$F$26,4))+(F18*(VLOOKUP(I20,'Option Tables'!$B$23:$F$26,5)))))</f>
        <v>0</v>
      </c>
      <c r="J24" s="355">
        <f>$D24*((J18*(VLOOKUP(I20,'Option Tables'!$B$23:$F$26,2)))+(I18*(VLOOKUP(I20,'Option Tables'!$B$23:$F$26,3)))+(H18*(VLOOKUP(I20,'Option Tables'!$B$23:$F$26,4))+(G18*(VLOOKUP(I20,'Option Tables'!$B$23:$F$26,5)))))</f>
        <v>0</v>
      </c>
      <c r="K24" s="355">
        <f>$D24*((K18*(VLOOKUP(I20,'Option Tables'!$B$23:$F$26,2)))+(J18*(VLOOKUP(I20,'Option Tables'!$B$23:$F$26,3)))+(I18*(VLOOKUP(I20,'Option Tables'!$B$23:$F$26,4))+(H18*(VLOOKUP(I20,'Option Tables'!$B$23:$F$26,5)))))</f>
        <v>0</v>
      </c>
      <c r="L24" s="355">
        <f>$D24*((L18*(VLOOKUP(I20,'Option Tables'!$B$23:$F$26,2)))+(K18*(VLOOKUP(I20,'Option Tables'!$B$23:$F$26,3)))+(J18*(VLOOKUP(I20,'Option Tables'!$B$23:$F$26,4))+(I18*(VLOOKUP(I20,'Option Tables'!$B$23:$F$26,5)))))</f>
        <v>0</v>
      </c>
      <c r="M24" s="355">
        <f>$D24*((M18*(VLOOKUP(I20,'Option Tables'!$B$23:$F$26,2)))+(L18*(VLOOKUP(I20,'Option Tables'!$B$23:$F$26,3)))+(K18*(VLOOKUP(I20,'Option Tables'!$B$23:$F$26,4))+(J18*(VLOOKUP(I20,'Option Tables'!$B$23:$F$26,5)))))</f>
        <v>0</v>
      </c>
      <c r="N24" s="355">
        <f>$D24*((N18*(VLOOKUP(I20,'Option Tables'!$B$23:$F$26,2)))+(M18*(VLOOKUP(I20,'Option Tables'!$B$23:$F$26,3)))+(L18*(VLOOKUP(I20,'Option Tables'!$B$23:$F$26,4))+(K18*(VLOOKUP(I20,'Option Tables'!$B$23:$F$26,5)))))</f>
        <v>0</v>
      </c>
      <c r="O24" s="355">
        <f>$D24*((O18*(VLOOKUP(I20,'Option Tables'!$B$23:$F$26,2)))+(N18*(VLOOKUP(I20,'Option Tables'!$B$23:$F$26,3)))+(M18*(VLOOKUP(I20,'Option Tables'!$B$23:$F$26,4))+(L18*(VLOOKUP(I20,'Option Tables'!$B$23:$F$26,5)))))</f>
        <v>0</v>
      </c>
      <c r="P24" s="465">
        <f>$D24*((P18*(VLOOKUP(I20,'Option Tables'!$B$23:$F$26,2)))+(O18*(VLOOKUP(I20,'Option Tables'!$B$23:$F$26,3)))+(N18*(VLOOKUP(I20,'Option Tables'!$B$23:$F$26,4))+(M18*(VLOOKUP(I20,'Option Tables'!$B$23:$F$26,5)))))</f>
        <v>0</v>
      </c>
      <c r="Q24"/>
      <c r="R24"/>
      <c r="S24"/>
      <c r="T24"/>
    </row>
    <row r="25" spans="1:49" ht="15.75" customHeight="1" thickBot="1">
      <c r="A25"/>
      <c r="B25" s="97"/>
      <c r="C25" s="205" t="str">
        <f>IF(D25&lt;&gt;1,"Must equal %100","")</f>
        <v/>
      </c>
      <c r="D25" s="71">
        <f t="shared" ref="D25:P25" si="1">SUM(D21:D24)</f>
        <v>1</v>
      </c>
      <c r="E25" s="466">
        <f t="shared" si="1"/>
        <v>0</v>
      </c>
      <c r="F25" s="466">
        <f t="shared" si="1"/>
        <v>0</v>
      </c>
      <c r="G25" s="466">
        <f t="shared" si="1"/>
        <v>0</v>
      </c>
      <c r="H25" s="466">
        <f t="shared" si="1"/>
        <v>0</v>
      </c>
      <c r="I25" s="466">
        <f t="shared" si="1"/>
        <v>432.98582062753513</v>
      </c>
      <c r="J25" s="466">
        <f t="shared" si="1"/>
        <v>904.05573904614369</v>
      </c>
      <c r="K25" s="466">
        <f t="shared" si="1"/>
        <v>769.95552204480828</v>
      </c>
      <c r="L25" s="466">
        <f t="shared" si="1"/>
        <v>502.00257894493268</v>
      </c>
      <c r="M25" s="466">
        <f t="shared" si="1"/>
        <v>322.19657101361099</v>
      </c>
      <c r="N25" s="466">
        <f t="shared" si="1"/>
        <v>110.20578998081251</v>
      </c>
      <c r="O25" s="466">
        <f t="shared" si="1"/>
        <v>31.790018318735022</v>
      </c>
      <c r="P25" s="467">
        <f t="shared" si="1"/>
        <v>13.060360818552276</v>
      </c>
      <c r="Q25"/>
      <c r="R25" s="140"/>
      <c r="S25"/>
      <c r="T25"/>
      <c r="AT25"/>
      <c r="AU25"/>
      <c r="AV25"/>
      <c r="AW25"/>
    </row>
    <row r="26" spans="1:49" ht="15.75" customHeight="1" thickBot="1">
      <c r="A26"/>
      <c r="B26" s="85" t="s">
        <v>60</v>
      </c>
      <c r="C26" s="284" t="str">
        <f>VLOOKUP(B26,NodeList!$D$5:$E$73,2,FALSE)</f>
        <v>Bear Canal</v>
      </c>
      <c r="D26" s="91"/>
      <c r="E26" s="450"/>
      <c r="F26" s="451"/>
      <c r="G26" s="452"/>
      <c r="H26" s="453" t="s">
        <v>54</v>
      </c>
      <c r="I26" s="68">
        <v>22</v>
      </c>
      <c r="J26" s="454"/>
      <c r="K26" s="454"/>
      <c r="L26" s="454"/>
      <c r="M26" s="454"/>
      <c r="N26" s="454"/>
      <c r="O26" s="454"/>
      <c r="P26" s="455"/>
      <c r="Q26"/>
      <c r="R26"/>
      <c r="S26"/>
      <c r="T26"/>
      <c r="AQ26"/>
      <c r="AR26"/>
      <c r="AS26"/>
      <c r="AT26"/>
      <c r="AU26"/>
      <c r="AV26"/>
      <c r="AW26"/>
    </row>
    <row r="27" spans="1:49" ht="15.75" customHeight="1">
      <c r="A27"/>
      <c r="B27" s="94"/>
      <c r="C27" s="66" t="s">
        <v>57</v>
      </c>
      <c r="D27" s="69"/>
      <c r="E27" s="456">
        <f>VLOOKUP($B26,'Diversion Data'!$B$3:$O$227,3,FALSE)</f>
        <v>0</v>
      </c>
      <c r="F27" s="456">
        <f>VLOOKUP($B26,'Diversion Data'!$B$3:$O$227,4,FALSE)</f>
        <v>0</v>
      </c>
      <c r="G27" s="456">
        <f>VLOOKUP($B26,'Diversion Data'!$B$3:$O$227,5,FALSE)</f>
        <v>0</v>
      </c>
      <c r="H27" s="456">
        <f>VLOOKUP($B26,'Diversion Data'!$B$3:$O$227,6,FALSE)</f>
        <v>0</v>
      </c>
      <c r="I27" s="456">
        <f>VLOOKUP($B26,'Diversion Data'!$B$3:$O$227,7,FALSE)</f>
        <v>1965.6305462113635</v>
      </c>
      <c r="J27" s="456">
        <f>VLOOKUP($B26,'Diversion Data'!$B$3:$O$227,8,FALSE)</f>
        <v>3298.0788354802685</v>
      </c>
      <c r="K27" s="456">
        <f>VLOOKUP($B26,'Diversion Data'!$B$3:$O$227,9,FALSE)</f>
        <v>1684.1485608552687</v>
      </c>
      <c r="L27" s="456">
        <f>VLOOKUP($B26,'Diversion Data'!$B$3:$O$227,10,FALSE)</f>
        <v>532.35795900309915</v>
      </c>
      <c r="M27" s="456">
        <f>VLOOKUP($B26,'Diversion Data'!$B$3:$O$227,11,FALSE)</f>
        <v>409.02576384132237</v>
      </c>
      <c r="N27" s="456">
        <f>VLOOKUP($B26,'Diversion Data'!$B$3:$O$227,12,FALSE)</f>
        <v>0</v>
      </c>
      <c r="O27" s="456">
        <f>VLOOKUP($B26,'Diversion Data'!$B$3:$O$227,13,FALSE)</f>
        <v>0</v>
      </c>
      <c r="P27" s="457">
        <f>VLOOKUP($B26,'Diversion Data'!$B$3:$O$227,14,FALSE)</f>
        <v>0</v>
      </c>
      <c r="Q27"/>
      <c r="R27"/>
      <c r="S27"/>
      <c r="T27"/>
      <c r="AD27"/>
      <c r="AE27"/>
      <c r="AF27"/>
      <c r="AG27"/>
      <c r="AH27"/>
      <c r="AI27"/>
      <c r="AJ27"/>
      <c r="AK27"/>
      <c r="AL27"/>
      <c r="AM27"/>
      <c r="AN27"/>
      <c r="AO27"/>
      <c r="AP27"/>
      <c r="AQ27"/>
      <c r="AR27"/>
      <c r="AS27"/>
      <c r="AT27"/>
      <c r="AU27"/>
      <c r="AV27"/>
      <c r="AW27"/>
    </row>
    <row r="28" spans="1:49" ht="15.75" customHeight="1">
      <c r="A28"/>
      <c r="B28" s="95"/>
      <c r="C28" s="72" t="s">
        <v>56</v>
      </c>
      <c r="D28" s="70"/>
      <c r="E28" s="458">
        <f>VLOOKUP($I26,'Option Tables'!$B$3:$N$19,2,FALSE)*E27</f>
        <v>0</v>
      </c>
      <c r="F28" s="458">
        <f>VLOOKUP($I26,'Option Tables'!$B$3:$N$19,3,FALSE)*F27</f>
        <v>0</v>
      </c>
      <c r="G28" s="458">
        <f>VLOOKUP($I26,'Option Tables'!$B$3:$N$19,4,FALSE)*G27</f>
        <v>0</v>
      </c>
      <c r="H28" s="458">
        <f>VLOOKUP($I26,'Option Tables'!$B$3:$N$19,5,FALSE)*H27</f>
        <v>0</v>
      </c>
      <c r="I28" s="458">
        <f>VLOOKUP($I26,'Option Tables'!$B$3:$N$19,6,FALSE)*I27</f>
        <v>1533.1918260448635</v>
      </c>
      <c r="J28" s="458">
        <f>VLOOKUP($I26,'Option Tables'!$B$3:$N$19,7,FALSE)*J27</f>
        <v>2572.5014916746095</v>
      </c>
      <c r="K28" s="458">
        <f>VLOOKUP($I26,'Option Tables'!$B$3:$N$19,8,FALSE)*K27</f>
        <v>1313.6358774671096</v>
      </c>
      <c r="L28" s="458">
        <f>VLOOKUP($I26,'Option Tables'!$B$3:$N$19,9,FALSE)*L27</f>
        <v>415.23920802241736</v>
      </c>
      <c r="M28" s="458">
        <f>VLOOKUP($I26,'Option Tables'!$B$3:$N$19,10,FALSE)*M27</f>
        <v>319.04009579623147</v>
      </c>
      <c r="N28" s="458">
        <f>VLOOKUP($I26,'Option Tables'!$B$3:$N$19,11,FALSE)*N27</f>
        <v>0</v>
      </c>
      <c r="O28" s="458">
        <f>VLOOKUP($I26,'Option Tables'!$B$3:$N$19,12,FALSE)*O27</f>
        <v>0</v>
      </c>
      <c r="P28" s="459">
        <f>VLOOKUP($I26,'Option Tables'!$B$3:$N$19,13,FALSE)*P27</f>
        <v>0</v>
      </c>
      <c r="Q28"/>
      <c r="R28"/>
      <c r="S28"/>
      <c r="T28"/>
      <c r="AD28"/>
      <c r="AE28"/>
      <c r="AF28"/>
      <c r="AG28"/>
      <c r="AH28"/>
      <c r="AI28"/>
      <c r="AJ28"/>
      <c r="AK28"/>
      <c r="AL28"/>
      <c r="AM28"/>
      <c r="AN28"/>
      <c r="AO28"/>
      <c r="AP28"/>
      <c r="AQ28"/>
      <c r="AR28"/>
      <c r="AS28"/>
      <c r="AT28"/>
      <c r="AU28"/>
      <c r="AV28"/>
      <c r="AW28"/>
    </row>
    <row r="29" spans="1:49" ht="15.75" customHeight="1" thickBot="1">
      <c r="A29"/>
      <c r="B29" s="95"/>
      <c r="C29" s="66"/>
      <c r="D29" s="62"/>
      <c r="E29" s="355"/>
      <c r="F29" s="355"/>
      <c r="G29" s="355"/>
      <c r="H29" s="355"/>
      <c r="I29" s="355"/>
      <c r="J29" s="355"/>
      <c r="K29" s="355"/>
      <c r="L29" s="355"/>
      <c r="M29" s="460"/>
      <c r="N29" s="460"/>
      <c r="O29" s="460"/>
      <c r="P29" s="461"/>
      <c r="Q29"/>
      <c r="R29"/>
      <c r="S29"/>
      <c r="T29"/>
      <c r="AE29" s="142" t="s">
        <v>92</v>
      </c>
      <c r="AF29" s="87" t="s">
        <v>94</v>
      </c>
      <c r="AQ29"/>
      <c r="AR29"/>
      <c r="AS29"/>
      <c r="AT29"/>
      <c r="AU29"/>
      <c r="AV29"/>
      <c r="AW29"/>
    </row>
    <row r="30" spans="1:49" ht="15.75" customHeight="1" thickBot="1">
      <c r="A30"/>
      <c r="B30" s="254" t="s">
        <v>73</v>
      </c>
      <c r="C30" s="105" t="s">
        <v>73</v>
      </c>
      <c r="D30" s="105" t="s">
        <v>74</v>
      </c>
      <c r="E30" s="462"/>
      <c r="F30" s="463"/>
      <c r="G30" s="464"/>
      <c r="H30" s="464" t="s">
        <v>55</v>
      </c>
      <c r="I30" s="68">
        <v>1</v>
      </c>
      <c r="J30" s="460"/>
      <c r="K30" s="460"/>
      <c r="L30" s="460"/>
      <c r="M30" s="460"/>
      <c r="N30" s="460"/>
      <c r="O30" s="460"/>
      <c r="P30" s="461"/>
      <c r="Q30"/>
      <c r="R30"/>
      <c r="S30"/>
      <c r="T30"/>
      <c r="AE30" s="142" t="s">
        <v>95</v>
      </c>
      <c r="AF30" s="87" t="s">
        <v>96</v>
      </c>
      <c r="AQ30"/>
      <c r="AR30"/>
      <c r="AS30"/>
      <c r="AT30"/>
      <c r="AU30"/>
      <c r="AV30"/>
      <c r="AW30"/>
    </row>
    <row r="31" spans="1:49" ht="15.75" customHeight="1">
      <c r="A31"/>
      <c r="B31" s="255" t="str">
        <f>"("&amp;VLOOKUP(C31,NodeList!$D$5:$E$68,2,FALSE)&amp;")"</f>
        <v>(Sulphur Creek Reservoir)</v>
      </c>
      <c r="C31" s="256" t="s">
        <v>161</v>
      </c>
      <c r="D31" s="388">
        <v>0.6</v>
      </c>
      <c r="E31" s="355">
        <f>$D31*((E28*(VLOOKUP(I30,'Option Tables'!$B$23:$F$26,2)))+(P28*(VLOOKUP(I30,'Option Tables'!$B$23:$F$26,3)))+(O28*(VLOOKUP(I30,'Option Tables'!$B$23:$F$26,4))+(N28*(VLOOKUP(I30,'Option Tables'!$B$23:$F$26,5)))))</f>
        <v>0</v>
      </c>
      <c r="F31" s="355">
        <f>$D31*((F28*(VLOOKUP(I30,'Option Tables'!$B$23:$F$26,2)))+(E28*(VLOOKUP(I30,'Option Tables'!$B$23:$F$26,3)))+(P28*(VLOOKUP(I30,'Option Tables'!$B$23:$F$26,4))+(O28*(VLOOKUP(I30,'Option Tables'!$B$23:$F$26,5)))))</f>
        <v>0</v>
      </c>
      <c r="G31" s="355">
        <f>$D31*((G28*(VLOOKUP(I30,'Option Tables'!$B$23:$F$26,2)))+(F28*(VLOOKUP(I30,'Option Tables'!$B$23:$F$26,3)))+(E28*(VLOOKUP(I30,'Option Tables'!$B$23:$F$26,4))+(P28*(VLOOKUP(I30,'Option Tables'!$B$23:$F$26,5)))))</f>
        <v>0</v>
      </c>
      <c r="H31" s="355">
        <f>$D31*((H28*(VLOOKUP(I30,'Option Tables'!$B$23:$F$26,2)))+(G28*(VLOOKUP(I30,'Option Tables'!$B$23:$F$26,3)))+(F28*(VLOOKUP(I30,'Option Tables'!$B$23:$F$26,4))+(E28*(VLOOKUP(I30,'Option Tables'!$B$23:$F$26,5)))))</f>
        <v>0</v>
      </c>
      <c r="I31" s="355">
        <f>$D31*((I28*(VLOOKUP(I30,'Option Tables'!$B$23:$F$26,2)))+(H28*(VLOOKUP(I30,'Option Tables'!$B$23:$F$26,3)))+(G28*(VLOOKUP(I30,'Option Tables'!$B$23:$F$26,4))+(F28*(VLOOKUP(I30,'Option Tables'!$B$23:$F$26,5)))))</f>
        <v>459.95754781345903</v>
      </c>
      <c r="J31" s="355">
        <f>$D31*((J28*(VLOOKUP(I30,'Option Tables'!$B$23:$F$26,2)))+(I28*(VLOOKUP(I30,'Option Tables'!$B$23:$F$26,3)))+(H28*(VLOOKUP(I30,'Option Tables'!$B$23:$F$26,4))+(G28*(VLOOKUP(I30,'Option Tables'!$B$23:$F$26,5)))))</f>
        <v>1001.7292214091124</v>
      </c>
      <c r="K31" s="355">
        <f>$D31*((K28*(VLOOKUP(I30,'Option Tables'!$B$23:$F$26,2)))+(J28*(VLOOKUP(I30,'Option Tables'!$B$23:$F$26,3)))+(I28*(VLOOKUP(I30,'Option Tables'!$B$23:$F$26,4))+(H28*(VLOOKUP(I30,'Option Tables'!$B$23:$F$26,5)))))</f>
        <v>917.95325133536198</v>
      </c>
      <c r="L31" s="355">
        <f>$D31*((L28*(VLOOKUP(I30,'Option Tables'!$B$23:$F$26,2)))+(K28*(VLOOKUP(I30,'Option Tables'!$B$23:$F$26,3)))+(J28*(VLOOKUP(I30,'Option Tables'!$B$23:$F$26,4))+(I28*(VLOOKUP(I30,'Option Tables'!$B$23:$F$26,5)))))</f>
        <v>645.13378784019824</v>
      </c>
      <c r="M31" s="355">
        <f>$D31*((M28*(VLOOKUP(I30,'Option Tables'!$B$23:$F$26,2)))+(L28*(VLOOKUP(I30,'Option Tables'!$B$23:$F$26,3)))+(K28*(VLOOKUP(I30,'Option Tables'!$B$23:$F$26,4))+(J28*(VLOOKUP(I30,'Option Tables'!$B$23:$F$26,5)))))</f>
        <v>430.57522841474844</v>
      </c>
      <c r="N31" s="355">
        <f>$D31*((N28*(VLOOKUP(I30,'Option Tables'!$B$23:$F$26,2)))+(M28*(VLOOKUP(I30,'Option Tables'!$B$23:$F$26,3)))+(L28*(VLOOKUP(I30,'Option Tables'!$B$23:$F$26,4))+(K28*(VLOOKUP(I30,'Option Tables'!$B$23:$F$26,5)))))</f>
        <v>164.04569573947887</v>
      </c>
      <c r="O31" s="355">
        <f>$D31*((O28*(VLOOKUP(I30,'Option Tables'!$B$23:$F$26,2)))+(N28*(VLOOKUP(I30,'Option Tables'!$B$23:$F$26,3)))+(M28*(VLOOKUP(I30,'Option Tables'!$B$23:$F$26,4))+(L28*(VLOOKUP(I30,'Option Tables'!$B$23:$F$26,5)))))</f>
        <v>53.62796110300588</v>
      </c>
      <c r="P31" s="465">
        <f>$D31*((P28*(VLOOKUP(I30,'Option Tables'!$B$23:$F$26,2)))+(O28*(VLOOKUP(I30,'Option Tables'!$B$23:$F$26,3)))+(N28*(VLOOKUP(I30,'Option Tables'!$B$23:$F$26,4))+(M28*(VLOOKUP(I30,'Option Tables'!$B$23:$F$26,5)))))</f>
        <v>19.142405747773889</v>
      </c>
      <c r="Q31"/>
      <c r="R31"/>
      <c r="S31"/>
      <c r="T31"/>
      <c r="AE31" s="142" t="s">
        <v>97</v>
      </c>
      <c r="AF31" s="660" t="s">
        <v>98</v>
      </c>
      <c r="AG31" s="660"/>
      <c r="AH31" s="660"/>
      <c r="AI31" s="660"/>
      <c r="AJ31" s="660"/>
      <c r="AK31" s="660"/>
      <c r="AL31" s="660"/>
      <c r="AM31" s="660"/>
      <c r="AN31" s="660"/>
      <c r="AO31" s="660"/>
      <c r="AQ31"/>
      <c r="AR31"/>
      <c r="AS31"/>
      <c r="AT31"/>
      <c r="AU31"/>
      <c r="AV31"/>
      <c r="AW31"/>
    </row>
    <row r="32" spans="1:49" ht="15.75" customHeight="1">
      <c r="A32"/>
      <c r="B32" s="255" t="str">
        <f>"("&amp;VLOOKUP(C32,NodeList!$D$5:$E$68,2,FALSE)&amp;")"</f>
        <v>(AggDiv SC-2)</v>
      </c>
      <c r="C32" s="256" t="s">
        <v>189</v>
      </c>
      <c r="D32" s="388">
        <v>0.4</v>
      </c>
      <c r="E32" s="355">
        <f>$D32*((E28*(VLOOKUP(I30,'Option Tables'!$B$23:$F$26,2)))+(P28*(VLOOKUP(I30,'Option Tables'!$B$23:$F$26,3)))+(O28*(VLOOKUP(I30,'Option Tables'!$B$23:$F$26,4))+(N28*(VLOOKUP(I30,'Option Tables'!$B$23:$F$26,5)))))</f>
        <v>0</v>
      </c>
      <c r="F32" s="355">
        <f>$D32*((F28*(VLOOKUP(I30,'Option Tables'!$B$23:$F$26,2)))+(E28*(VLOOKUP(I30,'Option Tables'!$B$23:$F$26,3)))+(P28*(VLOOKUP(I30,'Option Tables'!$B$23:$F$26,4))+(O28*(VLOOKUP(I30,'Option Tables'!$B$23:$F$26,5)))))</f>
        <v>0</v>
      </c>
      <c r="G32" s="355">
        <f>$D32*((G28*(VLOOKUP(I30,'Option Tables'!$B$23:$F$26,2)))+(F28*(VLOOKUP(I30,'Option Tables'!$B$23:$F$26,3)))+(E28*(VLOOKUP(I30,'Option Tables'!$B$23:$F$26,4))+(P28*(VLOOKUP(I30,'Option Tables'!$B$23:$F$26,5)))))</f>
        <v>0</v>
      </c>
      <c r="H32" s="355">
        <f>$D32*((H28*(VLOOKUP(I30,'Option Tables'!$B$23:$F$26,2)))+(G28*(VLOOKUP(I30,'Option Tables'!$B$23:$F$26,3)))+(F28*(VLOOKUP(I30,'Option Tables'!$B$23:$F$26,4))+(E28*(VLOOKUP(I30,'Option Tables'!$B$23:$F$26,5)))))</f>
        <v>0</v>
      </c>
      <c r="I32" s="355">
        <f>$D32*((I28*(VLOOKUP(I30,'Option Tables'!$B$23:$F$26,2)))+(H28*(VLOOKUP(I30,'Option Tables'!$B$23:$F$26,3)))+(G28*(VLOOKUP(I30,'Option Tables'!$B$23:$F$26,4))+(F28*(VLOOKUP(I30,'Option Tables'!$B$23:$F$26,5)))))</f>
        <v>306.63836520897274</v>
      </c>
      <c r="J32" s="355">
        <f>$D32*((J28*(VLOOKUP(I30,'Option Tables'!$B$23:$F$26,2)))+(I28*(VLOOKUP(I30,'Option Tables'!$B$23:$F$26,3)))+(H28*(VLOOKUP(I30,'Option Tables'!$B$23:$F$26,4))+(G28*(VLOOKUP(I30,'Option Tables'!$B$23:$F$26,5)))))</f>
        <v>667.81948093940832</v>
      </c>
      <c r="K32" s="355">
        <f>$D32*((K28*(VLOOKUP(I30,'Option Tables'!$B$23:$F$26,2)))+(J28*(VLOOKUP(I30,'Option Tables'!$B$23:$F$26,3)))+(I28*(VLOOKUP(I30,'Option Tables'!$B$23:$F$26,4))+(H28*(VLOOKUP(I30,'Option Tables'!$B$23:$F$26,5)))))</f>
        <v>611.96883422357473</v>
      </c>
      <c r="L32" s="355">
        <f>$D32*((L28*(VLOOKUP(I30,'Option Tables'!$B$23:$F$26,2)))+(K28*(VLOOKUP(I30,'Option Tables'!$B$23:$F$26,3)))+(J28*(VLOOKUP(I30,'Option Tables'!$B$23:$F$26,4))+(I28*(VLOOKUP(I30,'Option Tables'!$B$23:$F$26,5)))))</f>
        <v>430.08919189346557</v>
      </c>
      <c r="M32" s="355">
        <f>$D32*((M28*(VLOOKUP(I30,'Option Tables'!$B$23:$F$26,2)))+(L28*(VLOOKUP(I30,'Option Tables'!$B$23:$F$26,3)))+(K28*(VLOOKUP(I30,'Option Tables'!$B$23:$F$26,4))+(J28*(VLOOKUP(I30,'Option Tables'!$B$23:$F$26,5)))))</f>
        <v>287.05015227649898</v>
      </c>
      <c r="N32" s="355">
        <f>$D32*((N28*(VLOOKUP(I30,'Option Tables'!$B$23:$F$26,2)))+(M28*(VLOOKUP(I30,'Option Tables'!$B$23:$F$26,3)))+(L28*(VLOOKUP(I30,'Option Tables'!$B$23:$F$26,4))+(K28*(VLOOKUP(I30,'Option Tables'!$B$23:$F$26,5)))))</f>
        <v>109.36379715965259</v>
      </c>
      <c r="O32" s="355">
        <f>$D32*((O28*(VLOOKUP(I30,'Option Tables'!$B$23:$F$26,2)))+(N28*(VLOOKUP(I30,'Option Tables'!$B$23:$F$26,3)))+(M28*(VLOOKUP(I30,'Option Tables'!$B$23:$F$26,4))+(L28*(VLOOKUP(I30,'Option Tables'!$B$23:$F$26,5)))))</f>
        <v>35.751974068670584</v>
      </c>
      <c r="P32" s="465">
        <f>$D32*((P28*(VLOOKUP(I30,'Option Tables'!$B$23:$F$26,2)))+(O28*(VLOOKUP(I30,'Option Tables'!$B$23:$F$26,3)))+(N28*(VLOOKUP(I30,'Option Tables'!$B$23:$F$26,4))+(M28*(VLOOKUP(I30,'Option Tables'!$B$23:$F$26,5)))))</f>
        <v>12.761603831849261</v>
      </c>
      <c r="Q32"/>
      <c r="R32"/>
      <c r="S32"/>
      <c r="T32"/>
      <c r="AF32" s="660"/>
      <c r="AG32" s="660"/>
      <c r="AH32" s="660"/>
      <c r="AI32" s="660"/>
      <c r="AJ32" s="660"/>
      <c r="AK32" s="660"/>
      <c r="AL32" s="660"/>
      <c r="AM32" s="660"/>
      <c r="AN32" s="660"/>
      <c r="AO32" s="660"/>
      <c r="AQ32"/>
      <c r="AR32"/>
      <c r="AS32"/>
      <c r="AT32"/>
      <c r="AU32"/>
      <c r="AV32"/>
      <c r="AW32"/>
    </row>
    <row r="33" spans="1:49" ht="15.75" customHeight="1">
      <c r="A33"/>
      <c r="B33" s="95"/>
      <c r="C33" s="256"/>
      <c r="D33" s="388"/>
      <c r="E33" s="355">
        <f>$D33*((E28*(VLOOKUP(I30,'Option Tables'!$B$23:$F$26,2)))+(P28*(VLOOKUP(I30,'Option Tables'!$B$23:$F$26,3)))+(O28*(VLOOKUP(I30,'Option Tables'!$B$23:$F$26,4))+(N28*(VLOOKUP(I30,'Option Tables'!$B$23:$F$26,5)))))</f>
        <v>0</v>
      </c>
      <c r="F33" s="355">
        <f>$D33*((F28*(VLOOKUP(I30,'Option Tables'!$B$23:$F$26,2)))+(E28*(VLOOKUP(I30,'Option Tables'!$B$23:$F$26,3)))+(P28*(VLOOKUP(I30,'Option Tables'!$B$23:$F$26,4))+(O28*(VLOOKUP(I30,'Option Tables'!$B$23:$F$26,5)))))</f>
        <v>0</v>
      </c>
      <c r="G33" s="355">
        <f>$D33*((G28*(VLOOKUP(I30,'Option Tables'!$B$23:$F$26,2)))+(F28*(VLOOKUP(I30,'Option Tables'!$B$23:$F$26,3)))+(E28*(VLOOKUP(I30,'Option Tables'!$B$23:$F$26,4))+(P28*(VLOOKUP(I30,'Option Tables'!$B$23:$F$26,5)))))</f>
        <v>0</v>
      </c>
      <c r="H33" s="355">
        <f>$D33*((H28*(VLOOKUP(I30,'Option Tables'!$B$23:$F$26,2)))+(G28*(VLOOKUP(I30,'Option Tables'!$B$23:$F$26,3)))+(F28*(VLOOKUP(I30,'Option Tables'!$B$23:$F$26,4))+(E28*(VLOOKUP(I30,'Option Tables'!$B$23:$F$26,5)))))</f>
        <v>0</v>
      </c>
      <c r="I33" s="355">
        <f>$D33*((I28*(VLOOKUP(I30,'Option Tables'!$B$23:$F$26,2)))+(H28*(VLOOKUP(I30,'Option Tables'!$B$23:$F$26,3)))+(G28*(VLOOKUP(I30,'Option Tables'!$B$23:$F$26,4))+(F28*(VLOOKUP(I30,'Option Tables'!$B$23:$F$26,5)))))</f>
        <v>0</v>
      </c>
      <c r="J33" s="355">
        <f>$D33*((J28*(VLOOKUP(I30,'Option Tables'!$B$23:$F$26,2)))+(I28*(VLOOKUP(I30,'Option Tables'!$B$23:$F$26,3)))+(H28*(VLOOKUP(I30,'Option Tables'!$B$23:$F$26,4))+(G28*(VLOOKUP(I30,'Option Tables'!$B$23:$F$26,5)))))</f>
        <v>0</v>
      </c>
      <c r="K33" s="355">
        <f>$D33*((K28*(VLOOKUP(I30,'Option Tables'!$B$23:$F$26,2)))+(J28*(VLOOKUP(I30,'Option Tables'!$B$23:$F$26,3)))+(I28*(VLOOKUP(I30,'Option Tables'!$B$23:$F$26,4))+(H28*(VLOOKUP(I30,'Option Tables'!$B$23:$F$26,5)))))</f>
        <v>0</v>
      </c>
      <c r="L33" s="355">
        <f>$D33*((L28*(VLOOKUP(I30,'Option Tables'!$B$23:$F$26,2)))+(K28*(VLOOKUP(I30,'Option Tables'!$B$23:$F$26,3)))+(J28*(VLOOKUP(I30,'Option Tables'!$B$23:$F$26,4))+(I28*(VLOOKUP(I30,'Option Tables'!$B$23:$F$26,5)))))</f>
        <v>0</v>
      </c>
      <c r="M33" s="355">
        <f>$D33*((M28*(VLOOKUP(I30,'Option Tables'!$B$23:$F$26,2)))+(L28*(VLOOKUP(I30,'Option Tables'!$B$23:$F$26,3)))+(K28*(VLOOKUP(I30,'Option Tables'!$B$23:$F$26,4))+(J28*(VLOOKUP(I30,'Option Tables'!$B$23:$F$26,5)))))</f>
        <v>0</v>
      </c>
      <c r="N33" s="355">
        <f>$D33*((N28*(VLOOKUP(I30,'Option Tables'!$B$23:$F$26,2)))+(M28*(VLOOKUP(I30,'Option Tables'!$B$23:$F$26,3)))+(L28*(VLOOKUP(I30,'Option Tables'!$B$23:$F$26,4))+(K28*(VLOOKUP(I30,'Option Tables'!$B$23:$F$26,5)))))</f>
        <v>0</v>
      </c>
      <c r="O33" s="355">
        <f>$D33*((O28*(VLOOKUP(I30,'Option Tables'!$B$23:$F$26,2)))+(N28*(VLOOKUP(I30,'Option Tables'!$B$23:$F$26,3)))+(M28*(VLOOKUP(I30,'Option Tables'!$B$23:$F$26,4))+(L28*(VLOOKUP(I30,'Option Tables'!$B$23:$F$26,5)))))</f>
        <v>0</v>
      </c>
      <c r="P33" s="465">
        <f>$D33*((P28*(VLOOKUP(I30,'Option Tables'!$B$23:$F$26,2)))+(O28*(VLOOKUP(I30,'Option Tables'!$B$23:$F$26,3)))+(N28*(VLOOKUP(I30,'Option Tables'!$B$23:$F$26,4))+(M28*(VLOOKUP(I30,'Option Tables'!$B$23:$F$26,5)))))</f>
        <v>0</v>
      </c>
      <c r="Q33"/>
      <c r="R33"/>
      <c r="S33"/>
      <c r="T33"/>
      <c r="AD33" s="143" t="s">
        <v>93</v>
      </c>
      <c r="AE33" s="87" t="s">
        <v>99</v>
      </c>
      <c r="AQ33"/>
      <c r="AR33"/>
      <c r="AS33"/>
      <c r="AT33"/>
      <c r="AU33"/>
      <c r="AV33"/>
      <c r="AW33"/>
    </row>
    <row r="34" spans="1:49" ht="15.75" customHeight="1">
      <c r="A34"/>
      <c r="B34" s="95"/>
      <c r="C34" s="256"/>
      <c r="D34" s="388"/>
      <c r="E34" s="355">
        <f>$D34*((E28*(VLOOKUP(I30,'Option Tables'!$B$23:$F$26,2)))+(P28*(VLOOKUP(I30,'Option Tables'!$B$23:$F$26,3)))+(O28*(VLOOKUP(I30,'Option Tables'!$B$23:$F$26,4))+(N28*(VLOOKUP(I30,'Option Tables'!$B$23:$F$26,5)))))</f>
        <v>0</v>
      </c>
      <c r="F34" s="355">
        <f>$D34*((F28*(VLOOKUP(I30,'Option Tables'!$B$23:$F$26,2)))+(E28*(VLOOKUP(I30,'Option Tables'!$B$23:$F$26,3)))+(P28*(VLOOKUP(I30,'Option Tables'!$B$23:$F$26,4))+(O28*(VLOOKUP(I30,'Option Tables'!$B$23:$F$26,5)))))</f>
        <v>0</v>
      </c>
      <c r="G34" s="355">
        <f>$D34*((G28*(VLOOKUP(I30,'Option Tables'!$B$23:$F$26,2)))+(F28*(VLOOKUP(I30,'Option Tables'!$B$23:$F$26,3)))+(E28*(VLOOKUP(I30,'Option Tables'!$B$23:$F$26,4))+(P28*(VLOOKUP(I30,'Option Tables'!$B$23:$F$26,5)))))</f>
        <v>0</v>
      </c>
      <c r="H34" s="355">
        <f>$D34*((H28*(VLOOKUP(I30,'Option Tables'!$B$23:$F$26,2)))+(G28*(VLOOKUP(I30,'Option Tables'!$B$23:$F$26,3)))+(F28*(VLOOKUP(I30,'Option Tables'!$B$23:$F$26,4))+(E28*(VLOOKUP(I30,'Option Tables'!$B$23:$F$26,5)))))</f>
        <v>0</v>
      </c>
      <c r="I34" s="355">
        <f>$D34*((I28*(VLOOKUP(I30,'Option Tables'!$B$23:$F$26,2)))+(H28*(VLOOKUP(I30,'Option Tables'!$B$23:$F$26,3)))+(G28*(VLOOKUP(I30,'Option Tables'!$B$23:$F$26,4))+(F28*(VLOOKUP(I30,'Option Tables'!$B$23:$F$26,5)))))</f>
        <v>0</v>
      </c>
      <c r="J34" s="355">
        <f>$D34*((J28*(VLOOKUP(I30,'Option Tables'!$B$23:$F$26,2)))+(I28*(VLOOKUP(I30,'Option Tables'!$B$23:$F$26,3)))+(H28*(VLOOKUP(I30,'Option Tables'!$B$23:$F$26,4))+(G28*(VLOOKUP(I30,'Option Tables'!$B$23:$F$26,5)))))</f>
        <v>0</v>
      </c>
      <c r="K34" s="355">
        <f>$D34*((K28*(VLOOKUP(I30,'Option Tables'!$B$23:$F$26,2)))+(J28*(VLOOKUP(I30,'Option Tables'!$B$23:$F$26,3)))+(I28*(VLOOKUP(I30,'Option Tables'!$B$23:$F$26,4))+(H28*(VLOOKUP(I30,'Option Tables'!$B$23:$F$26,5)))))</f>
        <v>0</v>
      </c>
      <c r="L34" s="355">
        <f>$D34*((L28*(VLOOKUP(I30,'Option Tables'!$B$23:$F$26,2)))+(K28*(VLOOKUP(I30,'Option Tables'!$B$23:$F$26,3)))+(J28*(VLOOKUP(I30,'Option Tables'!$B$23:$F$26,4))+(I28*(VLOOKUP(I30,'Option Tables'!$B$23:$F$26,5)))))</f>
        <v>0</v>
      </c>
      <c r="M34" s="355">
        <f>$D34*((M28*(VLOOKUP(I30,'Option Tables'!$B$23:$F$26,2)))+(L28*(VLOOKUP(I30,'Option Tables'!$B$23:$F$26,3)))+(K28*(VLOOKUP(I30,'Option Tables'!$B$23:$F$26,4))+(J28*(VLOOKUP(I30,'Option Tables'!$B$23:$F$26,5)))))</f>
        <v>0</v>
      </c>
      <c r="N34" s="355">
        <f>$D34*((N28*(VLOOKUP(I30,'Option Tables'!$B$23:$F$26,2)))+(M28*(VLOOKUP(I30,'Option Tables'!$B$23:$F$26,3)))+(L28*(VLOOKUP(I30,'Option Tables'!$B$23:$F$26,4))+(K28*(VLOOKUP(I30,'Option Tables'!$B$23:$F$26,5)))))</f>
        <v>0</v>
      </c>
      <c r="O34" s="355">
        <f>$D34*((O28*(VLOOKUP(I30,'Option Tables'!$B$23:$F$26,2)))+(N28*(VLOOKUP(I30,'Option Tables'!$B$23:$F$26,3)))+(M28*(VLOOKUP(I30,'Option Tables'!$B$23:$F$26,4))+(L28*(VLOOKUP(I30,'Option Tables'!$B$23:$F$26,5)))))</f>
        <v>0</v>
      </c>
      <c r="P34" s="465">
        <f>$D34*((P28*(VLOOKUP(I30,'Option Tables'!$B$23:$F$26,2)))+(O28*(VLOOKUP(I30,'Option Tables'!$B$23:$F$26,3)))+(N28*(VLOOKUP(I30,'Option Tables'!$B$23:$F$26,4))+(M28*(VLOOKUP(I30,'Option Tables'!$B$23:$F$26,5)))))</f>
        <v>0</v>
      </c>
      <c r="Q34"/>
      <c r="R34"/>
      <c r="S34"/>
      <c r="T34"/>
      <c r="AP34" s="141"/>
      <c r="AQ34"/>
      <c r="AR34"/>
      <c r="AS34"/>
      <c r="AT34"/>
      <c r="AU34"/>
      <c r="AV34"/>
      <c r="AW34"/>
    </row>
    <row r="35" spans="1:49" ht="15.75" customHeight="1" thickBot="1">
      <c r="A35"/>
      <c r="B35" s="97"/>
      <c r="C35" s="144" t="str">
        <f>IF(D35&lt;&gt;1,"Must equal %100","")</f>
        <v/>
      </c>
      <c r="D35" s="71">
        <f t="shared" ref="D35:P35" si="2">SUM(D31:D34)</f>
        <v>1</v>
      </c>
      <c r="E35" s="466">
        <f t="shared" si="2"/>
        <v>0</v>
      </c>
      <c r="F35" s="466">
        <f t="shared" si="2"/>
        <v>0</v>
      </c>
      <c r="G35" s="466">
        <f t="shared" si="2"/>
        <v>0</v>
      </c>
      <c r="H35" s="466">
        <f t="shared" si="2"/>
        <v>0</v>
      </c>
      <c r="I35" s="466">
        <f t="shared" si="2"/>
        <v>766.59591302243177</v>
      </c>
      <c r="J35" s="466">
        <f t="shared" si="2"/>
        <v>1669.5487023485207</v>
      </c>
      <c r="K35" s="466">
        <f t="shared" si="2"/>
        <v>1529.9220855589367</v>
      </c>
      <c r="L35" s="466">
        <f t="shared" si="2"/>
        <v>1075.2229797336638</v>
      </c>
      <c r="M35" s="466">
        <f t="shared" si="2"/>
        <v>717.62538069124741</v>
      </c>
      <c r="N35" s="466">
        <f t="shared" si="2"/>
        <v>273.40949289913146</v>
      </c>
      <c r="O35" s="466">
        <f t="shared" si="2"/>
        <v>89.379935171676465</v>
      </c>
      <c r="P35" s="467">
        <f t="shared" si="2"/>
        <v>31.90400957962315</v>
      </c>
      <c r="Q35"/>
      <c r="R35" s="140"/>
      <c r="S35"/>
      <c r="T35"/>
      <c r="AE35" s="142" t="s">
        <v>100</v>
      </c>
      <c r="AF35" s="660" t="s">
        <v>101</v>
      </c>
      <c r="AG35" s="660"/>
      <c r="AH35" s="660"/>
      <c r="AI35" s="660"/>
      <c r="AJ35" s="660"/>
      <c r="AK35" s="660"/>
      <c r="AL35" s="660"/>
      <c r="AM35" s="660"/>
      <c r="AN35" s="141"/>
      <c r="AO35" s="141"/>
      <c r="AP35" s="141"/>
      <c r="AQ35"/>
      <c r="AR35"/>
      <c r="AS35"/>
      <c r="AT35"/>
      <c r="AU35"/>
      <c r="AV35"/>
      <c r="AW35"/>
    </row>
    <row r="36" spans="1:49" ht="15.75" customHeight="1" thickBot="1">
      <c r="A36"/>
      <c r="B36" s="85" t="s">
        <v>61</v>
      </c>
      <c r="C36" s="257" t="str">
        <f>VLOOKUP(B36,NodeList!$D$5:$E$73,2,FALSE)</f>
        <v>Crown &amp; Pine Grove</v>
      </c>
      <c r="D36" s="91"/>
      <c r="E36" s="450"/>
      <c r="F36" s="451"/>
      <c r="G36" s="452"/>
      <c r="H36" s="453" t="s">
        <v>54</v>
      </c>
      <c r="I36" s="68">
        <v>27</v>
      </c>
      <c r="J36" s="454"/>
      <c r="K36" s="454"/>
      <c r="L36" s="454"/>
      <c r="M36" s="454"/>
      <c r="N36" s="454"/>
      <c r="O36" s="454"/>
      <c r="P36" s="455"/>
      <c r="Q36"/>
      <c r="R36"/>
      <c r="S36"/>
      <c r="T36"/>
      <c r="AE36" s="142"/>
      <c r="AF36" s="660"/>
      <c r="AG36" s="660"/>
      <c r="AH36" s="660"/>
      <c r="AI36" s="660"/>
      <c r="AJ36" s="660"/>
      <c r="AK36" s="660"/>
      <c r="AL36" s="660"/>
      <c r="AM36" s="660"/>
      <c r="AN36" s="141"/>
      <c r="AO36" s="141"/>
      <c r="AP36" s="141"/>
      <c r="AQ36"/>
      <c r="AR36"/>
      <c r="AS36"/>
      <c r="AT36"/>
      <c r="AU36"/>
      <c r="AV36"/>
      <c r="AW36"/>
    </row>
    <row r="37" spans="1:49" ht="15.75" customHeight="1">
      <c r="A37"/>
      <c r="B37" s="94"/>
      <c r="C37" s="66" t="s">
        <v>57</v>
      </c>
      <c r="D37" s="69"/>
      <c r="E37" s="456">
        <f>VLOOKUP($B36,'Diversion Data'!$B$3:$O$227,3,FALSE)</f>
        <v>0</v>
      </c>
      <c r="F37" s="456">
        <f>VLOOKUP($B36,'Diversion Data'!$B$3:$O$227,4,FALSE)</f>
        <v>0</v>
      </c>
      <c r="G37" s="456">
        <f>VLOOKUP($B36,'Diversion Data'!$B$3:$O$227,5,FALSE)</f>
        <v>0</v>
      </c>
      <c r="H37" s="456">
        <f>VLOOKUP($B36,'Diversion Data'!$B$3:$O$227,6,FALSE)</f>
        <v>0</v>
      </c>
      <c r="I37" s="456">
        <f>VLOOKUP($B36,'Diversion Data'!$B$3:$O$227,7,FALSE)</f>
        <v>688.77645359721078</v>
      </c>
      <c r="J37" s="456">
        <f>VLOOKUP($B36,'Diversion Data'!$B$3:$O$227,8,FALSE)</f>
        <v>1474.1965535522727</v>
      </c>
      <c r="K37" s="456">
        <f>VLOOKUP($B36,'Diversion Data'!$B$3:$O$227,9,FALSE)</f>
        <v>660.88451192014452</v>
      </c>
      <c r="L37" s="456">
        <f>VLOOKUP($B36,'Diversion Data'!$B$3:$O$227,10,FALSE)</f>
        <v>167.19384398522726</v>
      </c>
      <c r="M37" s="456">
        <f>VLOOKUP($B36,'Diversion Data'!$B$3:$O$227,11,FALSE)</f>
        <v>142.57387187086778</v>
      </c>
      <c r="N37" s="456">
        <f>VLOOKUP($B36,'Diversion Data'!$B$3:$O$227,12,FALSE)</f>
        <v>0</v>
      </c>
      <c r="O37" s="456">
        <f>VLOOKUP($B36,'Diversion Data'!$B$3:$O$227,13,FALSE)</f>
        <v>0</v>
      </c>
      <c r="P37" s="457">
        <f>VLOOKUP($B36,'Diversion Data'!$B$3:$O$227,14,FALSE)</f>
        <v>0</v>
      </c>
      <c r="Q37"/>
      <c r="R37"/>
      <c r="S37"/>
      <c r="T37"/>
      <c r="AE37" s="142"/>
      <c r="AF37" s="660"/>
      <c r="AG37" s="660"/>
      <c r="AH37" s="660"/>
      <c r="AI37" s="660"/>
      <c r="AJ37" s="660"/>
      <c r="AK37" s="660"/>
      <c r="AL37" s="660"/>
      <c r="AM37" s="660"/>
      <c r="AN37" s="141"/>
      <c r="AO37" s="141"/>
      <c r="AQ37"/>
      <c r="AR37"/>
      <c r="AS37"/>
      <c r="AT37"/>
      <c r="AU37"/>
      <c r="AV37"/>
      <c r="AW37"/>
    </row>
    <row r="38" spans="1:49" ht="15.75" customHeight="1">
      <c r="A38"/>
      <c r="B38" s="95"/>
      <c r="C38" s="72" t="s">
        <v>56</v>
      </c>
      <c r="D38" s="70"/>
      <c r="E38" s="458">
        <f>VLOOKUP($I36,'Option Tables'!$B$3:$N$19,2,FALSE)*E37</f>
        <v>0</v>
      </c>
      <c r="F38" s="458">
        <f>VLOOKUP($I36,'Option Tables'!$B$3:$N$19,3,FALSE)*F37</f>
        <v>0</v>
      </c>
      <c r="G38" s="458">
        <f>VLOOKUP($I36,'Option Tables'!$B$3:$N$19,4,FALSE)*G37</f>
        <v>0</v>
      </c>
      <c r="H38" s="458">
        <f>VLOOKUP($I36,'Option Tables'!$B$3:$N$19,5,FALSE)*H37</f>
        <v>0</v>
      </c>
      <c r="I38" s="458">
        <f>VLOOKUP($I36,'Option Tables'!$B$3:$N$19,6,FALSE)*I37</f>
        <v>502.80681112596386</v>
      </c>
      <c r="J38" s="458">
        <f>VLOOKUP($I36,'Option Tables'!$B$3:$N$19,7,FALSE)*J37</f>
        <v>1076.163484093159</v>
      </c>
      <c r="K38" s="458">
        <f>VLOOKUP($I36,'Option Tables'!$B$3:$N$19,8,FALSE)*K37</f>
        <v>482.44569370170547</v>
      </c>
      <c r="L38" s="458">
        <f>VLOOKUP($I36,'Option Tables'!$B$3:$N$19,9,FALSE)*L37</f>
        <v>122.05150610921589</v>
      </c>
      <c r="M38" s="458">
        <f>VLOOKUP($I36,'Option Tables'!$B$3:$N$19,10,FALSE)*M37</f>
        <v>104.07892646573347</v>
      </c>
      <c r="N38" s="458">
        <f>VLOOKUP($I36,'Option Tables'!$B$3:$N$19,11,FALSE)*N37</f>
        <v>0</v>
      </c>
      <c r="O38" s="458">
        <f>VLOOKUP($I36,'Option Tables'!$B$3:$N$19,12,FALSE)*O37</f>
        <v>0</v>
      </c>
      <c r="P38" s="459">
        <f>VLOOKUP($I36,'Option Tables'!$B$3:$N$19,13,FALSE)*P37</f>
        <v>0</v>
      </c>
      <c r="Q38"/>
      <c r="R38"/>
      <c r="S38"/>
      <c r="T38"/>
      <c r="AE38" s="142" t="s">
        <v>102</v>
      </c>
      <c r="AF38" s="87" t="s">
        <v>103</v>
      </c>
      <c r="AQ38"/>
      <c r="AR38"/>
      <c r="AS38"/>
      <c r="AT38"/>
      <c r="AU38"/>
      <c r="AV38"/>
      <c r="AW38"/>
    </row>
    <row r="39" spans="1:49" ht="15.75" customHeight="1" thickBot="1">
      <c r="A39"/>
      <c r="B39" s="95"/>
      <c r="C39" s="66"/>
      <c r="D39" s="62"/>
      <c r="E39" s="355"/>
      <c r="F39" s="355"/>
      <c r="G39" s="355"/>
      <c r="H39" s="355"/>
      <c r="I39" s="355"/>
      <c r="J39" s="355"/>
      <c r="K39" s="355"/>
      <c r="L39" s="355"/>
      <c r="M39" s="460"/>
      <c r="N39" s="460"/>
      <c r="O39" s="460"/>
      <c r="P39" s="461"/>
      <c r="Q39"/>
      <c r="R39"/>
      <c r="S39"/>
      <c r="T39"/>
      <c r="AE39" s="142" t="s">
        <v>104</v>
      </c>
      <c r="AF39" s="87" t="s">
        <v>105</v>
      </c>
    </row>
    <row r="40" spans="1:49" ht="15.75" customHeight="1" thickBot="1">
      <c r="A40"/>
      <c r="B40" s="254" t="s">
        <v>73</v>
      </c>
      <c r="C40" s="105" t="s">
        <v>73</v>
      </c>
      <c r="D40" s="105" t="s">
        <v>74</v>
      </c>
      <c r="E40" s="462"/>
      <c r="F40" s="463"/>
      <c r="G40" s="464"/>
      <c r="H40" s="464" t="s">
        <v>55</v>
      </c>
      <c r="I40" s="68">
        <v>2</v>
      </c>
      <c r="J40" s="460"/>
      <c r="K40" s="460"/>
      <c r="L40" s="460"/>
      <c r="M40" s="460"/>
      <c r="N40" s="460"/>
      <c r="O40" s="460"/>
      <c r="P40" s="461"/>
      <c r="Q40"/>
      <c r="R40"/>
      <c r="S40"/>
      <c r="T40"/>
      <c r="AD40"/>
      <c r="AE40"/>
      <c r="AF40"/>
      <c r="AG40"/>
      <c r="AH40"/>
      <c r="AI40"/>
      <c r="AJ40"/>
      <c r="AK40"/>
      <c r="AL40"/>
      <c r="AM40"/>
      <c r="AN40"/>
      <c r="AO40"/>
      <c r="AP40"/>
    </row>
    <row r="41" spans="1:49" ht="15.75" customHeight="1">
      <c r="A41"/>
      <c r="B41" s="255" t="str">
        <f>"("&amp;VLOOKUP(C41,NodeList!$D$5:$E$68,2,FALSE)&amp;")"</f>
        <v>(Lewis)</v>
      </c>
      <c r="C41" s="256" t="s">
        <v>63</v>
      </c>
      <c r="D41" s="388">
        <v>0.25</v>
      </c>
      <c r="E41" s="355">
        <f>$D41*((E38*(VLOOKUP(I40,'Option Tables'!$B$23:$F$26,2)))+(P38*(VLOOKUP(I40,'Option Tables'!$B$23:$F$26,3)))+(O38*(VLOOKUP(I40,'Option Tables'!$B$23:$F$26,4))+(N38*(VLOOKUP(I40,'Option Tables'!$B$23:$F$26,5)))))</f>
        <v>0</v>
      </c>
      <c r="F41" s="355">
        <f>$D41*((F38*(VLOOKUP(I40,'Option Tables'!$B$23:$F$26,2)))+(E38*(VLOOKUP(I40,'Option Tables'!$B$23:$F$26,3)))+(P38*(VLOOKUP(I40,'Option Tables'!$B$23:$F$26,4))+(O38*(VLOOKUP(I40,'Option Tables'!$B$23:$F$26,5)))))</f>
        <v>0</v>
      </c>
      <c r="G41" s="355">
        <f>$D41*((G38*(VLOOKUP(I40,'Option Tables'!$B$23:$F$26,2)))+(F38*(VLOOKUP(I40,'Option Tables'!$B$23:$F$26,3)))+(E38*(VLOOKUP(I40,'Option Tables'!$B$23:$F$26,4))+(P38*(VLOOKUP(I40,'Option Tables'!$B$23:$F$26,5)))))</f>
        <v>0</v>
      </c>
      <c r="H41" s="355">
        <f>$D41*((H38*(VLOOKUP(I40,'Option Tables'!$B$23:$F$26,2)))+(G38*(VLOOKUP(I40,'Option Tables'!$B$23:$F$26,3)))+(F38*(VLOOKUP(I40,'Option Tables'!$B$23:$F$26,4))+(E38*(VLOOKUP(I40,'Option Tables'!$B$23:$F$26,5)))))</f>
        <v>0</v>
      </c>
      <c r="I41" s="355">
        <f>$D41*((I38*(VLOOKUP(I40,'Option Tables'!$B$23:$F$26,2)))+(H38*(VLOOKUP(I40,'Option Tables'!$B$23:$F$26,3)))+(G38*(VLOOKUP(I40,'Option Tables'!$B$23:$F$26,4))+(F38*(VLOOKUP(I40,'Option Tables'!$B$23:$F$26,5)))))</f>
        <v>87.991191947043674</v>
      </c>
      <c r="J41" s="355">
        <f>$D41*((J38*(VLOOKUP(I40,'Option Tables'!$B$23:$F$26,2)))+(I38*(VLOOKUP(I40,'Option Tables'!$B$23:$F$26,3)))+(H38*(VLOOKUP(I40,'Option Tables'!$B$23:$F$26,4))+(G38*(VLOOKUP(I40,'Option Tables'!$B$23:$F$26,5)))))</f>
        <v>213.46895027260101</v>
      </c>
      <c r="K41" s="355">
        <f>$D41*((K38*(VLOOKUP(I40,'Option Tables'!$B$23:$F$26,2)))+(J38*(VLOOKUP(I40,'Option Tables'!$B$23:$F$26,3)))+(I38*(VLOOKUP(I40,'Option Tables'!$B$23:$F$26,4))+(H38*(VLOOKUP(I40,'Option Tables'!$B$23:$F$26,5)))))</f>
        <v>150.80634088060552</v>
      </c>
      <c r="L41" s="355">
        <f>$D41*((L38*(VLOOKUP(I40,'Option Tables'!$B$23:$F$26,2)))+(K38*(VLOOKUP(I40,'Option Tables'!$B$23:$F$26,3)))+(J38*(VLOOKUP(I40,'Option Tables'!$B$23:$F$26,4))+(I38*(VLOOKUP(I40,'Option Tables'!$B$23:$F$26,5)))))</f>
        <v>72.385385356527024</v>
      </c>
      <c r="M41" s="355">
        <f>$D41*((M38*(VLOOKUP(I40,'Option Tables'!$B$23:$F$26,2)))+(L38*(VLOOKUP(I40,'Option Tables'!$B$23:$F$26,3)))+(K38*(VLOOKUP(I40,'Option Tables'!$B$23:$F$26,4))+(J38*(VLOOKUP(I40,'Option Tables'!$B$23:$F$26,5)))))</f>
        <v>36.377529779506787</v>
      </c>
      <c r="N41" s="355">
        <f>$D41*((N38*(VLOOKUP(I40,'Option Tables'!$B$23:$F$26,2)))+(M38*(VLOOKUP(I40,'Option Tables'!$B$23:$F$26,3)))+(L38*(VLOOKUP(I40,'Option Tables'!$B$23:$F$26,4))+(K38*(VLOOKUP(I40,'Option Tables'!$B$23:$F$26,5)))))</f>
        <v>8.2552339760170721</v>
      </c>
      <c r="O41" s="355">
        <f>$D41*((O38*(VLOOKUP(I40,'Option Tables'!$B$23:$F$26,2)))+(N38*(VLOOKUP(I40,'Option Tables'!$B$23:$F$26,3)))+(M38*(VLOOKUP(I40,'Option Tables'!$B$23:$F$26,4))+(L38*(VLOOKUP(I40,'Option Tables'!$B$23:$F$26,5)))))</f>
        <v>2.601973161643337</v>
      </c>
      <c r="P41" s="465">
        <f>$D41*((P38*(VLOOKUP(I40,'Option Tables'!$B$23:$F$26,2)))+(O38*(VLOOKUP(I40,'Option Tables'!$B$23:$F$26,3)))+(N38*(VLOOKUP(I40,'Option Tables'!$B$23:$F$26,4))+(M38*(VLOOKUP(I40,'Option Tables'!$B$23:$F$26,5)))))</f>
        <v>0</v>
      </c>
      <c r="Q41"/>
      <c r="R41"/>
      <c r="S41"/>
      <c r="T41"/>
      <c r="AD41"/>
      <c r="AE41"/>
      <c r="AF41"/>
      <c r="AG41"/>
      <c r="AH41"/>
      <c r="AI41"/>
      <c r="AJ41"/>
      <c r="AK41"/>
      <c r="AL41"/>
      <c r="AM41"/>
      <c r="AN41"/>
      <c r="AO41"/>
      <c r="AP41"/>
    </row>
    <row r="42" spans="1:49" ht="15.75" customHeight="1">
      <c r="A42"/>
      <c r="B42" s="255" t="str">
        <f>"("&amp;VLOOKUP(C42,NodeList!$D$5:$E$68,2,FALSE)&amp;")"</f>
        <v>(Confluence Mill Cr.)</v>
      </c>
      <c r="C42" s="256" t="s">
        <v>319</v>
      </c>
      <c r="D42" s="388">
        <v>0.25</v>
      </c>
      <c r="E42" s="355">
        <f>$D42*((E38*(VLOOKUP(I40,'Option Tables'!$B$23:$F$26,2)))+(P38*(VLOOKUP(I40,'Option Tables'!$B$23:$F$26,3)))+(O38*(VLOOKUP(I40,'Option Tables'!$B$23:$F$26,4))+(N38*(VLOOKUP(I40,'Option Tables'!$B$23:$F$26,5)))))</f>
        <v>0</v>
      </c>
      <c r="F42" s="355">
        <f>$D42*((F38*(VLOOKUP(I40,'Option Tables'!$B$23:$F$26,2)))+(E38*(VLOOKUP(I40,'Option Tables'!$B$23:$F$26,3)))+(P38*(VLOOKUP(I40,'Option Tables'!$B$23:$F$26,4))+(O38*(VLOOKUP(I40,'Option Tables'!$B$23:$F$26,5)))))</f>
        <v>0</v>
      </c>
      <c r="G42" s="355">
        <f>$D42*((G38*(VLOOKUP(I40,'Option Tables'!$B$23:$F$26,2)))+(F38*(VLOOKUP(I40,'Option Tables'!$B$23:$F$26,3)))+(E38*(VLOOKUP(I40,'Option Tables'!$B$23:$F$26,4))+(P38*(VLOOKUP(I40,'Option Tables'!$B$23:$F$26,5)))))</f>
        <v>0</v>
      </c>
      <c r="H42" s="355">
        <f>$D42*((H38*(VLOOKUP(I40,'Option Tables'!$B$23:$F$26,2)))+(G38*(VLOOKUP(I40,'Option Tables'!$B$23:$F$26,3)))+(F38*(VLOOKUP(I40,'Option Tables'!$B$23:$F$26,4))+(E38*(VLOOKUP(I40,'Option Tables'!$B$23:$F$26,5)))))</f>
        <v>0</v>
      </c>
      <c r="I42" s="355">
        <f>$D42*((I38*(VLOOKUP(I40,'Option Tables'!$B$23:$F$26,2)))+(H38*(VLOOKUP(I40,'Option Tables'!$B$23:$F$26,3)))+(G38*(VLOOKUP(I40,'Option Tables'!$B$23:$F$26,4))+(F38*(VLOOKUP(I40,'Option Tables'!$B$23:$F$26,5)))))</f>
        <v>87.991191947043674</v>
      </c>
      <c r="J42" s="355">
        <f>$D42*((J38*(VLOOKUP(I40,'Option Tables'!$B$23:$F$26,2)))+(I38*(VLOOKUP(I40,'Option Tables'!$B$23:$F$26,3)))+(H38*(VLOOKUP(I40,'Option Tables'!$B$23:$F$26,4))+(G38*(VLOOKUP(I40,'Option Tables'!$B$23:$F$26,5)))))</f>
        <v>213.46895027260101</v>
      </c>
      <c r="K42" s="355">
        <f>$D42*((K38*(VLOOKUP(I40,'Option Tables'!$B$23:$F$26,2)))+(J38*(VLOOKUP(I40,'Option Tables'!$B$23:$F$26,3)))+(I38*(VLOOKUP(I40,'Option Tables'!$B$23:$F$26,4))+(H38*(VLOOKUP(I40,'Option Tables'!$B$23:$F$26,5)))))</f>
        <v>150.80634088060552</v>
      </c>
      <c r="L42" s="355">
        <f>$D42*((L38*(VLOOKUP(I40,'Option Tables'!$B$23:$F$26,2)))+(K38*(VLOOKUP(I40,'Option Tables'!$B$23:$F$26,3)))+(J38*(VLOOKUP(I40,'Option Tables'!$B$23:$F$26,4))+(I38*(VLOOKUP(I40,'Option Tables'!$B$23:$F$26,5)))))</f>
        <v>72.385385356527024</v>
      </c>
      <c r="M42" s="355">
        <f>$D42*((M38*(VLOOKUP(I40,'Option Tables'!$B$23:$F$26,2)))+(L38*(VLOOKUP(I40,'Option Tables'!$B$23:$F$26,3)))+(K38*(VLOOKUP(I40,'Option Tables'!$B$23:$F$26,4))+(J38*(VLOOKUP(I40,'Option Tables'!$B$23:$F$26,5)))))</f>
        <v>36.377529779506787</v>
      </c>
      <c r="N42" s="355">
        <f>$D42*((N38*(VLOOKUP(I40,'Option Tables'!$B$23:$F$26,2)))+(M38*(VLOOKUP(I40,'Option Tables'!$B$23:$F$26,3)))+(L38*(VLOOKUP(I40,'Option Tables'!$B$23:$F$26,4))+(K38*(VLOOKUP(I40,'Option Tables'!$B$23:$F$26,5)))))</f>
        <v>8.2552339760170721</v>
      </c>
      <c r="O42" s="355">
        <f>$D42*((O38*(VLOOKUP(I40,'Option Tables'!$B$23:$F$26,2)))+(N38*(VLOOKUP(I40,'Option Tables'!$B$23:$F$26,3)))+(M38*(VLOOKUP(I40,'Option Tables'!$B$23:$F$26,4))+(L38*(VLOOKUP(I40,'Option Tables'!$B$23:$F$26,5)))))</f>
        <v>2.601973161643337</v>
      </c>
      <c r="P42" s="465">
        <f>$D42*((P38*(VLOOKUP(I40,'Option Tables'!$B$23:$F$26,2)))+(O38*(VLOOKUP(I40,'Option Tables'!$B$23:$F$26,3)))+(N38*(VLOOKUP(I40,'Option Tables'!$B$23:$F$26,4))+(M38*(VLOOKUP(I40,'Option Tables'!$B$23:$F$26,5)))))</f>
        <v>0</v>
      </c>
      <c r="Q42"/>
      <c r="R42"/>
      <c r="S42"/>
      <c r="T42"/>
    </row>
    <row r="43" spans="1:49" ht="15.75" customHeight="1">
      <c r="A43"/>
      <c r="B43" s="255" t="str">
        <f>"("&amp;VLOOKUP(C43,NodeList!$D$5:$E$68,2,FALSE)&amp;")"</f>
        <v>(Meyers No. 2)</v>
      </c>
      <c r="C43" s="256" t="s">
        <v>64</v>
      </c>
      <c r="D43" s="388">
        <v>0.5</v>
      </c>
      <c r="E43" s="355">
        <f>$D43*((E38*(VLOOKUP(I40,'Option Tables'!$B$23:$F$26,2)))+(P38*(VLOOKUP(I40,'Option Tables'!$B$23:$F$26,3)))+(O38*(VLOOKUP(I40,'Option Tables'!$B$23:$F$26,4))+(N38*(VLOOKUP(I40,'Option Tables'!$B$23:$F$26,5)))))</f>
        <v>0</v>
      </c>
      <c r="F43" s="355">
        <f>$D43*((F38*(VLOOKUP(I40,'Option Tables'!$B$23:$F$26,2)))+(E38*(VLOOKUP(I40,'Option Tables'!$B$23:$F$26,3)))+(P38*(VLOOKUP(I40,'Option Tables'!$B$23:$F$26,4))+(O38*(VLOOKUP(I40,'Option Tables'!$B$23:$F$26,5)))))</f>
        <v>0</v>
      </c>
      <c r="G43" s="355">
        <f>$D43*((G38*(VLOOKUP(I40,'Option Tables'!$B$23:$F$26,2)))+(F38*(VLOOKUP(I40,'Option Tables'!$B$23:$F$26,3)))+(E38*(VLOOKUP(I40,'Option Tables'!$B$23:$F$26,4))+(P38*(VLOOKUP(I40,'Option Tables'!$B$23:$F$26,5)))))</f>
        <v>0</v>
      </c>
      <c r="H43" s="355">
        <f>$D43*((H38*(VLOOKUP(I40,'Option Tables'!$B$23:$F$26,2)))+(G38*(VLOOKUP(I40,'Option Tables'!$B$23:$F$26,3)))+(F38*(VLOOKUP(I40,'Option Tables'!$B$23:$F$26,4))+(E38*(VLOOKUP(I40,'Option Tables'!$B$23:$F$26,5)))))</f>
        <v>0</v>
      </c>
      <c r="I43" s="355">
        <f>$D43*((I38*(VLOOKUP(I40,'Option Tables'!$B$23:$F$26,2)))+(H38*(VLOOKUP(I40,'Option Tables'!$B$23:$F$26,3)))+(G38*(VLOOKUP(I40,'Option Tables'!$B$23:$F$26,4))+(F38*(VLOOKUP(I40,'Option Tables'!$B$23:$F$26,5)))))</f>
        <v>175.98238389408735</v>
      </c>
      <c r="J43" s="355">
        <f>$D43*((J38*(VLOOKUP(I40,'Option Tables'!$B$23:$F$26,2)))+(I38*(VLOOKUP(I40,'Option Tables'!$B$23:$F$26,3)))+(H38*(VLOOKUP(I40,'Option Tables'!$B$23:$F$26,4))+(G38*(VLOOKUP(I40,'Option Tables'!$B$23:$F$26,5)))))</f>
        <v>426.93790054520201</v>
      </c>
      <c r="K43" s="355">
        <f>$D43*((K38*(VLOOKUP(I40,'Option Tables'!$B$23:$F$26,2)))+(J38*(VLOOKUP(I40,'Option Tables'!$B$23:$F$26,3)))+(I38*(VLOOKUP(I40,'Option Tables'!$B$23:$F$26,4))+(H38*(VLOOKUP(I40,'Option Tables'!$B$23:$F$26,5)))))</f>
        <v>301.61268176121104</v>
      </c>
      <c r="L43" s="355">
        <f>$D43*((L38*(VLOOKUP(I40,'Option Tables'!$B$23:$F$26,2)))+(K38*(VLOOKUP(I40,'Option Tables'!$B$23:$F$26,3)))+(J38*(VLOOKUP(I40,'Option Tables'!$B$23:$F$26,4))+(I38*(VLOOKUP(I40,'Option Tables'!$B$23:$F$26,5)))))</f>
        <v>144.77077071305405</v>
      </c>
      <c r="M43" s="355">
        <f>$D43*((M38*(VLOOKUP(I40,'Option Tables'!$B$23:$F$26,2)))+(L38*(VLOOKUP(I40,'Option Tables'!$B$23:$F$26,3)))+(K38*(VLOOKUP(I40,'Option Tables'!$B$23:$F$26,4))+(J38*(VLOOKUP(I40,'Option Tables'!$B$23:$F$26,5)))))</f>
        <v>72.755059559013574</v>
      </c>
      <c r="N43" s="355">
        <f>$D43*((N38*(VLOOKUP(I40,'Option Tables'!$B$23:$F$26,2)))+(M38*(VLOOKUP(I40,'Option Tables'!$B$23:$F$26,3)))+(L38*(VLOOKUP(I40,'Option Tables'!$B$23:$F$26,4))+(K38*(VLOOKUP(I40,'Option Tables'!$B$23:$F$26,5)))))</f>
        <v>16.510467952034144</v>
      </c>
      <c r="O43" s="355">
        <f>$D43*((O38*(VLOOKUP(I40,'Option Tables'!$B$23:$F$26,2)))+(N38*(VLOOKUP(I40,'Option Tables'!$B$23:$F$26,3)))+(M38*(VLOOKUP(I40,'Option Tables'!$B$23:$F$26,4))+(L38*(VLOOKUP(I40,'Option Tables'!$B$23:$F$26,5)))))</f>
        <v>5.2039463232866741</v>
      </c>
      <c r="P43" s="465">
        <f>$D43*((P38*(VLOOKUP(I40,'Option Tables'!$B$23:$F$26,2)))+(O38*(VLOOKUP(I40,'Option Tables'!$B$23:$F$26,3)))+(N38*(VLOOKUP(I40,'Option Tables'!$B$23:$F$26,4))+(M38*(VLOOKUP(I40,'Option Tables'!$B$23:$F$26,5)))))</f>
        <v>0</v>
      </c>
      <c r="Q43"/>
      <c r="R43"/>
      <c r="S43"/>
      <c r="T43"/>
    </row>
    <row r="44" spans="1:49" ht="15.75" customHeight="1">
      <c r="A44"/>
      <c r="B44" s="95"/>
      <c r="C44" s="256"/>
      <c r="D44" s="388">
        <v>0</v>
      </c>
      <c r="E44" s="355">
        <f>$D44*((E38*(VLOOKUP(I40,'Option Tables'!$B$23:$F$26,2)))+(P38*(VLOOKUP(I40,'Option Tables'!$B$23:$F$26,3)))+(O38*(VLOOKUP(I40,'Option Tables'!$B$23:$F$26,4))+(N38*(VLOOKUP(I40,'Option Tables'!$B$23:$F$26,5)))))</f>
        <v>0</v>
      </c>
      <c r="F44" s="355">
        <f>$D44*((F38*(VLOOKUP(I40,'Option Tables'!$B$23:$F$26,2)))+(E38*(VLOOKUP(I40,'Option Tables'!$B$23:$F$26,3)))+(P38*(VLOOKUP(I40,'Option Tables'!$B$23:$F$26,4))+(O38*(VLOOKUP(I40,'Option Tables'!$B$23:$F$26,5)))))</f>
        <v>0</v>
      </c>
      <c r="G44" s="355">
        <f>$D44*((G38*(VLOOKUP(I40,'Option Tables'!$B$23:$F$26,2)))+(F38*(VLOOKUP(I40,'Option Tables'!$B$23:$F$26,3)))+(E38*(VLOOKUP(I40,'Option Tables'!$B$23:$F$26,4))+(P38*(VLOOKUP(I40,'Option Tables'!$B$23:$F$26,5)))))</f>
        <v>0</v>
      </c>
      <c r="H44" s="355">
        <f>$D44*((H38*(VLOOKUP(I40,'Option Tables'!$B$23:$F$26,2)))+(G38*(VLOOKUP(I40,'Option Tables'!$B$23:$F$26,3)))+(F38*(VLOOKUP(I40,'Option Tables'!$B$23:$F$26,4))+(E38*(VLOOKUP(I40,'Option Tables'!$B$23:$F$26,5)))))</f>
        <v>0</v>
      </c>
      <c r="I44" s="355">
        <f>$D44*((I38*(VLOOKUP(I40,'Option Tables'!$B$23:$F$26,2)))+(H38*(VLOOKUP(I40,'Option Tables'!$B$23:$F$26,3)))+(G38*(VLOOKUP(I40,'Option Tables'!$B$23:$F$26,4))+(F38*(VLOOKUP(I40,'Option Tables'!$B$23:$F$26,5)))))</f>
        <v>0</v>
      </c>
      <c r="J44" s="355">
        <f>$D44*((J38*(VLOOKUP(I40,'Option Tables'!$B$23:$F$26,2)))+(I38*(VLOOKUP(I40,'Option Tables'!$B$23:$F$26,3)))+(H38*(VLOOKUP(I40,'Option Tables'!$B$23:$F$26,4))+(G38*(VLOOKUP(I40,'Option Tables'!$B$23:$F$26,5)))))</f>
        <v>0</v>
      </c>
      <c r="K44" s="355">
        <f>$D44*((K38*(VLOOKUP(I40,'Option Tables'!$B$23:$F$26,2)))+(J38*(VLOOKUP(I40,'Option Tables'!$B$23:$F$26,3)))+(I38*(VLOOKUP(I40,'Option Tables'!$B$23:$F$26,4))+(H38*(VLOOKUP(I40,'Option Tables'!$B$23:$F$26,5)))))</f>
        <v>0</v>
      </c>
      <c r="L44" s="355">
        <f>$D44*((L38*(VLOOKUP(I40,'Option Tables'!$B$23:$F$26,2)))+(K38*(VLOOKUP(I40,'Option Tables'!$B$23:$F$26,3)))+(J38*(VLOOKUP(I40,'Option Tables'!$B$23:$F$26,4))+(I38*(VLOOKUP(I40,'Option Tables'!$B$23:$F$26,5)))))</f>
        <v>0</v>
      </c>
      <c r="M44" s="355">
        <f>$D44*((M38*(VLOOKUP(I40,'Option Tables'!$B$23:$F$26,2)))+(L38*(VLOOKUP(I40,'Option Tables'!$B$23:$F$26,3)))+(K38*(VLOOKUP(I40,'Option Tables'!$B$23:$F$26,4))+(J38*(VLOOKUP(I40,'Option Tables'!$B$23:$F$26,5)))))</f>
        <v>0</v>
      </c>
      <c r="N44" s="355">
        <f>$D44*((N38*(VLOOKUP(I40,'Option Tables'!$B$23:$F$26,2)))+(M38*(VLOOKUP(I40,'Option Tables'!$B$23:$F$26,3)))+(L38*(VLOOKUP(I40,'Option Tables'!$B$23:$F$26,4))+(K38*(VLOOKUP(I40,'Option Tables'!$B$23:$F$26,5)))))</f>
        <v>0</v>
      </c>
      <c r="O44" s="355">
        <f>$D44*((O38*(VLOOKUP(I40,'Option Tables'!$B$23:$F$26,2)))+(N38*(VLOOKUP(I40,'Option Tables'!$B$23:$F$26,3)))+(M38*(VLOOKUP(I40,'Option Tables'!$B$23:$F$26,4))+(L38*(VLOOKUP(I40,'Option Tables'!$B$23:$F$26,5)))))</f>
        <v>0</v>
      </c>
      <c r="P44" s="465">
        <f>$D44*((P38*(VLOOKUP(I40,'Option Tables'!$B$23:$F$26,2)))+(O38*(VLOOKUP(I40,'Option Tables'!$B$23:$F$26,3)))+(N38*(VLOOKUP(I40,'Option Tables'!$B$23:$F$26,4))+(M38*(VLOOKUP(I40,'Option Tables'!$B$23:$F$26,5)))))</f>
        <v>0</v>
      </c>
      <c r="Q44"/>
      <c r="R44"/>
      <c r="S44"/>
      <c r="T44"/>
    </row>
    <row r="45" spans="1:49" ht="15.75" customHeight="1" thickBot="1">
      <c r="A45"/>
      <c r="B45" s="97"/>
      <c r="C45" s="144" t="str">
        <f>IF(D45&lt;&gt;1,"Must equal %100","")</f>
        <v/>
      </c>
      <c r="D45" s="71">
        <f t="shared" ref="D45:P45" si="3">SUM(D41:D44)</f>
        <v>1</v>
      </c>
      <c r="E45" s="466">
        <f t="shared" si="3"/>
        <v>0</v>
      </c>
      <c r="F45" s="466">
        <f t="shared" si="3"/>
        <v>0</v>
      </c>
      <c r="G45" s="466">
        <f t="shared" si="3"/>
        <v>0</v>
      </c>
      <c r="H45" s="466">
        <f t="shared" si="3"/>
        <v>0</v>
      </c>
      <c r="I45" s="466">
        <f t="shared" si="3"/>
        <v>351.9647677881747</v>
      </c>
      <c r="J45" s="466">
        <f t="shared" si="3"/>
        <v>853.87580109040402</v>
      </c>
      <c r="K45" s="466">
        <f t="shared" si="3"/>
        <v>603.22536352242207</v>
      </c>
      <c r="L45" s="466">
        <f t="shared" si="3"/>
        <v>289.5415414261081</v>
      </c>
      <c r="M45" s="466">
        <f t="shared" si="3"/>
        <v>145.51011911802715</v>
      </c>
      <c r="N45" s="466">
        <f t="shared" si="3"/>
        <v>33.020935904068288</v>
      </c>
      <c r="O45" s="466">
        <f t="shared" si="3"/>
        <v>10.407892646573348</v>
      </c>
      <c r="P45" s="467">
        <f t="shared" si="3"/>
        <v>0</v>
      </c>
      <c r="Q45"/>
      <c r="R45" s="140"/>
      <c r="S45"/>
      <c r="T45"/>
    </row>
    <row r="46" spans="1:49" ht="15.75" customHeight="1" thickBot="1">
      <c r="A46"/>
      <c r="B46" s="85" t="s">
        <v>62</v>
      </c>
      <c r="C46" s="284" t="str">
        <f>VLOOKUP(B46,NodeList!$D$5:$E$73,2,FALSE)</f>
        <v>McGraw &amp; Big Bend</v>
      </c>
      <c r="D46" s="91"/>
      <c r="E46" s="450"/>
      <c r="F46" s="451"/>
      <c r="G46" s="452"/>
      <c r="H46" s="453" t="s">
        <v>54</v>
      </c>
      <c r="I46" s="68">
        <v>30</v>
      </c>
      <c r="J46" s="454"/>
      <c r="K46" s="454"/>
      <c r="L46" s="454"/>
      <c r="M46" s="454"/>
      <c r="N46" s="454"/>
      <c r="O46" s="454"/>
      <c r="P46" s="455"/>
      <c r="Q46"/>
      <c r="R46"/>
      <c r="S46"/>
      <c r="T46"/>
    </row>
    <row r="47" spans="1:49" ht="15.75" customHeight="1">
      <c r="A47"/>
      <c r="B47" s="94"/>
      <c r="C47" s="66" t="s">
        <v>57</v>
      </c>
      <c r="D47" s="69"/>
      <c r="E47" s="456">
        <f>VLOOKUP($B46,'Diversion Data'!$B$3:$O$227,3,FALSE)</f>
        <v>0</v>
      </c>
      <c r="F47" s="456">
        <f>VLOOKUP($B46,'Diversion Data'!$B$3:$O$227,4,FALSE)</f>
        <v>0</v>
      </c>
      <c r="G47" s="456">
        <f>VLOOKUP($B46,'Diversion Data'!$B$3:$O$227,5,FALSE)</f>
        <v>0</v>
      </c>
      <c r="H47" s="456">
        <f>VLOOKUP($B46,'Diversion Data'!$B$3:$O$227,6,FALSE)</f>
        <v>0</v>
      </c>
      <c r="I47" s="456">
        <f>VLOOKUP($B46,'Diversion Data'!$B$3:$O$227,7,FALSE)</f>
        <v>1066.3551253000001</v>
      </c>
      <c r="J47" s="456">
        <f>VLOOKUP($B46,'Diversion Data'!$B$3:$O$227,8,FALSE)</f>
        <v>930.54365335960745</v>
      </c>
      <c r="K47" s="456">
        <f>VLOOKUP($B46,'Diversion Data'!$B$3:$O$227,9,FALSE)</f>
        <v>321.34674799690083</v>
      </c>
      <c r="L47" s="456">
        <f>VLOOKUP($B46,'Diversion Data'!$B$3:$O$227,10,FALSE)</f>
        <v>132.03061810692148</v>
      </c>
      <c r="M47" s="456">
        <f>VLOOKUP($B46,'Diversion Data'!$B$3:$O$227,11,FALSE)</f>
        <v>69.622272131404969</v>
      </c>
      <c r="N47" s="456">
        <f>VLOOKUP($B46,'Diversion Data'!$B$3:$O$227,12,FALSE)</f>
        <v>0</v>
      </c>
      <c r="O47" s="456">
        <f>VLOOKUP($B46,'Diversion Data'!$B$3:$O$227,13,FALSE)</f>
        <v>0</v>
      </c>
      <c r="P47" s="457">
        <f>VLOOKUP($B46,'Diversion Data'!$B$3:$O$227,14,FALSE)</f>
        <v>0</v>
      </c>
      <c r="Q47"/>
      <c r="R47"/>
      <c r="S47"/>
      <c r="T47"/>
    </row>
    <row r="48" spans="1:49" ht="15.75" customHeight="1">
      <c r="A48"/>
      <c r="B48" s="95"/>
      <c r="C48" s="72" t="s">
        <v>56</v>
      </c>
      <c r="D48" s="70"/>
      <c r="E48" s="458">
        <f>VLOOKUP($I46,'Option Tables'!$B$3:$N$19,2,FALSE)*E47</f>
        <v>0</v>
      </c>
      <c r="F48" s="458">
        <f>VLOOKUP($I46,'Option Tables'!$B$3:$N$19,3,FALSE)*F47</f>
        <v>0</v>
      </c>
      <c r="G48" s="458">
        <f>VLOOKUP($I46,'Option Tables'!$B$3:$N$19,4,FALSE)*G47</f>
        <v>0</v>
      </c>
      <c r="H48" s="458">
        <f>VLOOKUP($I46,'Option Tables'!$B$3:$N$19,5,FALSE)*H47</f>
        <v>0</v>
      </c>
      <c r="I48" s="458">
        <f>VLOOKUP($I46,'Option Tables'!$B$3:$N$19,6,FALSE)*I47</f>
        <v>746.44858770999997</v>
      </c>
      <c r="J48" s="458">
        <f>VLOOKUP($I46,'Option Tables'!$B$3:$N$19,7,FALSE)*J47</f>
        <v>651.3805573517252</v>
      </c>
      <c r="K48" s="458">
        <f>VLOOKUP($I46,'Option Tables'!$B$3:$N$19,8,FALSE)*K47</f>
        <v>224.94272359783056</v>
      </c>
      <c r="L48" s="458">
        <f>VLOOKUP($I46,'Option Tables'!$B$3:$N$19,9,FALSE)*L47</f>
        <v>92.421432674845036</v>
      </c>
      <c r="M48" s="458">
        <f>VLOOKUP($I46,'Option Tables'!$B$3:$N$19,10,FALSE)*M47</f>
        <v>48.735590491983473</v>
      </c>
      <c r="N48" s="458">
        <f>VLOOKUP($I46,'Option Tables'!$B$3:$N$19,11,FALSE)*N47</f>
        <v>0</v>
      </c>
      <c r="O48" s="458">
        <f>VLOOKUP($I46,'Option Tables'!$B$3:$N$19,12,FALSE)*O47</f>
        <v>0</v>
      </c>
      <c r="P48" s="459">
        <f>VLOOKUP($I46,'Option Tables'!$B$3:$N$19,13,FALSE)*P47</f>
        <v>0</v>
      </c>
      <c r="Q48"/>
      <c r="R48"/>
      <c r="S48"/>
      <c r="T48"/>
    </row>
    <row r="49" spans="1:20" ht="15.75" customHeight="1" thickBot="1">
      <c r="A49"/>
      <c r="B49" s="95"/>
      <c r="C49" s="66"/>
      <c r="D49" s="62"/>
      <c r="E49" s="355"/>
      <c r="F49" s="355"/>
      <c r="G49" s="355"/>
      <c r="H49" s="355"/>
      <c r="I49" s="355"/>
      <c r="J49" s="355"/>
      <c r="K49" s="355"/>
      <c r="L49" s="355"/>
      <c r="M49" s="460"/>
      <c r="N49" s="460"/>
      <c r="O49" s="460"/>
      <c r="P49" s="461"/>
      <c r="Q49"/>
      <c r="R49"/>
      <c r="S49"/>
      <c r="T49"/>
    </row>
    <row r="50" spans="1:20" ht="15.75" customHeight="1" thickBot="1">
      <c r="A50"/>
      <c r="B50" s="254" t="s">
        <v>73</v>
      </c>
      <c r="C50" s="105" t="s">
        <v>73</v>
      </c>
      <c r="D50" s="105" t="s">
        <v>74</v>
      </c>
      <c r="E50" s="462"/>
      <c r="F50" s="463"/>
      <c r="G50" s="464"/>
      <c r="H50" s="464" t="s">
        <v>55</v>
      </c>
      <c r="I50" s="68">
        <v>2</v>
      </c>
      <c r="J50" s="460"/>
      <c r="K50" s="460"/>
      <c r="L50" s="460"/>
      <c r="M50" s="460"/>
      <c r="N50" s="460"/>
      <c r="O50" s="460"/>
      <c r="P50" s="461"/>
      <c r="Q50"/>
      <c r="R50"/>
      <c r="S50"/>
      <c r="T50"/>
    </row>
    <row r="51" spans="1:20" ht="15.75" customHeight="1">
      <c r="A51"/>
      <c r="B51" s="255" t="str">
        <f>"("&amp;VLOOKUP(C51,NodeList!$D$5:$E$68,2,FALSE)&amp;")"</f>
        <v>(Lewis)</v>
      </c>
      <c r="C51" s="256" t="s">
        <v>63</v>
      </c>
      <c r="D51" s="388">
        <v>1</v>
      </c>
      <c r="E51" s="355">
        <f>$D51*((E48*(VLOOKUP(I50,'Option Tables'!$B$23:$F$26,2)))+(P48*(VLOOKUP(I50,'Option Tables'!$B$23:$F$26,3)))+(O48*(VLOOKUP(I50,'Option Tables'!$B$23:$F$26,4))+(N48*(VLOOKUP(I50,'Option Tables'!$B$23:$F$26,5)))))</f>
        <v>0</v>
      </c>
      <c r="F51" s="355">
        <f>$D51*((F48*(VLOOKUP(I50,'Option Tables'!$B$23:$F$26,2)))+(E48*(VLOOKUP(I50,'Option Tables'!$B$23:$F$26,3)))+(P48*(VLOOKUP(I50,'Option Tables'!$B$23:$F$26,4))+(O48*(VLOOKUP(I50,'Option Tables'!$B$23:$F$26,5)))))</f>
        <v>0</v>
      </c>
      <c r="G51" s="355">
        <f>$D51*((G48*(VLOOKUP(I50,'Option Tables'!$B$23:$F$26,2)))+(F48*(VLOOKUP(I50,'Option Tables'!$B$23:$F$26,3)))+(E48*(VLOOKUP(I50,'Option Tables'!$B$23:$F$26,4))+(P48*(VLOOKUP(I50,'Option Tables'!$B$23:$F$26,5)))))</f>
        <v>0</v>
      </c>
      <c r="H51" s="355">
        <f>$D51*((H48*(VLOOKUP(I50,'Option Tables'!$B$23:$F$26,2)))+(G48*(VLOOKUP(I50,'Option Tables'!$B$23:$F$26,3)))+(F48*(VLOOKUP(I50,'Option Tables'!$B$23:$F$26,4))+(E48*(VLOOKUP(I50,'Option Tables'!$B$23:$F$26,5)))))</f>
        <v>0</v>
      </c>
      <c r="I51" s="355">
        <f>$D51*((I48*(VLOOKUP(I50,'Option Tables'!$B$23:$F$26,2)))+(H48*(VLOOKUP(I50,'Option Tables'!$B$23:$F$26,3)))+(G48*(VLOOKUP(I50,'Option Tables'!$B$23:$F$26,4))+(F48*(VLOOKUP(I50,'Option Tables'!$B$23:$F$26,5)))))</f>
        <v>522.51401139699999</v>
      </c>
      <c r="J51" s="355">
        <f>$D51*((J48*(VLOOKUP(I50,'Option Tables'!$B$23:$F$26,2)))+(I48*(VLOOKUP(I50,'Option Tables'!$B$23:$F$26,3)))+(H48*(VLOOKUP(I50,'Option Tables'!$B$23:$F$26,4))+(G48*(VLOOKUP(I50,'Option Tables'!$B$23:$F$26,5)))))</f>
        <v>605.25610768820763</v>
      </c>
      <c r="K51" s="355">
        <f>$D51*((K48*(VLOOKUP(I50,'Option Tables'!$B$23:$F$26,2)))+(J48*(VLOOKUP(I50,'Option Tables'!$B$23:$F$26,3)))+(I48*(VLOOKUP(I50,'Option Tables'!$B$23:$F$26,4))+(H48*(VLOOKUP(I50,'Option Tables'!$B$23:$F$26,5)))))</f>
        <v>362.38087675982649</v>
      </c>
      <c r="L51" s="355">
        <f>$D51*((L48*(VLOOKUP(I50,'Option Tables'!$B$23:$F$26,2)))+(K48*(VLOOKUP(I50,'Option Tables'!$B$23:$F$26,3)))+(J48*(VLOOKUP(I50,'Option Tables'!$B$23:$F$26,4))+(I48*(VLOOKUP(I50,'Option Tables'!$B$23:$F$26,5)))))</f>
        <v>174.82160332713016</v>
      </c>
      <c r="M51" s="355">
        <f>$D51*((M48*(VLOOKUP(I50,'Option Tables'!$B$23:$F$26,2)))+(L48*(VLOOKUP(I50,'Option Tables'!$B$23:$F$26,3)))+(K48*(VLOOKUP(I50,'Option Tables'!$B$23:$F$26,4))+(J48*(VLOOKUP(I50,'Option Tables'!$B$23:$F$26,5)))))</f>
        <v>75.093472239140496</v>
      </c>
      <c r="N51" s="355">
        <f>$D51*((N48*(VLOOKUP(I50,'Option Tables'!$B$23:$F$26,2)))+(M48*(VLOOKUP(I50,'Option Tables'!$B$23:$F$26,3)))+(L48*(VLOOKUP(I50,'Option Tables'!$B$23:$F$26,4))+(K48*(VLOOKUP(I50,'Option Tables'!$B$23:$F$26,5)))))</f>
        <v>18.989261365881198</v>
      </c>
      <c r="O51" s="355">
        <f>$D51*((O48*(VLOOKUP(I50,'Option Tables'!$B$23:$F$26,2)))+(N48*(VLOOKUP(I50,'Option Tables'!$B$23:$F$26,3)))+(M48*(VLOOKUP(I50,'Option Tables'!$B$23:$F$26,4))+(L48*(VLOOKUP(I50,'Option Tables'!$B$23:$F$26,5)))))</f>
        <v>4.8735590491983478</v>
      </c>
      <c r="P51" s="465">
        <f>$D51*((P48*(VLOOKUP(I50,'Option Tables'!$B$23:$F$26,2)))+(O48*(VLOOKUP(I50,'Option Tables'!$B$23:$F$26,3)))+(N48*(VLOOKUP(I50,'Option Tables'!$B$23:$F$26,4))+(M48*(VLOOKUP(I50,'Option Tables'!$B$23:$F$26,5)))))</f>
        <v>0</v>
      </c>
      <c r="Q51"/>
      <c r="R51"/>
      <c r="S51"/>
      <c r="T51"/>
    </row>
    <row r="52" spans="1:20" ht="15.75" customHeight="1">
      <c r="A52"/>
      <c r="B52" s="95"/>
      <c r="C52" s="256"/>
      <c r="D52" s="388">
        <v>0</v>
      </c>
      <c r="E52" s="355">
        <f>$D52*((E48*(VLOOKUP(I50,'Option Tables'!$B$23:$F$26,2)))+(P48*(VLOOKUP(I50,'Option Tables'!$B$23:$F$26,3)))+(O48*(VLOOKUP(I50,'Option Tables'!$B$23:$F$26,4))+(N48*(VLOOKUP(I50,'Option Tables'!$B$23:$F$26,5)))))</f>
        <v>0</v>
      </c>
      <c r="F52" s="355">
        <f>$D52*((F48*(VLOOKUP(I50,'Option Tables'!$B$23:$F$26,2)))+(E48*(VLOOKUP(I50,'Option Tables'!$B$23:$F$26,3)))+(P48*(VLOOKUP(I50,'Option Tables'!$B$23:$F$26,4))+(O48*(VLOOKUP(I50,'Option Tables'!$B$23:$F$26,5)))))</f>
        <v>0</v>
      </c>
      <c r="G52" s="355">
        <f>$D52*((G48*(VLOOKUP(I50,'Option Tables'!$B$23:$F$26,2)))+(F48*(VLOOKUP(I50,'Option Tables'!$B$23:$F$26,3)))+(E48*(VLOOKUP(I50,'Option Tables'!$B$23:$F$26,4))+(P48*(VLOOKUP(I50,'Option Tables'!$B$23:$F$26,5)))))</f>
        <v>0</v>
      </c>
      <c r="H52" s="355">
        <f>$D52*((H48*(VLOOKUP(I50,'Option Tables'!$B$23:$F$26,2)))+(G48*(VLOOKUP(I50,'Option Tables'!$B$23:$F$26,3)))+(F48*(VLOOKUP(I50,'Option Tables'!$B$23:$F$26,4))+(E48*(VLOOKUP(I50,'Option Tables'!$B$23:$F$26,5)))))</f>
        <v>0</v>
      </c>
      <c r="I52" s="355">
        <f>$D52*((I48*(VLOOKUP(I50,'Option Tables'!$B$23:$F$26,2)))+(H48*(VLOOKUP(I50,'Option Tables'!$B$23:$F$26,3)))+(G48*(VLOOKUP(I50,'Option Tables'!$B$23:$F$26,4))+(F48*(VLOOKUP(I50,'Option Tables'!$B$23:$F$26,5)))))</f>
        <v>0</v>
      </c>
      <c r="J52" s="355">
        <f>$D52*((J48*(VLOOKUP(I50,'Option Tables'!$B$23:$F$26,2)))+(I48*(VLOOKUP(I50,'Option Tables'!$B$23:$F$26,3)))+(H48*(VLOOKUP(I50,'Option Tables'!$B$23:$F$26,4))+(G48*(VLOOKUP(I50,'Option Tables'!$B$23:$F$26,5)))))</f>
        <v>0</v>
      </c>
      <c r="K52" s="355">
        <f>$D52*((K48*(VLOOKUP(I50,'Option Tables'!$B$23:$F$26,2)))+(J48*(VLOOKUP(I50,'Option Tables'!$B$23:$F$26,3)))+(I48*(VLOOKUP(I50,'Option Tables'!$B$23:$F$26,4))+(H48*(VLOOKUP(I50,'Option Tables'!$B$23:$F$26,5)))))</f>
        <v>0</v>
      </c>
      <c r="L52" s="355">
        <f>$D52*((L48*(VLOOKUP(I50,'Option Tables'!$B$23:$F$26,2)))+(K48*(VLOOKUP(I50,'Option Tables'!$B$23:$F$26,3)))+(J48*(VLOOKUP(I50,'Option Tables'!$B$23:$F$26,4))+(I48*(VLOOKUP(I50,'Option Tables'!$B$23:$F$26,5)))))</f>
        <v>0</v>
      </c>
      <c r="M52" s="355">
        <f>$D52*((M48*(VLOOKUP(I50,'Option Tables'!$B$23:$F$26,2)))+(L48*(VLOOKUP(I50,'Option Tables'!$B$23:$F$26,3)))+(K48*(VLOOKUP(I50,'Option Tables'!$B$23:$F$26,4))+(J48*(VLOOKUP(I50,'Option Tables'!$B$23:$F$26,5)))))</f>
        <v>0</v>
      </c>
      <c r="N52" s="355">
        <f>$D52*((N48*(VLOOKUP(I50,'Option Tables'!$B$23:$F$26,2)))+(M48*(VLOOKUP(I50,'Option Tables'!$B$23:$F$26,3)))+(L48*(VLOOKUP(I50,'Option Tables'!$B$23:$F$26,4))+(K48*(VLOOKUP(I50,'Option Tables'!$B$23:$F$26,5)))))</f>
        <v>0</v>
      </c>
      <c r="O52" s="355">
        <f>$D52*((O48*(VLOOKUP(I50,'Option Tables'!$B$23:$F$26,2)))+(N48*(VLOOKUP(I50,'Option Tables'!$B$23:$F$26,3)))+(M48*(VLOOKUP(I50,'Option Tables'!$B$23:$F$26,4))+(L48*(VLOOKUP(I50,'Option Tables'!$B$23:$F$26,5)))))</f>
        <v>0</v>
      </c>
      <c r="P52" s="465">
        <f>$D52*((P48*(VLOOKUP(I50,'Option Tables'!$B$23:$F$26,2)))+(O48*(VLOOKUP(I50,'Option Tables'!$B$23:$F$26,3)))+(N48*(VLOOKUP(I50,'Option Tables'!$B$23:$F$26,4))+(M48*(VLOOKUP(I50,'Option Tables'!$B$23:$F$26,5)))))</f>
        <v>0</v>
      </c>
      <c r="Q52"/>
      <c r="R52"/>
      <c r="S52"/>
      <c r="T52"/>
    </row>
    <row r="53" spans="1:20" ht="15.75" customHeight="1">
      <c r="A53"/>
      <c r="B53" s="95"/>
      <c r="C53" s="256"/>
      <c r="D53" s="388">
        <v>0</v>
      </c>
      <c r="E53" s="355">
        <f>$D53*((E48*(VLOOKUP(I50,'Option Tables'!$B$23:$F$26,2)))+(P48*(VLOOKUP(I50,'Option Tables'!$B$23:$F$26,3)))+(O48*(VLOOKUP(I50,'Option Tables'!$B$23:$F$26,4))+(N48*(VLOOKUP(I50,'Option Tables'!$B$23:$F$26,5)))))</f>
        <v>0</v>
      </c>
      <c r="F53" s="355">
        <f>$D53*((F48*(VLOOKUP(I50,'Option Tables'!$B$23:$F$26,2)))+(E48*(VLOOKUP(I50,'Option Tables'!$B$23:$F$26,3)))+(P48*(VLOOKUP(I50,'Option Tables'!$B$23:$F$26,4))+(O48*(VLOOKUP(I50,'Option Tables'!$B$23:$F$26,5)))))</f>
        <v>0</v>
      </c>
      <c r="G53" s="355">
        <f>$D53*((G48*(VLOOKUP(I50,'Option Tables'!$B$23:$F$26,2)))+(F48*(VLOOKUP(I50,'Option Tables'!$B$23:$F$26,3)))+(E48*(VLOOKUP(I50,'Option Tables'!$B$23:$F$26,4))+(P48*(VLOOKUP(I50,'Option Tables'!$B$23:$F$26,5)))))</f>
        <v>0</v>
      </c>
      <c r="H53" s="355">
        <f>$D53*((H48*(VLOOKUP(I50,'Option Tables'!$B$23:$F$26,2)))+(G48*(VLOOKUP(I50,'Option Tables'!$B$23:$F$26,3)))+(F48*(VLOOKUP(I50,'Option Tables'!$B$23:$F$26,4))+(E48*(VLOOKUP(I50,'Option Tables'!$B$23:$F$26,5)))))</f>
        <v>0</v>
      </c>
      <c r="I53" s="355">
        <f>$D53*((I48*(VLOOKUP(I50,'Option Tables'!$B$23:$F$26,2)))+(H48*(VLOOKUP(I50,'Option Tables'!$B$23:$F$26,3)))+(G48*(VLOOKUP(I50,'Option Tables'!$B$23:$F$26,4))+(F48*(VLOOKUP(I50,'Option Tables'!$B$23:$F$26,5)))))</f>
        <v>0</v>
      </c>
      <c r="J53" s="355">
        <f>$D53*((J48*(VLOOKUP(I50,'Option Tables'!$B$23:$F$26,2)))+(I48*(VLOOKUP(I50,'Option Tables'!$B$23:$F$26,3)))+(H48*(VLOOKUP(I50,'Option Tables'!$B$23:$F$26,4))+(G48*(VLOOKUP(I50,'Option Tables'!$B$23:$F$26,5)))))</f>
        <v>0</v>
      </c>
      <c r="K53" s="355">
        <f>$D53*((K48*(VLOOKUP(I50,'Option Tables'!$B$23:$F$26,2)))+(J48*(VLOOKUP(I50,'Option Tables'!$B$23:$F$26,3)))+(I48*(VLOOKUP(I50,'Option Tables'!$B$23:$F$26,4))+(H48*(VLOOKUP(I50,'Option Tables'!$B$23:$F$26,5)))))</f>
        <v>0</v>
      </c>
      <c r="L53" s="355">
        <f>$D53*((L48*(VLOOKUP(I50,'Option Tables'!$B$23:$F$26,2)))+(K48*(VLOOKUP(I50,'Option Tables'!$B$23:$F$26,3)))+(J48*(VLOOKUP(I50,'Option Tables'!$B$23:$F$26,4))+(I48*(VLOOKUP(I50,'Option Tables'!$B$23:$F$26,5)))))</f>
        <v>0</v>
      </c>
      <c r="M53" s="355">
        <f>$D53*((M48*(VLOOKUP(I50,'Option Tables'!$B$23:$F$26,2)))+(L48*(VLOOKUP(I50,'Option Tables'!$B$23:$F$26,3)))+(K48*(VLOOKUP(I50,'Option Tables'!$B$23:$F$26,4))+(J48*(VLOOKUP(I50,'Option Tables'!$B$23:$F$26,5)))))</f>
        <v>0</v>
      </c>
      <c r="N53" s="355">
        <f>$D53*((N48*(VLOOKUP(I50,'Option Tables'!$B$23:$F$26,2)))+(M48*(VLOOKUP(I50,'Option Tables'!$B$23:$F$26,3)))+(L48*(VLOOKUP(I50,'Option Tables'!$B$23:$F$26,4))+(K48*(VLOOKUP(I50,'Option Tables'!$B$23:$F$26,5)))))</f>
        <v>0</v>
      </c>
      <c r="O53" s="355">
        <f>$D53*((O48*(VLOOKUP(I50,'Option Tables'!$B$23:$F$26,2)))+(N48*(VLOOKUP(I50,'Option Tables'!$B$23:$F$26,3)))+(M48*(VLOOKUP(I50,'Option Tables'!$B$23:$F$26,4))+(L48*(VLOOKUP(I50,'Option Tables'!$B$23:$F$26,5)))))</f>
        <v>0</v>
      </c>
      <c r="P53" s="465">
        <f>$D53*((P48*(VLOOKUP(I50,'Option Tables'!$B$23:$F$26,2)))+(O48*(VLOOKUP(I50,'Option Tables'!$B$23:$F$26,3)))+(N48*(VLOOKUP(I50,'Option Tables'!$B$23:$F$26,4))+(M48*(VLOOKUP(I50,'Option Tables'!$B$23:$F$26,5)))))</f>
        <v>0</v>
      </c>
      <c r="Q53"/>
      <c r="R53"/>
      <c r="S53"/>
      <c r="T53"/>
    </row>
    <row r="54" spans="1:20" ht="15.75" customHeight="1">
      <c r="A54"/>
      <c r="B54" s="95"/>
      <c r="C54" s="256"/>
      <c r="D54" s="388">
        <v>0</v>
      </c>
      <c r="E54" s="355">
        <f>$D54*((E48*(VLOOKUP(I50,'Option Tables'!$B$23:$F$26,2)))+(P48*(VLOOKUP(I50,'Option Tables'!$B$23:$F$26,3)))+(O48*(VLOOKUP(I50,'Option Tables'!$B$23:$F$26,4))+(N48*(VLOOKUP(I50,'Option Tables'!$B$23:$F$26,5)))))</f>
        <v>0</v>
      </c>
      <c r="F54" s="355">
        <f>$D54*((F48*(VLOOKUP(I50,'Option Tables'!$B$23:$F$26,2)))+(E48*(VLOOKUP(I50,'Option Tables'!$B$23:$F$26,3)))+(P48*(VLOOKUP(I50,'Option Tables'!$B$23:$F$26,4))+(O48*(VLOOKUP(I50,'Option Tables'!$B$23:$F$26,5)))))</f>
        <v>0</v>
      </c>
      <c r="G54" s="355">
        <f>$D54*((G48*(VLOOKUP(I50,'Option Tables'!$B$23:$F$26,2)))+(F48*(VLOOKUP(I50,'Option Tables'!$B$23:$F$26,3)))+(E48*(VLOOKUP(I50,'Option Tables'!$B$23:$F$26,4))+(P48*(VLOOKUP(I50,'Option Tables'!$B$23:$F$26,5)))))</f>
        <v>0</v>
      </c>
      <c r="H54" s="355">
        <f>$D54*((H48*(VLOOKUP(I50,'Option Tables'!$B$23:$F$26,2)))+(G48*(VLOOKUP(I50,'Option Tables'!$B$23:$F$26,3)))+(F48*(VLOOKUP(I50,'Option Tables'!$B$23:$F$26,4))+(E48*(VLOOKUP(I50,'Option Tables'!$B$23:$F$26,5)))))</f>
        <v>0</v>
      </c>
      <c r="I54" s="355">
        <f>$D54*((I48*(VLOOKUP(I50,'Option Tables'!$B$23:$F$26,2)))+(H48*(VLOOKUP(I50,'Option Tables'!$B$23:$F$26,3)))+(G48*(VLOOKUP(I50,'Option Tables'!$B$23:$F$26,4))+(F48*(VLOOKUP(I50,'Option Tables'!$B$23:$F$26,5)))))</f>
        <v>0</v>
      </c>
      <c r="J54" s="355">
        <f>$D54*((J48*(VLOOKUP(I50,'Option Tables'!$B$23:$F$26,2)))+(I48*(VLOOKUP(I50,'Option Tables'!$B$23:$F$26,3)))+(H48*(VLOOKUP(I50,'Option Tables'!$B$23:$F$26,4))+(G48*(VLOOKUP(I50,'Option Tables'!$B$23:$F$26,5)))))</f>
        <v>0</v>
      </c>
      <c r="K54" s="355">
        <f>$D54*((K48*(VLOOKUP(I50,'Option Tables'!$B$23:$F$26,2)))+(J48*(VLOOKUP(I50,'Option Tables'!$B$23:$F$26,3)))+(I48*(VLOOKUP(I50,'Option Tables'!$B$23:$F$26,4))+(H48*(VLOOKUP(I50,'Option Tables'!$B$23:$F$26,5)))))</f>
        <v>0</v>
      </c>
      <c r="L54" s="355">
        <f>$D54*((L48*(VLOOKUP(I50,'Option Tables'!$B$23:$F$26,2)))+(K48*(VLOOKUP(I50,'Option Tables'!$B$23:$F$26,3)))+(J48*(VLOOKUP(I50,'Option Tables'!$B$23:$F$26,4))+(I48*(VLOOKUP(I50,'Option Tables'!$B$23:$F$26,5)))))</f>
        <v>0</v>
      </c>
      <c r="M54" s="355">
        <f>$D54*((M48*(VLOOKUP(I50,'Option Tables'!$B$23:$F$26,2)))+(L48*(VLOOKUP(I50,'Option Tables'!$B$23:$F$26,3)))+(K48*(VLOOKUP(I50,'Option Tables'!$B$23:$F$26,4))+(J48*(VLOOKUP(I50,'Option Tables'!$B$23:$F$26,5)))))</f>
        <v>0</v>
      </c>
      <c r="N54" s="355">
        <f>$D54*((N48*(VLOOKUP(I50,'Option Tables'!$B$23:$F$26,2)))+(M48*(VLOOKUP(I50,'Option Tables'!$B$23:$F$26,3)))+(L48*(VLOOKUP(I50,'Option Tables'!$B$23:$F$26,4))+(K48*(VLOOKUP(I50,'Option Tables'!$B$23:$F$26,5)))))</f>
        <v>0</v>
      </c>
      <c r="O54" s="355">
        <f>$D54*((O48*(VLOOKUP(I50,'Option Tables'!$B$23:$F$26,2)))+(N48*(VLOOKUP(I50,'Option Tables'!$B$23:$F$26,3)))+(M48*(VLOOKUP(I50,'Option Tables'!$B$23:$F$26,4))+(L48*(VLOOKUP(I50,'Option Tables'!$B$23:$F$26,5)))))</f>
        <v>0</v>
      </c>
      <c r="P54" s="465">
        <f>$D54*((P48*(VLOOKUP(I50,'Option Tables'!$B$23:$F$26,2)))+(O48*(VLOOKUP(I50,'Option Tables'!$B$23:$F$26,3)))+(N48*(VLOOKUP(I50,'Option Tables'!$B$23:$F$26,4))+(M48*(VLOOKUP(I50,'Option Tables'!$B$23:$F$26,5)))))</f>
        <v>0</v>
      </c>
      <c r="Q54"/>
      <c r="R54"/>
      <c r="S54"/>
      <c r="T54"/>
    </row>
    <row r="55" spans="1:20" ht="15.75" customHeight="1" thickBot="1">
      <c r="A55"/>
      <c r="B55" s="97"/>
      <c r="C55" s="144" t="str">
        <f>IF(D55&lt;&gt;1,"Must equal %100","")</f>
        <v/>
      </c>
      <c r="D55" s="71">
        <f t="shared" ref="D55:P55" si="4">SUM(D51:D54)</f>
        <v>1</v>
      </c>
      <c r="E55" s="466">
        <f t="shared" si="4"/>
        <v>0</v>
      </c>
      <c r="F55" s="466">
        <f t="shared" si="4"/>
        <v>0</v>
      </c>
      <c r="G55" s="466">
        <f t="shared" si="4"/>
        <v>0</v>
      </c>
      <c r="H55" s="466">
        <f t="shared" si="4"/>
        <v>0</v>
      </c>
      <c r="I55" s="466">
        <f t="shared" si="4"/>
        <v>522.51401139699999</v>
      </c>
      <c r="J55" s="466">
        <f t="shared" si="4"/>
        <v>605.25610768820763</v>
      </c>
      <c r="K55" s="466">
        <f t="shared" si="4"/>
        <v>362.38087675982649</v>
      </c>
      <c r="L55" s="466">
        <f t="shared" si="4"/>
        <v>174.82160332713016</v>
      </c>
      <c r="M55" s="466">
        <f t="shared" si="4"/>
        <v>75.093472239140496</v>
      </c>
      <c r="N55" s="466">
        <f t="shared" si="4"/>
        <v>18.989261365881198</v>
      </c>
      <c r="O55" s="466">
        <f t="shared" si="4"/>
        <v>4.8735590491983478</v>
      </c>
      <c r="P55" s="467">
        <f t="shared" si="4"/>
        <v>0</v>
      </c>
      <c r="Q55"/>
      <c r="R55" s="140"/>
      <c r="S55"/>
      <c r="T55"/>
    </row>
    <row r="56" spans="1:20" ht="15.75" customHeight="1" thickBot="1">
      <c r="A56"/>
      <c r="B56" s="85" t="s">
        <v>63</v>
      </c>
      <c r="C56" s="257" t="str">
        <f>VLOOKUP(B56,NodeList!$D$5:$E$73,2,FALSE)</f>
        <v>Lewis</v>
      </c>
      <c r="D56" s="91"/>
      <c r="E56" s="450"/>
      <c r="F56" s="451"/>
      <c r="G56" s="452"/>
      <c r="H56" s="453" t="s">
        <v>54</v>
      </c>
      <c r="I56" s="68">
        <v>30</v>
      </c>
      <c r="J56" s="454"/>
      <c r="K56" s="454"/>
      <c r="L56" s="454"/>
      <c r="M56" s="454"/>
      <c r="N56" s="454"/>
      <c r="O56" s="454"/>
      <c r="P56" s="455"/>
      <c r="Q56"/>
      <c r="R56"/>
      <c r="S56"/>
      <c r="T56"/>
    </row>
    <row r="57" spans="1:20" ht="15.75" customHeight="1">
      <c r="A57"/>
      <c r="B57" s="94"/>
      <c r="C57" s="66" t="s">
        <v>57</v>
      </c>
      <c r="D57" s="69"/>
      <c r="E57" s="456">
        <f>VLOOKUP($B56,'Diversion Data'!$B$3:$O$227,3,FALSE)</f>
        <v>0</v>
      </c>
      <c r="F57" s="456">
        <f>VLOOKUP($B56,'Diversion Data'!$B$3:$O$227,4,FALSE)</f>
        <v>0</v>
      </c>
      <c r="G57" s="456">
        <f>VLOOKUP($B56,'Diversion Data'!$B$3:$O$227,5,FALSE)</f>
        <v>0</v>
      </c>
      <c r="H57" s="456">
        <f>VLOOKUP($B56,'Diversion Data'!$B$3:$O$227,6,FALSE)</f>
        <v>0</v>
      </c>
      <c r="I57" s="456">
        <f>VLOOKUP($B56,'Diversion Data'!$B$3:$O$227,7,FALSE)</f>
        <v>145.79468247933883</v>
      </c>
      <c r="J57" s="456">
        <f>VLOOKUP($B56,'Diversion Data'!$B$3:$O$227,8,FALSE)</f>
        <v>275.63793846725207</v>
      </c>
      <c r="K57" s="456">
        <f>VLOOKUP($B56,'Diversion Data'!$B$3:$O$227,9,FALSE)</f>
        <v>279.33674740330582</v>
      </c>
      <c r="L57" s="456">
        <f>VLOOKUP($B56,'Diversion Data'!$B$3:$O$227,10,FALSE)</f>
        <v>83.236883181095038</v>
      </c>
      <c r="M57" s="456">
        <f>VLOOKUP($B56,'Diversion Data'!$B$3:$O$227,11,FALSE)</f>
        <v>37.193667086776856</v>
      </c>
      <c r="N57" s="456">
        <f>VLOOKUP($B56,'Diversion Data'!$B$3:$O$227,12,FALSE)</f>
        <v>0</v>
      </c>
      <c r="O57" s="456">
        <f>VLOOKUP($B56,'Diversion Data'!$B$3:$O$227,13,FALSE)</f>
        <v>0</v>
      </c>
      <c r="P57" s="457">
        <f>VLOOKUP($B56,'Diversion Data'!$B$3:$O$227,14,FALSE)</f>
        <v>0</v>
      </c>
      <c r="Q57"/>
      <c r="R57"/>
      <c r="S57"/>
      <c r="T57"/>
    </row>
    <row r="58" spans="1:20" ht="15.75" customHeight="1">
      <c r="A58"/>
      <c r="B58" s="95"/>
      <c r="C58" s="72" t="s">
        <v>56</v>
      </c>
      <c r="D58" s="70"/>
      <c r="E58" s="458">
        <f>VLOOKUP($I56,'Option Tables'!$B$3:$N$19,2,FALSE)*E57</f>
        <v>0</v>
      </c>
      <c r="F58" s="458">
        <f>VLOOKUP($I56,'Option Tables'!$B$3:$N$19,3,FALSE)*F57</f>
        <v>0</v>
      </c>
      <c r="G58" s="458">
        <f>VLOOKUP($I56,'Option Tables'!$B$3:$N$19,4,FALSE)*G57</f>
        <v>0</v>
      </c>
      <c r="H58" s="458">
        <f>VLOOKUP($I56,'Option Tables'!$B$3:$N$19,5,FALSE)*H57</f>
        <v>0</v>
      </c>
      <c r="I58" s="458">
        <f>VLOOKUP($I56,'Option Tables'!$B$3:$N$19,6,FALSE)*I57</f>
        <v>102.05627773553718</v>
      </c>
      <c r="J58" s="458">
        <f>VLOOKUP($I56,'Option Tables'!$B$3:$N$19,7,FALSE)*J57</f>
        <v>192.94655692707644</v>
      </c>
      <c r="K58" s="458">
        <f>VLOOKUP($I56,'Option Tables'!$B$3:$N$19,8,FALSE)*K57</f>
        <v>195.53572318231406</v>
      </c>
      <c r="L58" s="458">
        <f>VLOOKUP($I56,'Option Tables'!$B$3:$N$19,9,FALSE)*L57</f>
        <v>58.26581822676652</v>
      </c>
      <c r="M58" s="458">
        <f>VLOOKUP($I56,'Option Tables'!$B$3:$N$19,10,FALSE)*M57</f>
        <v>26.035566960743797</v>
      </c>
      <c r="N58" s="458">
        <f>VLOOKUP($I56,'Option Tables'!$B$3:$N$19,11,FALSE)*N57</f>
        <v>0</v>
      </c>
      <c r="O58" s="458">
        <f>VLOOKUP($I56,'Option Tables'!$B$3:$N$19,12,FALSE)*O57</f>
        <v>0</v>
      </c>
      <c r="P58" s="459">
        <f>VLOOKUP($I56,'Option Tables'!$B$3:$N$19,13,FALSE)*P57</f>
        <v>0</v>
      </c>
      <c r="Q58"/>
      <c r="R58"/>
      <c r="S58"/>
      <c r="T58"/>
    </row>
    <row r="59" spans="1:20" ht="15.75" customHeight="1" thickBot="1">
      <c r="A59"/>
      <c r="B59" s="95"/>
      <c r="C59" s="66"/>
      <c r="D59" s="62"/>
      <c r="E59" s="355"/>
      <c r="F59" s="355"/>
      <c r="G59" s="355"/>
      <c r="H59" s="355"/>
      <c r="I59" s="355"/>
      <c r="J59" s="355"/>
      <c r="K59" s="355"/>
      <c r="L59" s="355"/>
      <c r="M59" s="460"/>
      <c r="N59" s="460"/>
      <c r="O59" s="460"/>
      <c r="P59" s="461"/>
      <c r="Q59"/>
      <c r="R59"/>
      <c r="S59"/>
      <c r="T59"/>
    </row>
    <row r="60" spans="1:20" ht="15.75" customHeight="1" thickBot="1">
      <c r="A60"/>
      <c r="B60" s="254" t="s">
        <v>73</v>
      </c>
      <c r="C60" s="105" t="s">
        <v>73</v>
      </c>
      <c r="D60" s="105" t="s">
        <v>74</v>
      </c>
      <c r="E60" s="462"/>
      <c r="F60" s="463"/>
      <c r="G60" s="464"/>
      <c r="H60" s="464" t="s">
        <v>55</v>
      </c>
      <c r="I60" s="68">
        <v>2</v>
      </c>
      <c r="J60" s="460"/>
      <c r="K60" s="460"/>
      <c r="L60" s="460"/>
      <c r="M60" s="460"/>
      <c r="N60" s="460"/>
      <c r="O60" s="460"/>
      <c r="P60" s="461"/>
      <c r="Q60"/>
      <c r="R60"/>
      <c r="S60"/>
      <c r="T60"/>
    </row>
    <row r="61" spans="1:20" ht="15.75" customHeight="1">
      <c r="A61"/>
      <c r="B61" s="255" t="str">
        <f>"("&amp;VLOOKUP(C61,NodeList!$D$5:$E$68,2,FALSE)&amp;")"</f>
        <v>(Meyers No. 1)</v>
      </c>
      <c r="C61" s="256" t="s">
        <v>65</v>
      </c>
      <c r="D61" s="70">
        <v>1</v>
      </c>
      <c r="E61" s="355">
        <f>$D61*((E58*(VLOOKUP(I60,'Option Tables'!$B$23:$F$26,2)))+(P58*(VLOOKUP(I60,'Option Tables'!$B$23:$F$26,3)))+(O58*(VLOOKUP(I60,'Option Tables'!$B$23:$F$26,4))+(N58*(VLOOKUP(I60,'Option Tables'!$B$23:$F$26,5)))))</f>
        <v>0</v>
      </c>
      <c r="F61" s="355">
        <f>$D61*((F58*(VLOOKUP(I60,'Option Tables'!$B$23:$F$26,2)))+(E58*(VLOOKUP(I60,'Option Tables'!$B$23:$F$26,3)))+(P58*(VLOOKUP(I60,'Option Tables'!$B$23:$F$26,4))+(O58*(VLOOKUP(I60,'Option Tables'!$B$23:$F$26,5)))))</f>
        <v>0</v>
      </c>
      <c r="G61" s="355">
        <f>$D61*((G58*(VLOOKUP(I60,'Option Tables'!$B$23:$F$26,2)))+(F58*(VLOOKUP(I60,'Option Tables'!$B$23:$F$26,3)))+(E58*(VLOOKUP(I60,'Option Tables'!$B$23:$F$26,4))+(P58*(VLOOKUP(I60,'Option Tables'!$B$23:$F$26,5)))))</f>
        <v>0</v>
      </c>
      <c r="H61" s="355">
        <f>$D61*((H58*(VLOOKUP(I60,'Option Tables'!$B$23:$F$26,2)))+(G58*(VLOOKUP(I60,'Option Tables'!$B$23:$F$26,3)))+(F58*(VLOOKUP(I60,'Option Tables'!$B$23:$F$26,4))+(E58*(VLOOKUP(I60,'Option Tables'!$B$23:$F$26,5)))))</f>
        <v>0</v>
      </c>
      <c r="I61" s="355">
        <f>$D61*((I58*(VLOOKUP(I60,'Option Tables'!$B$23:$F$26,2)))+(H58*(VLOOKUP(I60,'Option Tables'!$B$23:$F$26,3)))+(G58*(VLOOKUP(I60,'Option Tables'!$B$23:$F$26,4))+(F58*(VLOOKUP(I60,'Option Tables'!$B$23:$F$26,5)))))</f>
        <v>71.43939441487602</v>
      </c>
      <c r="J61" s="355">
        <f>$D61*((J58*(VLOOKUP(I60,'Option Tables'!$B$23:$F$26,2)))+(I58*(VLOOKUP(I60,'Option Tables'!$B$23:$F$26,3)))+(H58*(VLOOKUP(I60,'Option Tables'!$B$23:$F$26,4))+(G58*(VLOOKUP(I60,'Option Tables'!$B$23:$F$26,5)))))</f>
        <v>155.47384539606094</v>
      </c>
      <c r="K61" s="355">
        <f>$D61*((K58*(VLOOKUP(I60,'Option Tables'!$B$23:$F$26,2)))+(J58*(VLOOKUP(I60,'Option Tables'!$B$23:$F$26,3)))+(I58*(VLOOKUP(I60,'Option Tables'!$B$23:$F$26,4))+(H58*(VLOOKUP(I60,'Option Tables'!$B$23:$F$26,5)))))</f>
        <v>185.66994538658884</v>
      </c>
      <c r="L61" s="355">
        <f>$D61*((L58*(VLOOKUP(I60,'Option Tables'!$B$23:$F$26,2)))+(K58*(VLOOKUP(I60,'Option Tables'!$B$23:$F$26,3)))+(J58*(VLOOKUP(I60,'Option Tables'!$B$23:$F$26,4))+(I58*(VLOOKUP(I60,'Option Tables'!$B$23:$F$26,5)))))</f>
        <v>99.187873087907022</v>
      </c>
      <c r="M61" s="355">
        <f>$D61*((M58*(VLOOKUP(I60,'Option Tables'!$B$23:$F$26,2)))+(L58*(VLOOKUP(I60,'Option Tables'!$B$23:$F$26,3)))+(K58*(VLOOKUP(I60,'Option Tables'!$B$23:$F$26,4))+(J58*(VLOOKUP(I60,'Option Tables'!$B$23:$F$26,5)))))</f>
        <v>49.431632836105365</v>
      </c>
      <c r="N61" s="355">
        <f>$D61*((N58*(VLOOKUP(I60,'Option Tables'!$B$23:$F$26,2)))+(M58*(VLOOKUP(I60,'Option Tables'!$B$23:$F$26,3)))+(L58*(VLOOKUP(I60,'Option Tables'!$B$23:$F$26,4))+(K58*(VLOOKUP(I60,'Option Tables'!$B$23:$F$26,5)))))</f>
        <v>11.033695214825411</v>
      </c>
      <c r="O61" s="355">
        <f>$D61*((O58*(VLOOKUP(I60,'Option Tables'!$B$23:$F$26,2)))+(N58*(VLOOKUP(I60,'Option Tables'!$B$23:$F$26,3)))+(M58*(VLOOKUP(I60,'Option Tables'!$B$23:$F$26,4))+(L58*(VLOOKUP(I60,'Option Tables'!$B$23:$F$26,5)))))</f>
        <v>2.6035566960743797</v>
      </c>
      <c r="P61" s="465">
        <f>$D61*((P58*(VLOOKUP(I60,'Option Tables'!$B$23:$F$26,2)))+(O58*(VLOOKUP(I60,'Option Tables'!$B$23:$F$26,3)))+(N58*(VLOOKUP(I60,'Option Tables'!$B$23:$F$26,4))+(M58*(VLOOKUP(I60,'Option Tables'!$B$23:$F$26,5)))))</f>
        <v>0</v>
      </c>
      <c r="Q61"/>
      <c r="R61"/>
      <c r="S61"/>
      <c r="T61"/>
    </row>
    <row r="62" spans="1:20" ht="15.75" customHeight="1">
      <c r="A62"/>
      <c r="B62" s="95"/>
      <c r="C62" s="256"/>
      <c r="D62" s="70">
        <v>0</v>
      </c>
      <c r="E62" s="355">
        <f>$D62*((E58*(VLOOKUP(I60,'Option Tables'!$B$23:$F$26,2)))+(P58*(VLOOKUP(I60,'Option Tables'!$B$23:$F$26,3)))+(O58*(VLOOKUP(I60,'Option Tables'!$B$23:$F$26,4))+(N58*(VLOOKUP(I60,'Option Tables'!$B$23:$F$26,5)))))</f>
        <v>0</v>
      </c>
      <c r="F62" s="355">
        <f>$D62*((F58*(VLOOKUP(I60,'Option Tables'!$B$23:$F$26,2)))+(E58*(VLOOKUP(I60,'Option Tables'!$B$23:$F$26,3)))+(P58*(VLOOKUP(I60,'Option Tables'!$B$23:$F$26,4))+(O58*(VLOOKUP(I60,'Option Tables'!$B$23:$F$26,5)))))</f>
        <v>0</v>
      </c>
      <c r="G62" s="355">
        <f>$D62*((G58*(VLOOKUP(I60,'Option Tables'!$B$23:$F$26,2)))+(F58*(VLOOKUP(I60,'Option Tables'!$B$23:$F$26,3)))+(E58*(VLOOKUP(I60,'Option Tables'!$B$23:$F$26,4))+(P58*(VLOOKUP(I60,'Option Tables'!$B$23:$F$26,5)))))</f>
        <v>0</v>
      </c>
      <c r="H62" s="355">
        <f>$D62*((H58*(VLOOKUP(I60,'Option Tables'!$B$23:$F$26,2)))+(G58*(VLOOKUP(I60,'Option Tables'!$B$23:$F$26,3)))+(F58*(VLOOKUP(I60,'Option Tables'!$B$23:$F$26,4))+(E58*(VLOOKUP(I60,'Option Tables'!$B$23:$F$26,5)))))</f>
        <v>0</v>
      </c>
      <c r="I62" s="355">
        <f>$D62*((I58*(VLOOKUP(I60,'Option Tables'!$B$23:$F$26,2)))+(H58*(VLOOKUP(I60,'Option Tables'!$B$23:$F$26,3)))+(G58*(VLOOKUP(I60,'Option Tables'!$B$23:$F$26,4))+(F58*(VLOOKUP(I60,'Option Tables'!$B$23:$F$26,5)))))</f>
        <v>0</v>
      </c>
      <c r="J62" s="355">
        <f>$D62*((J58*(VLOOKUP(I60,'Option Tables'!$B$23:$F$26,2)))+(I58*(VLOOKUP(I60,'Option Tables'!$B$23:$F$26,3)))+(H58*(VLOOKUP(I60,'Option Tables'!$B$23:$F$26,4))+(G58*(VLOOKUP(I60,'Option Tables'!$B$23:$F$26,5)))))</f>
        <v>0</v>
      </c>
      <c r="K62" s="355">
        <f>$D62*((K58*(VLOOKUP(I60,'Option Tables'!$B$23:$F$26,2)))+(J58*(VLOOKUP(I60,'Option Tables'!$B$23:$F$26,3)))+(I58*(VLOOKUP(I60,'Option Tables'!$B$23:$F$26,4))+(H58*(VLOOKUP(I60,'Option Tables'!$B$23:$F$26,5)))))</f>
        <v>0</v>
      </c>
      <c r="L62" s="355">
        <f>$D62*((L58*(VLOOKUP(I60,'Option Tables'!$B$23:$F$26,2)))+(K58*(VLOOKUP(I60,'Option Tables'!$B$23:$F$26,3)))+(J58*(VLOOKUP(I60,'Option Tables'!$B$23:$F$26,4))+(I58*(VLOOKUP(I60,'Option Tables'!$B$23:$F$26,5)))))</f>
        <v>0</v>
      </c>
      <c r="M62" s="355">
        <f>$D62*((M58*(VLOOKUP(I60,'Option Tables'!$B$23:$F$26,2)))+(L58*(VLOOKUP(I60,'Option Tables'!$B$23:$F$26,3)))+(K58*(VLOOKUP(I60,'Option Tables'!$B$23:$F$26,4))+(J58*(VLOOKUP(I60,'Option Tables'!$B$23:$F$26,5)))))</f>
        <v>0</v>
      </c>
      <c r="N62" s="355">
        <f>$D62*((N58*(VLOOKUP(I60,'Option Tables'!$B$23:$F$26,2)))+(M58*(VLOOKUP(I60,'Option Tables'!$B$23:$F$26,3)))+(L58*(VLOOKUP(I60,'Option Tables'!$B$23:$F$26,4))+(K58*(VLOOKUP(I60,'Option Tables'!$B$23:$F$26,5)))))</f>
        <v>0</v>
      </c>
      <c r="O62" s="355">
        <f>$D62*((O58*(VLOOKUP(I60,'Option Tables'!$B$23:$F$26,2)))+(N58*(VLOOKUP(I60,'Option Tables'!$B$23:$F$26,3)))+(M58*(VLOOKUP(I60,'Option Tables'!$B$23:$F$26,4))+(L58*(VLOOKUP(I60,'Option Tables'!$B$23:$F$26,5)))))</f>
        <v>0</v>
      </c>
      <c r="P62" s="465">
        <f>$D62*((P58*(VLOOKUP(I60,'Option Tables'!$B$23:$F$26,2)))+(O58*(VLOOKUP(I60,'Option Tables'!$B$23:$F$26,3)))+(N58*(VLOOKUP(I60,'Option Tables'!$B$23:$F$26,4))+(M58*(VLOOKUP(I60,'Option Tables'!$B$23:$F$26,5)))))</f>
        <v>0</v>
      </c>
      <c r="Q62"/>
      <c r="R62"/>
      <c r="S62"/>
      <c r="T62"/>
    </row>
    <row r="63" spans="1:20" ht="15.75" customHeight="1">
      <c r="A63"/>
      <c r="B63" s="95"/>
      <c r="C63" s="256"/>
      <c r="D63" s="70">
        <v>0</v>
      </c>
      <c r="E63" s="355">
        <f>$D63*((E58*(VLOOKUP(I60,'Option Tables'!$B$23:$F$26,2)))+(P58*(VLOOKUP(I60,'Option Tables'!$B$23:$F$26,3)))+(O58*(VLOOKUP(I60,'Option Tables'!$B$23:$F$26,4))+(N58*(VLOOKUP(I60,'Option Tables'!$B$23:$F$26,5)))))</f>
        <v>0</v>
      </c>
      <c r="F63" s="355">
        <f>$D63*((F58*(VLOOKUP(I60,'Option Tables'!$B$23:$F$26,2)))+(E58*(VLOOKUP(I60,'Option Tables'!$B$23:$F$26,3)))+(P58*(VLOOKUP(I60,'Option Tables'!$B$23:$F$26,4))+(O58*(VLOOKUP(I60,'Option Tables'!$B$23:$F$26,5)))))</f>
        <v>0</v>
      </c>
      <c r="G63" s="355">
        <f>$D63*((G58*(VLOOKUP(I60,'Option Tables'!$B$23:$F$26,2)))+(F58*(VLOOKUP(I60,'Option Tables'!$B$23:$F$26,3)))+(E58*(VLOOKUP(I60,'Option Tables'!$B$23:$F$26,4))+(P58*(VLOOKUP(I60,'Option Tables'!$B$23:$F$26,5)))))</f>
        <v>0</v>
      </c>
      <c r="H63" s="355">
        <f>$D63*((H58*(VLOOKUP(I60,'Option Tables'!$B$23:$F$26,2)))+(G58*(VLOOKUP(I60,'Option Tables'!$B$23:$F$26,3)))+(F58*(VLOOKUP(I60,'Option Tables'!$B$23:$F$26,4))+(E58*(VLOOKUP(I60,'Option Tables'!$B$23:$F$26,5)))))</f>
        <v>0</v>
      </c>
      <c r="I63" s="355">
        <f>$D63*((I58*(VLOOKUP(I60,'Option Tables'!$B$23:$F$26,2)))+(H58*(VLOOKUP(I60,'Option Tables'!$B$23:$F$26,3)))+(G58*(VLOOKUP(I60,'Option Tables'!$B$23:$F$26,4))+(F58*(VLOOKUP(I60,'Option Tables'!$B$23:$F$26,5)))))</f>
        <v>0</v>
      </c>
      <c r="J63" s="355">
        <f>$D63*((J58*(VLOOKUP(I60,'Option Tables'!$B$23:$F$26,2)))+(I58*(VLOOKUP(I60,'Option Tables'!$B$23:$F$26,3)))+(H58*(VLOOKUP(I60,'Option Tables'!$B$23:$F$26,4))+(G58*(VLOOKUP(I60,'Option Tables'!$B$23:$F$26,5)))))</f>
        <v>0</v>
      </c>
      <c r="K63" s="355">
        <f>$D63*((K58*(VLOOKUP(I60,'Option Tables'!$B$23:$F$26,2)))+(J58*(VLOOKUP(I60,'Option Tables'!$B$23:$F$26,3)))+(I58*(VLOOKUP(I60,'Option Tables'!$B$23:$F$26,4))+(H58*(VLOOKUP(I60,'Option Tables'!$B$23:$F$26,5)))))</f>
        <v>0</v>
      </c>
      <c r="L63" s="355">
        <f>$D63*((L58*(VLOOKUP(I60,'Option Tables'!$B$23:$F$26,2)))+(K58*(VLOOKUP(I60,'Option Tables'!$B$23:$F$26,3)))+(J58*(VLOOKUP(I60,'Option Tables'!$B$23:$F$26,4))+(I58*(VLOOKUP(I60,'Option Tables'!$B$23:$F$26,5)))))</f>
        <v>0</v>
      </c>
      <c r="M63" s="355">
        <f>$D63*((M58*(VLOOKUP(I60,'Option Tables'!$B$23:$F$26,2)))+(L58*(VLOOKUP(I60,'Option Tables'!$B$23:$F$26,3)))+(K58*(VLOOKUP(I60,'Option Tables'!$B$23:$F$26,4))+(J58*(VLOOKUP(I60,'Option Tables'!$B$23:$F$26,5)))))</f>
        <v>0</v>
      </c>
      <c r="N63" s="355">
        <f>$D63*((N58*(VLOOKUP(I60,'Option Tables'!$B$23:$F$26,2)))+(M58*(VLOOKUP(I60,'Option Tables'!$B$23:$F$26,3)))+(L58*(VLOOKUP(I60,'Option Tables'!$B$23:$F$26,4))+(K58*(VLOOKUP(I60,'Option Tables'!$B$23:$F$26,5)))))</f>
        <v>0</v>
      </c>
      <c r="O63" s="355">
        <f>$D63*((O58*(VLOOKUP(I60,'Option Tables'!$B$23:$F$26,2)))+(N58*(VLOOKUP(I60,'Option Tables'!$B$23:$F$26,3)))+(M58*(VLOOKUP(I60,'Option Tables'!$B$23:$F$26,4))+(L58*(VLOOKUP(I60,'Option Tables'!$B$23:$F$26,5)))))</f>
        <v>0</v>
      </c>
      <c r="P63" s="465">
        <f>$D63*((P58*(VLOOKUP(I60,'Option Tables'!$B$23:$F$26,2)))+(O58*(VLOOKUP(I60,'Option Tables'!$B$23:$F$26,3)))+(N58*(VLOOKUP(I60,'Option Tables'!$B$23:$F$26,4))+(M58*(VLOOKUP(I60,'Option Tables'!$B$23:$F$26,5)))))</f>
        <v>0</v>
      </c>
      <c r="Q63"/>
      <c r="R63"/>
      <c r="S63"/>
      <c r="T63"/>
    </row>
    <row r="64" spans="1:20" ht="15.75" customHeight="1">
      <c r="A64"/>
      <c r="B64" s="95"/>
      <c r="C64" s="256"/>
      <c r="D64" s="70">
        <v>0</v>
      </c>
      <c r="E64" s="355">
        <f>$D64*((E58*(VLOOKUP(I60,'Option Tables'!$B$23:$F$26,2)))+(P58*(VLOOKUP(I60,'Option Tables'!$B$23:$F$26,3)))+(O58*(VLOOKUP(I60,'Option Tables'!$B$23:$F$26,4))+(N58*(VLOOKUP(I60,'Option Tables'!$B$23:$F$26,5)))))</f>
        <v>0</v>
      </c>
      <c r="F64" s="355">
        <f>$D64*((F58*(VLOOKUP(I60,'Option Tables'!$B$23:$F$26,2)))+(E58*(VLOOKUP(I60,'Option Tables'!$B$23:$F$26,3)))+(P58*(VLOOKUP(I60,'Option Tables'!$B$23:$F$26,4))+(O58*(VLOOKUP(I60,'Option Tables'!$B$23:$F$26,5)))))</f>
        <v>0</v>
      </c>
      <c r="G64" s="355">
        <f>$D64*((G58*(VLOOKUP(I60,'Option Tables'!$B$23:$F$26,2)))+(F58*(VLOOKUP(I60,'Option Tables'!$B$23:$F$26,3)))+(E58*(VLOOKUP(I60,'Option Tables'!$B$23:$F$26,4))+(P58*(VLOOKUP(I60,'Option Tables'!$B$23:$F$26,5)))))</f>
        <v>0</v>
      </c>
      <c r="H64" s="355">
        <f>$D64*((H58*(VLOOKUP(I60,'Option Tables'!$B$23:$F$26,2)))+(G58*(VLOOKUP(I60,'Option Tables'!$B$23:$F$26,3)))+(F58*(VLOOKUP(I60,'Option Tables'!$B$23:$F$26,4))+(E58*(VLOOKUP(I60,'Option Tables'!$B$23:$F$26,5)))))</f>
        <v>0</v>
      </c>
      <c r="I64" s="355">
        <f>$D64*((I58*(VLOOKUP(I60,'Option Tables'!$B$23:$F$26,2)))+(H58*(VLOOKUP(I60,'Option Tables'!$B$23:$F$26,3)))+(G58*(VLOOKUP(I60,'Option Tables'!$B$23:$F$26,4))+(F58*(VLOOKUP(I60,'Option Tables'!$B$23:$F$26,5)))))</f>
        <v>0</v>
      </c>
      <c r="J64" s="355">
        <f>$D64*((J58*(VLOOKUP(I60,'Option Tables'!$B$23:$F$26,2)))+(I58*(VLOOKUP(I60,'Option Tables'!$B$23:$F$26,3)))+(H58*(VLOOKUP(I60,'Option Tables'!$B$23:$F$26,4))+(G58*(VLOOKUP(I60,'Option Tables'!$B$23:$F$26,5)))))</f>
        <v>0</v>
      </c>
      <c r="K64" s="355">
        <f>$D64*((K58*(VLOOKUP(I60,'Option Tables'!$B$23:$F$26,2)))+(J58*(VLOOKUP(I60,'Option Tables'!$B$23:$F$26,3)))+(I58*(VLOOKUP(I60,'Option Tables'!$B$23:$F$26,4))+(H58*(VLOOKUP(I60,'Option Tables'!$B$23:$F$26,5)))))</f>
        <v>0</v>
      </c>
      <c r="L64" s="355">
        <f>$D64*((L58*(VLOOKUP(I60,'Option Tables'!$B$23:$F$26,2)))+(K58*(VLOOKUP(I60,'Option Tables'!$B$23:$F$26,3)))+(J58*(VLOOKUP(I60,'Option Tables'!$B$23:$F$26,4))+(I58*(VLOOKUP(I60,'Option Tables'!$B$23:$F$26,5)))))</f>
        <v>0</v>
      </c>
      <c r="M64" s="355">
        <f>$D64*((M58*(VLOOKUP(I60,'Option Tables'!$B$23:$F$26,2)))+(L58*(VLOOKUP(I60,'Option Tables'!$B$23:$F$26,3)))+(K58*(VLOOKUP(I60,'Option Tables'!$B$23:$F$26,4))+(J58*(VLOOKUP(I60,'Option Tables'!$B$23:$F$26,5)))))</f>
        <v>0</v>
      </c>
      <c r="N64" s="355">
        <f>$D64*((N58*(VLOOKUP(I60,'Option Tables'!$B$23:$F$26,2)))+(M58*(VLOOKUP(I60,'Option Tables'!$B$23:$F$26,3)))+(L58*(VLOOKUP(I60,'Option Tables'!$B$23:$F$26,4))+(K58*(VLOOKUP(I60,'Option Tables'!$B$23:$F$26,5)))))</f>
        <v>0</v>
      </c>
      <c r="O64" s="355">
        <f>$D64*((O58*(VLOOKUP(I60,'Option Tables'!$B$23:$F$26,2)))+(N58*(VLOOKUP(I60,'Option Tables'!$B$23:$F$26,3)))+(M58*(VLOOKUP(I60,'Option Tables'!$B$23:$F$26,4))+(L58*(VLOOKUP(I60,'Option Tables'!$B$23:$F$26,5)))))</f>
        <v>0</v>
      </c>
      <c r="P64" s="465">
        <f>$D64*((P58*(VLOOKUP(I60,'Option Tables'!$B$23:$F$26,2)))+(O58*(VLOOKUP(I60,'Option Tables'!$B$23:$F$26,3)))+(N58*(VLOOKUP(I60,'Option Tables'!$B$23:$F$26,4))+(M58*(VLOOKUP(I60,'Option Tables'!$B$23:$F$26,5)))))</f>
        <v>0</v>
      </c>
      <c r="Q64"/>
      <c r="R64"/>
      <c r="S64"/>
      <c r="T64"/>
    </row>
    <row r="65" spans="1:20" ht="15.75" customHeight="1" thickBot="1">
      <c r="A65"/>
      <c r="B65" s="97"/>
      <c r="C65" s="144" t="str">
        <f>IF(D65&lt;&gt;1,"Must equal %100","")</f>
        <v/>
      </c>
      <c r="D65" s="71">
        <f t="shared" ref="D65:P65" si="5">SUM(D61:D64)</f>
        <v>1</v>
      </c>
      <c r="E65" s="466">
        <f t="shared" si="5"/>
        <v>0</v>
      </c>
      <c r="F65" s="466">
        <f t="shared" si="5"/>
        <v>0</v>
      </c>
      <c r="G65" s="466">
        <f t="shared" si="5"/>
        <v>0</v>
      </c>
      <c r="H65" s="466">
        <f t="shared" si="5"/>
        <v>0</v>
      </c>
      <c r="I65" s="466">
        <f t="shared" si="5"/>
        <v>71.43939441487602</v>
      </c>
      <c r="J65" s="466">
        <f t="shared" si="5"/>
        <v>155.47384539606094</v>
      </c>
      <c r="K65" s="466">
        <f t="shared" si="5"/>
        <v>185.66994538658884</v>
      </c>
      <c r="L65" s="466">
        <f t="shared" si="5"/>
        <v>99.187873087907022</v>
      </c>
      <c r="M65" s="466">
        <f t="shared" si="5"/>
        <v>49.431632836105365</v>
      </c>
      <c r="N65" s="466">
        <f t="shared" si="5"/>
        <v>11.033695214825411</v>
      </c>
      <c r="O65" s="466">
        <f t="shared" si="5"/>
        <v>2.6035566960743797</v>
      </c>
      <c r="P65" s="467">
        <f t="shared" si="5"/>
        <v>0</v>
      </c>
      <c r="Q65"/>
      <c r="R65" s="140"/>
      <c r="S65"/>
      <c r="T65"/>
    </row>
    <row r="66" spans="1:20" ht="15.75" customHeight="1" thickBot="1">
      <c r="A66"/>
      <c r="B66" s="85" t="s">
        <v>64</v>
      </c>
      <c r="C66" s="257" t="str">
        <f>VLOOKUP(B66,NodeList!$D$5:$E$73,2,FALSE)</f>
        <v>Meyers No. 2</v>
      </c>
      <c r="D66" s="91"/>
      <c r="E66" s="450"/>
      <c r="F66" s="451"/>
      <c r="G66" s="452"/>
      <c r="H66" s="453" t="s">
        <v>54</v>
      </c>
      <c r="I66" s="68">
        <v>27</v>
      </c>
      <c r="J66" s="454"/>
      <c r="K66" s="454"/>
      <c r="L66" s="454"/>
      <c r="M66" s="454"/>
      <c r="N66" s="454"/>
      <c r="O66" s="454"/>
      <c r="P66" s="455"/>
      <c r="Q66"/>
      <c r="R66"/>
      <c r="S66"/>
      <c r="T66"/>
    </row>
    <row r="67" spans="1:20" ht="15.75" customHeight="1">
      <c r="A67"/>
      <c r="B67" s="94"/>
      <c r="C67" s="66" t="s">
        <v>57</v>
      </c>
      <c r="D67" s="69"/>
      <c r="E67" s="456">
        <f>VLOOKUP($B66,'Diversion Data'!$B$3:$O$227,3,FALSE)</f>
        <v>0</v>
      </c>
      <c r="F67" s="456">
        <f>VLOOKUP($B66,'Diversion Data'!$B$3:$O$227,4,FALSE)</f>
        <v>0</v>
      </c>
      <c r="G67" s="456">
        <f>VLOOKUP($B66,'Diversion Data'!$B$3:$O$227,5,FALSE)</f>
        <v>0</v>
      </c>
      <c r="H67" s="456">
        <f>VLOOKUP($B66,'Diversion Data'!$B$3:$O$227,6,FALSE)</f>
        <v>0</v>
      </c>
      <c r="I67" s="456">
        <f>VLOOKUP($B66,'Diversion Data'!$B$3:$O$227,7,FALSE)</f>
        <v>97.599716695661172</v>
      </c>
      <c r="J67" s="456">
        <f>VLOOKUP($B66,'Diversion Data'!$B$3:$O$227,8,FALSE)</f>
        <v>299.55910064865702</v>
      </c>
      <c r="K67" s="456">
        <f>VLOOKUP($B66,'Diversion Data'!$B$3:$O$227,9,FALSE)</f>
        <v>293.64884711952482</v>
      </c>
      <c r="L67" s="456">
        <f>VLOOKUP($B66,'Diversion Data'!$B$3:$O$227,10,FALSE)</f>
        <v>125.18575509411157</v>
      </c>
      <c r="M67" s="456">
        <f>VLOOKUP($B66,'Diversion Data'!$B$3:$O$227,11,FALSE)</f>
        <v>81.671416827066125</v>
      </c>
      <c r="N67" s="456">
        <f>VLOOKUP($B66,'Diversion Data'!$B$3:$O$227,12,FALSE)</f>
        <v>0</v>
      </c>
      <c r="O67" s="456">
        <f>VLOOKUP($B66,'Diversion Data'!$B$3:$O$227,13,FALSE)</f>
        <v>0</v>
      </c>
      <c r="P67" s="457">
        <f>VLOOKUP($B66,'Diversion Data'!$B$3:$O$227,14,FALSE)</f>
        <v>0</v>
      </c>
      <c r="Q67"/>
      <c r="R67"/>
      <c r="S67"/>
      <c r="T67"/>
    </row>
    <row r="68" spans="1:20" ht="15.75" customHeight="1">
      <c r="A68"/>
      <c r="B68" s="95"/>
      <c r="C68" s="72" t="s">
        <v>56</v>
      </c>
      <c r="D68" s="70"/>
      <c r="E68" s="458">
        <f>VLOOKUP($I66,'Option Tables'!$B$3:$N$19,2,FALSE)*E67</f>
        <v>0</v>
      </c>
      <c r="F68" s="458">
        <f>VLOOKUP($I66,'Option Tables'!$B$3:$N$19,3,FALSE)*F67</f>
        <v>0</v>
      </c>
      <c r="G68" s="458">
        <f>VLOOKUP($I66,'Option Tables'!$B$3:$N$19,4,FALSE)*G67</f>
        <v>0</v>
      </c>
      <c r="H68" s="458">
        <f>VLOOKUP($I66,'Option Tables'!$B$3:$N$19,5,FALSE)*H67</f>
        <v>0</v>
      </c>
      <c r="I68" s="458">
        <f>VLOOKUP($I66,'Option Tables'!$B$3:$N$19,6,FALSE)*I67</f>
        <v>71.247793187832656</v>
      </c>
      <c r="J68" s="458">
        <f>VLOOKUP($I66,'Option Tables'!$B$3:$N$19,7,FALSE)*J67</f>
        <v>218.67814347351961</v>
      </c>
      <c r="K68" s="458">
        <f>VLOOKUP($I66,'Option Tables'!$B$3:$N$19,8,FALSE)*K67</f>
        <v>214.36365839725312</v>
      </c>
      <c r="L68" s="458">
        <f>VLOOKUP($I66,'Option Tables'!$B$3:$N$19,9,FALSE)*L67</f>
        <v>91.385601218701439</v>
      </c>
      <c r="M68" s="458">
        <f>VLOOKUP($I66,'Option Tables'!$B$3:$N$19,10,FALSE)*M67</f>
        <v>59.620134283758269</v>
      </c>
      <c r="N68" s="458">
        <f>VLOOKUP($I66,'Option Tables'!$B$3:$N$19,11,FALSE)*N67</f>
        <v>0</v>
      </c>
      <c r="O68" s="458">
        <f>VLOOKUP($I66,'Option Tables'!$B$3:$N$19,12,FALSE)*O67</f>
        <v>0</v>
      </c>
      <c r="P68" s="459">
        <f>VLOOKUP($I66,'Option Tables'!$B$3:$N$19,13,FALSE)*P67</f>
        <v>0</v>
      </c>
      <c r="Q68"/>
      <c r="R68"/>
      <c r="S68"/>
      <c r="T68"/>
    </row>
    <row r="69" spans="1:20" ht="15.75" customHeight="1" thickBot="1">
      <c r="A69"/>
      <c r="B69" s="95"/>
      <c r="C69" s="66"/>
      <c r="D69" s="62"/>
      <c r="E69" s="355"/>
      <c r="F69" s="355"/>
      <c r="G69" s="355"/>
      <c r="H69" s="355"/>
      <c r="I69" s="355"/>
      <c r="J69" s="355"/>
      <c r="K69" s="355"/>
      <c r="L69" s="355"/>
      <c r="M69" s="460"/>
      <c r="N69" s="460"/>
      <c r="O69" s="460"/>
      <c r="P69" s="461"/>
      <c r="Q69"/>
      <c r="R69"/>
      <c r="S69"/>
      <c r="T69"/>
    </row>
    <row r="70" spans="1:20" ht="15.75" customHeight="1" thickBot="1">
      <c r="A70"/>
      <c r="B70" s="254" t="s">
        <v>73</v>
      </c>
      <c r="C70" s="105" t="s">
        <v>73</v>
      </c>
      <c r="D70" s="105" t="s">
        <v>74</v>
      </c>
      <c r="E70" s="462"/>
      <c r="F70" s="463"/>
      <c r="G70" s="464"/>
      <c r="H70" s="464" t="s">
        <v>55</v>
      </c>
      <c r="I70" s="68">
        <v>2</v>
      </c>
      <c r="J70" s="460"/>
      <c r="K70" s="460"/>
      <c r="L70" s="460"/>
      <c r="M70" s="460"/>
      <c r="N70" s="460"/>
      <c r="O70" s="460"/>
      <c r="P70" s="461"/>
      <c r="Q70"/>
      <c r="R70"/>
      <c r="S70"/>
      <c r="T70"/>
    </row>
    <row r="71" spans="1:20" ht="15.75" customHeight="1">
      <c r="A71"/>
      <c r="B71" s="255" t="str">
        <f>"("&amp;VLOOKUP(C71,NodeList!$D$5:$E$68,2,FALSE)&amp;")"</f>
        <v>(Meyers No. 1)</v>
      </c>
      <c r="C71" s="256" t="s">
        <v>65</v>
      </c>
      <c r="D71" s="388">
        <v>1</v>
      </c>
      <c r="E71" s="355">
        <f>$D71*((E68*(VLOOKUP(I70,'Option Tables'!$B$23:$F$26,2)))+(P68*(VLOOKUP(I70,'Option Tables'!$B$23:$F$26,3)))+(O68*(VLOOKUP(I70,'Option Tables'!$B$23:$F$26,4))+(N68*(VLOOKUP(I70,'Option Tables'!$B$23:$F$26,5)))))</f>
        <v>0</v>
      </c>
      <c r="F71" s="355">
        <f>$D71*((F68*(VLOOKUP(I70,'Option Tables'!$B$23:$F$26,2)))+(E68*(VLOOKUP(I70,'Option Tables'!$B$23:$F$26,3)))+(P68*(VLOOKUP(I70,'Option Tables'!$B$23:$F$26,4))+(O68*(VLOOKUP(I70,'Option Tables'!$B$23:$F$26,5)))))</f>
        <v>0</v>
      </c>
      <c r="G71" s="355">
        <f>$D71*((G68*(VLOOKUP(I70,'Option Tables'!$B$23:$F$26,2)))+(F68*(VLOOKUP(I70,'Option Tables'!$B$23:$F$26,3)))+(E68*(VLOOKUP(I70,'Option Tables'!$B$23:$F$26,4))+(P68*(VLOOKUP(I70,'Option Tables'!$B$23:$F$26,5)))))</f>
        <v>0</v>
      </c>
      <c r="H71" s="355">
        <f>$D71*((H68*(VLOOKUP(I70,'Option Tables'!$B$23:$F$26,2)))+(G68*(VLOOKUP(I70,'Option Tables'!$B$23:$F$26,3)))+(F68*(VLOOKUP(I70,'Option Tables'!$B$23:$F$26,4))+(E68*(VLOOKUP(I70,'Option Tables'!$B$23:$F$26,5)))))</f>
        <v>0</v>
      </c>
      <c r="I71" s="355">
        <f>$D71*((I68*(VLOOKUP(I70,'Option Tables'!$B$23:$F$26,2)))+(H68*(VLOOKUP(I70,'Option Tables'!$B$23:$F$26,3)))+(G68*(VLOOKUP(I70,'Option Tables'!$B$23:$F$26,4))+(F68*(VLOOKUP(I70,'Option Tables'!$B$23:$F$26,5)))))</f>
        <v>49.873455231482858</v>
      </c>
      <c r="J71" s="355">
        <f>$D71*((J68*(VLOOKUP(I70,'Option Tables'!$B$23:$F$26,2)))+(I68*(VLOOKUP(I70,'Option Tables'!$B$23:$F$26,3)))+(H68*(VLOOKUP(I70,'Option Tables'!$B$23:$F$26,4))+(G68*(VLOOKUP(I70,'Option Tables'!$B$23:$F$26,5)))))</f>
        <v>167.32425906903026</v>
      </c>
      <c r="K71" s="355">
        <f>$D71*((K68*(VLOOKUP(I70,'Option Tables'!$B$23:$F$26,2)))+(J68*(VLOOKUP(I70,'Option Tables'!$B$23:$F$26,3)))+(I68*(VLOOKUP(I70,'Option Tables'!$B$23:$F$26,4))+(H68*(VLOOKUP(I70,'Option Tables'!$B$23:$F$26,5)))))</f>
        <v>200.91496889156437</v>
      </c>
      <c r="L71" s="355">
        <f>$D71*((L68*(VLOOKUP(I70,'Option Tables'!$B$23:$F$26,2)))+(K68*(VLOOKUP(I70,'Option Tables'!$B$23:$F$26,3)))+(J68*(VLOOKUP(I70,'Option Tables'!$B$23:$F$26,4))+(I68*(VLOOKUP(I70,'Option Tables'!$B$23:$F$26,5)))))</f>
        <v>128.71046687989357</v>
      </c>
      <c r="M71" s="355">
        <f>$D71*((M68*(VLOOKUP(I70,'Option Tables'!$B$23:$F$26,2)))+(L68*(VLOOKUP(I70,'Option Tables'!$B$23:$F$26,3)))+(K68*(VLOOKUP(I70,'Option Tables'!$B$23:$F$26,4))+(J68*(VLOOKUP(I70,'Option Tables'!$B$23:$F$26,5)))))</f>
        <v>81.44758008209638</v>
      </c>
      <c r="N71" s="355">
        <f>$D71*((N68*(VLOOKUP(I70,'Option Tables'!$B$23:$F$26,2)))+(M68*(VLOOKUP(I70,'Option Tables'!$B$23:$F$26,3)))+(L68*(VLOOKUP(I70,'Option Tables'!$B$23:$F$26,4))+(K68*(VLOOKUP(I70,'Option Tables'!$B$23:$F$26,5)))))</f>
        <v>21.062586978621798</v>
      </c>
      <c r="O71" s="355">
        <f>$D71*((O68*(VLOOKUP(I70,'Option Tables'!$B$23:$F$26,2)))+(N68*(VLOOKUP(I70,'Option Tables'!$B$23:$F$26,3)))+(M68*(VLOOKUP(I70,'Option Tables'!$B$23:$F$26,4))+(L68*(VLOOKUP(I70,'Option Tables'!$B$23:$F$26,5)))))</f>
        <v>5.962013428375827</v>
      </c>
      <c r="P71" s="465">
        <f>$D71*((P68*(VLOOKUP(I70,'Option Tables'!$B$23:$F$26,2)))+(O68*(VLOOKUP(I70,'Option Tables'!$B$23:$F$26,3)))+(N68*(VLOOKUP(I70,'Option Tables'!$B$23:$F$26,4))+(M68*(VLOOKUP(I70,'Option Tables'!$B$23:$F$26,5)))))</f>
        <v>0</v>
      </c>
      <c r="Q71"/>
      <c r="R71"/>
      <c r="S71"/>
      <c r="T71"/>
    </row>
    <row r="72" spans="1:20" ht="15.75" customHeight="1">
      <c r="A72"/>
      <c r="B72" s="95"/>
      <c r="C72" s="256"/>
      <c r="D72" s="388">
        <v>0</v>
      </c>
      <c r="E72" s="355">
        <f>$D72*((E68*(VLOOKUP(I70,'Option Tables'!$B$23:$F$26,2)))+(P68*(VLOOKUP(I70,'Option Tables'!$B$23:$F$26,3)))+(O68*(VLOOKUP(I70,'Option Tables'!$B$23:$F$26,4))+(N68*(VLOOKUP(I70,'Option Tables'!$B$23:$F$26,5)))))</f>
        <v>0</v>
      </c>
      <c r="F72" s="355">
        <f>$D72*((F68*(VLOOKUP(I70,'Option Tables'!$B$23:$F$26,2)))+(E68*(VLOOKUP(I70,'Option Tables'!$B$23:$F$26,3)))+(P68*(VLOOKUP(I70,'Option Tables'!$B$23:$F$26,4))+(O68*(VLOOKUP(I70,'Option Tables'!$B$23:$F$26,5)))))</f>
        <v>0</v>
      </c>
      <c r="G72" s="355">
        <f>$D72*((G68*(VLOOKUP(I70,'Option Tables'!$B$23:$F$26,2)))+(F68*(VLOOKUP(I70,'Option Tables'!$B$23:$F$26,3)))+(E68*(VLOOKUP(I70,'Option Tables'!$B$23:$F$26,4))+(P68*(VLOOKUP(I70,'Option Tables'!$B$23:$F$26,5)))))</f>
        <v>0</v>
      </c>
      <c r="H72" s="355">
        <f>$D72*((H68*(VLOOKUP(I70,'Option Tables'!$B$23:$F$26,2)))+(G68*(VLOOKUP(I70,'Option Tables'!$B$23:$F$26,3)))+(F68*(VLOOKUP(I70,'Option Tables'!$B$23:$F$26,4))+(E68*(VLOOKUP(I70,'Option Tables'!$B$23:$F$26,5)))))</f>
        <v>0</v>
      </c>
      <c r="I72" s="355">
        <f>$D72*((I68*(VLOOKUP(I70,'Option Tables'!$B$23:$F$26,2)))+(H68*(VLOOKUP(I70,'Option Tables'!$B$23:$F$26,3)))+(G68*(VLOOKUP(I70,'Option Tables'!$B$23:$F$26,4))+(F68*(VLOOKUP(I70,'Option Tables'!$B$23:$F$26,5)))))</f>
        <v>0</v>
      </c>
      <c r="J72" s="355">
        <f>$D72*((J68*(VLOOKUP(I70,'Option Tables'!$B$23:$F$26,2)))+(I68*(VLOOKUP(I70,'Option Tables'!$B$23:$F$26,3)))+(H68*(VLOOKUP(I70,'Option Tables'!$B$23:$F$26,4))+(G68*(VLOOKUP(I70,'Option Tables'!$B$23:$F$26,5)))))</f>
        <v>0</v>
      </c>
      <c r="K72" s="355">
        <f>$D72*((K68*(VLOOKUP(I70,'Option Tables'!$B$23:$F$26,2)))+(J68*(VLOOKUP(I70,'Option Tables'!$B$23:$F$26,3)))+(I68*(VLOOKUP(I70,'Option Tables'!$B$23:$F$26,4))+(H68*(VLOOKUP(I70,'Option Tables'!$B$23:$F$26,5)))))</f>
        <v>0</v>
      </c>
      <c r="L72" s="355">
        <f>$D72*((L68*(VLOOKUP(I70,'Option Tables'!$B$23:$F$26,2)))+(K68*(VLOOKUP(I70,'Option Tables'!$B$23:$F$26,3)))+(J68*(VLOOKUP(I70,'Option Tables'!$B$23:$F$26,4))+(I68*(VLOOKUP(I70,'Option Tables'!$B$23:$F$26,5)))))</f>
        <v>0</v>
      </c>
      <c r="M72" s="355">
        <f>$D72*((M68*(VLOOKUP(I70,'Option Tables'!$B$23:$F$26,2)))+(L68*(VLOOKUP(I70,'Option Tables'!$B$23:$F$26,3)))+(K68*(VLOOKUP(I70,'Option Tables'!$B$23:$F$26,4))+(J68*(VLOOKUP(I70,'Option Tables'!$B$23:$F$26,5)))))</f>
        <v>0</v>
      </c>
      <c r="N72" s="355">
        <f>$D72*((N68*(VLOOKUP(I70,'Option Tables'!$B$23:$F$26,2)))+(M68*(VLOOKUP(I70,'Option Tables'!$B$23:$F$26,3)))+(L68*(VLOOKUP(I70,'Option Tables'!$B$23:$F$26,4))+(K68*(VLOOKUP(I70,'Option Tables'!$B$23:$F$26,5)))))</f>
        <v>0</v>
      </c>
      <c r="O72" s="355">
        <f>$D72*((O68*(VLOOKUP(I70,'Option Tables'!$B$23:$F$26,2)))+(N68*(VLOOKUP(I70,'Option Tables'!$B$23:$F$26,3)))+(M68*(VLOOKUP(I70,'Option Tables'!$B$23:$F$26,4))+(L68*(VLOOKUP(I70,'Option Tables'!$B$23:$F$26,5)))))</f>
        <v>0</v>
      </c>
      <c r="P72" s="465">
        <f>$D72*((P68*(VLOOKUP(I70,'Option Tables'!$B$23:$F$26,2)))+(O68*(VLOOKUP(I70,'Option Tables'!$B$23:$F$26,3)))+(N68*(VLOOKUP(I70,'Option Tables'!$B$23:$F$26,4))+(M68*(VLOOKUP(I70,'Option Tables'!$B$23:$F$26,5)))))</f>
        <v>0</v>
      </c>
      <c r="Q72"/>
      <c r="R72"/>
      <c r="S72"/>
      <c r="T72"/>
    </row>
    <row r="73" spans="1:20" ht="15.75" customHeight="1">
      <c r="B73" s="95"/>
      <c r="C73" s="256"/>
      <c r="D73" s="388">
        <v>0</v>
      </c>
      <c r="E73" s="355">
        <f>$D73*((E68*(VLOOKUP(I70,'Option Tables'!$B$23:$F$26,2)))+(P68*(VLOOKUP(I70,'Option Tables'!$B$23:$F$26,3)))+(O68*(VLOOKUP(I70,'Option Tables'!$B$23:$F$26,4))+(N68*(VLOOKUP(I70,'Option Tables'!$B$23:$F$26,5)))))</f>
        <v>0</v>
      </c>
      <c r="F73" s="355">
        <f>$D73*((F68*(VLOOKUP(I70,'Option Tables'!$B$23:$F$26,2)))+(E68*(VLOOKUP(I70,'Option Tables'!$B$23:$F$26,3)))+(P68*(VLOOKUP(I70,'Option Tables'!$B$23:$F$26,4))+(O68*(VLOOKUP(I70,'Option Tables'!$B$23:$F$26,5)))))</f>
        <v>0</v>
      </c>
      <c r="G73" s="355">
        <f>$D73*((G68*(VLOOKUP(I70,'Option Tables'!$B$23:$F$26,2)))+(F68*(VLOOKUP(I70,'Option Tables'!$B$23:$F$26,3)))+(E68*(VLOOKUP(I70,'Option Tables'!$B$23:$F$26,4))+(P68*(VLOOKUP(I70,'Option Tables'!$B$23:$F$26,5)))))</f>
        <v>0</v>
      </c>
      <c r="H73" s="355">
        <f>$D73*((H68*(VLOOKUP(I70,'Option Tables'!$B$23:$F$26,2)))+(G68*(VLOOKUP(I70,'Option Tables'!$B$23:$F$26,3)))+(F68*(VLOOKUP(I70,'Option Tables'!$B$23:$F$26,4))+(E68*(VLOOKUP(I70,'Option Tables'!$B$23:$F$26,5)))))</f>
        <v>0</v>
      </c>
      <c r="I73" s="355">
        <f>$D73*((I68*(VLOOKUP(I70,'Option Tables'!$B$23:$F$26,2)))+(H68*(VLOOKUP(I70,'Option Tables'!$B$23:$F$26,3)))+(G68*(VLOOKUP(I70,'Option Tables'!$B$23:$F$26,4))+(F68*(VLOOKUP(I70,'Option Tables'!$B$23:$F$26,5)))))</f>
        <v>0</v>
      </c>
      <c r="J73" s="355">
        <f>$D73*((J68*(VLOOKUP(I70,'Option Tables'!$B$23:$F$26,2)))+(I68*(VLOOKUP(I70,'Option Tables'!$B$23:$F$26,3)))+(H68*(VLOOKUP(I70,'Option Tables'!$B$23:$F$26,4))+(G68*(VLOOKUP(I70,'Option Tables'!$B$23:$F$26,5)))))</f>
        <v>0</v>
      </c>
      <c r="K73" s="355">
        <f>$D73*((K68*(VLOOKUP(I70,'Option Tables'!$B$23:$F$26,2)))+(J68*(VLOOKUP(I70,'Option Tables'!$B$23:$F$26,3)))+(I68*(VLOOKUP(I70,'Option Tables'!$B$23:$F$26,4))+(H68*(VLOOKUP(I70,'Option Tables'!$B$23:$F$26,5)))))</f>
        <v>0</v>
      </c>
      <c r="L73" s="355">
        <f>$D73*((L68*(VLOOKUP(I70,'Option Tables'!$B$23:$F$26,2)))+(K68*(VLOOKUP(I70,'Option Tables'!$B$23:$F$26,3)))+(J68*(VLOOKUP(I70,'Option Tables'!$B$23:$F$26,4))+(I68*(VLOOKUP(I70,'Option Tables'!$B$23:$F$26,5)))))</f>
        <v>0</v>
      </c>
      <c r="M73" s="355">
        <f>$D73*((M68*(VLOOKUP(I70,'Option Tables'!$B$23:$F$26,2)))+(L68*(VLOOKUP(I70,'Option Tables'!$B$23:$F$26,3)))+(K68*(VLOOKUP(I70,'Option Tables'!$B$23:$F$26,4))+(J68*(VLOOKUP(I70,'Option Tables'!$B$23:$F$26,5)))))</f>
        <v>0</v>
      </c>
      <c r="N73" s="355">
        <f>$D73*((N68*(VLOOKUP(I70,'Option Tables'!$B$23:$F$26,2)))+(M68*(VLOOKUP(I70,'Option Tables'!$B$23:$F$26,3)))+(L68*(VLOOKUP(I70,'Option Tables'!$B$23:$F$26,4))+(K68*(VLOOKUP(I70,'Option Tables'!$B$23:$F$26,5)))))</f>
        <v>0</v>
      </c>
      <c r="O73" s="355">
        <f>$D73*((O68*(VLOOKUP(I70,'Option Tables'!$B$23:$F$26,2)))+(N68*(VLOOKUP(I70,'Option Tables'!$B$23:$F$26,3)))+(M68*(VLOOKUP(I70,'Option Tables'!$B$23:$F$26,4))+(L68*(VLOOKUP(I70,'Option Tables'!$B$23:$F$26,5)))))</f>
        <v>0</v>
      </c>
      <c r="P73" s="465">
        <f>$D73*((P68*(VLOOKUP(I70,'Option Tables'!$B$23:$F$26,2)))+(O68*(VLOOKUP(I70,'Option Tables'!$B$23:$F$26,3)))+(N68*(VLOOKUP(I70,'Option Tables'!$B$23:$F$26,4))+(M68*(VLOOKUP(I70,'Option Tables'!$B$23:$F$26,5)))))</f>
        <v>0</v>
      </c>
      <c r="Q73" s="96"/>
    </row>
    <row r="74" spans="1:20" ht="15.75" customHeight="1">
      <c r="B74" s="95"/>
      <c r="C74" s="256"/>
      <c r="D74" s="388">
        <v>0</v>
      </c>
      <c r="E74" s="355">
        <f>$D74*((E68*(VLOOKUP(I70,'Option Tables'!$B$23:$F$26,2)))+(P68*(VLOOKUP(I70,'Option Tables'!$B$23:$F$26,3)))+(O68*(VLOOKUP(I70,'Option Tables'!$B$23:$F$26,4))+(N68*(VLOOKUP(I70,'Option Tables'!$B$23:$F$26,5)))))</f>
        <v>0</v>
      </c>
      <c r="F74" s="355">
        <f>$D74*((F68*(VLOOKUP(I70,'Option Tables'!$B$23:$F$26,2)))+(E68*(VLOOKUP(I70,'Option Tables'!$B$23:$F$26,3)))+(P68*(VLOOKUP(I70,'Option Tables'!$B$23:$F$26,4))+(O68*(VLOOKUP(I70,'Option Tables'!$B$23:$F$26,5)))))</f>
        <v>0</v>
      </c>
      <c r="G74" s="355">
        <f>$D74*((G68*(VLOOKUP(I70,'Option Tables'!$B$23:$F$26,2)))+(F68*(VLOOKUP(I70,'Option Tables'!$B$23:$F$26,3)))+(E68*(VLOOKUP(I70,'Option Tables'!$B$23:$F$26,4))+(P68*(VLOOKUP(I70,'Option Tables'!$B$23:$F$26,5)))))</f>
        <v>0</v>
      </c>
      <c r="H74" s="355">
        <f>$D74*((H68*(VLOOKUP(I70,'Option Tables'!$B$23:$F$26,2)))+(G68*(VLOOKUP(I70,'Option Tables'!$B$23:$F$26,3)))+(F68*(VLOOKUP(I70,'Option Tables'!$B$23:$F$26,4))+(E68*(VLOOKUP(I70,'Option Tables'!$B$23:$F$26,5)))))</f>
        <v>0</v>
      </c>
      <c r="I74" s="355">
        <f>$D74*((I68*(VLOOKUP(I70,'Option Tables'!$B$23:$F$26,2)))+(H68*(VLOOKUP(I70,'Option Tables'!$B$23:$F$26,3)))+(G68*(VLOOKUP(I70,'Option Tables'!$B$23:$F$26,4))+(F68*(VLOOKUP(I70,'Option Tables'!$B$23:$F$26,5)))))</f>
        <v>0</v>
      </c>
      <c r="J74" s="355">
        <f>$D74*((J68*(VLOOKUP(I70,'Option Tables'!$B$23:$F$26,2)))+(I68*(VLOOKUP(I70,'Option Tables'!$B$23:$F$26,3)))+(H68*(VLOOKUP(I70,'Option Tables'!$B$23:$F$26,4))+(G68*(VLOOKUP(I70,'Option Tables'!$B$23:$F$26,5)))))</f>
        <v>0</v>
      </c>
      <c r="K74" s="355">
        <f>$D74*((K68*(VLOOKUP(I70,'Option Tables'!$B$23:$F$26,2)))+(J68*(VLOOKUP(I70,'Option Tables'!$B$23:$F$26,3)))+(I68*(VLOOKUP(I70,'Option Tables'!$B$23:$F$26,4))+(H68*(VLOOKUP(I70,'Option Tables'!$B$23:$F$26,5)))))</f>
        <v>0</v>
      </c>
      <c r="L74" s="355">
        <f>$D74*((L68*(VLOOKUP(I70,'Option Tables'!$B$23:$F$26,2)))+(K68*(VLOOKUP(I70,'Option Tables'!$B$23:$F$26,3)))+(J68*(VLOOKUP(I70,'Option Tables'!$B$23:$F$26,4))+(I68*(VLOOKUP(I70,'Option Tables'!$B$23:$F$26,5)))))</f>
        <v>0</v>
      </c>
      <c r="M74" s="355">
        <f>$D74*((M68*(VLOOKUP(I70,'Option Tables'!$B$23:$F$26,2)))+(L68*(VLOOKUP(I70,'Option Tables'!$B$23:$F$26,3)))+(K68*(VLOOKUP(I70,'Option Tables'!$B$23:$F$26,4))+(J68*(VLOOKUP(I70,'Option Tables'!$B$23:$F$26,5)))))</f>
        <v>0</v>
      </c>
      <c r="N74" s="355">
        <f>$D74*((N68*(VLOOKUP(I70,'Option Tables'!$B$23:$F$26,2)))+(M68*(VLOOKUP(I70,'Option Tables'!$B$23:$F$26,3)))+(L68*(VLOOKUP(I70,'Option Tables'!$B$23:$F$26,4))+(K68*(VLOOKUP(I70,'Option Tables'!$B$23:$F$26,5)))))</f>
        <v>0</v>
      </c>
      <c r="O74" s="355">
        <f>$D74*((O68*(VLOOKUP(I70,'Option Tables'!$B$23:$F$26,2)))+(N68*(VLOOKUP(I70,'Option Tables'!$B$23:$F$26,3)))+(M68*(VLOOKUP(I70,'Option Tables'!$B$23:$F$26,4))+(L68*(VLOOKUP(I70,'Option Tables'!$B$23:$F$26,5)))))</f>
        <v>0</v>
      </c>
      <c r="P74" s="465">
        <f>$D74*((P68*(VLOOKUP(I70,'Option Tables'!$B$23:$F$26,2)))+(O68*(VLOOKUP(I70,'Option Tables'!$B$23:$F$26,3)))+(N68*(VLOOKUP(I70,'Option Tables'!$B$23:$F$26,4))+(M68*(VLOOKUP(I70,'Option Tables'!$B$23:$F$26,5)))))</f>
        <v>0</v>
      </c>
      <c r="Q74" s="96"/>
    </row>
    <row r="75" spans="1:20" ht="15.75" customHeight="1" thickBot="1">
      <c r="B75" s="97"/>
      <c r="C75" s="144" t="str">
        <f>IF(D75&lt;&gt;1,"Must equal %100","")</f>
        <v/>
      </c>
      <c r="D75" s="71">
        <f t="shared" ref="D75:P75" si="6">SUM(D71:D74)</f>
        <v>1</v>
      </c>
      <c r="E75" s="466">
        <f t="shared" si="6"/>
        <v>0</v>
      </c>
      <c r="F75" s="466">
        <f t="shared" si="6"/>
        <v>0</v>
      </c>
      <c r="G75" s="466">
        <f t="shared" si="6"/>
        <v>0</v>
      </c>
      <c r="H75" s="466">
        <f t="shared" si="6"/>
        <v>0</v>
      </c>
      <c r="I75" s="466">
        <f t="shared" si="6"/>
        <v>49.873455231482858</v>
      </c>
      <c r="J75" s="466">
        <f t="shared" si="6"/>
        <v>167.32425906903026</v>
      </c>
      <c r="K75" s="466">
        <f t="shared" si="6"/>
        <v>200.91496889156437</v>
      </c>
      <c r="L75" s="466">
        <f t="shared" si="6"/>
        <v>128.71046687989357</v>
      </c>
      <c r="M75" s="466">
        <f t="shared" si="6"/>
        <v>81.44758008209638</v>
      </c>
      <c r="N75" s="466">
        <f t="shared" si="6"/>
        <v>21.062586978621798</v>
      </c>
      <c r="O75" s="466">
        <f t="shared" si="6"/>
        <v>5.962013428375827</v>
      </c>
      <c r="P75" s="467">
        <f t="shared" si="6"/>
        <v>0</v>
      </c>
      <c r="Q75" s="96"/>
      <c r="R75" s="140"/>
    </row>
    <row r="76" spans="1:20" ht="15.75" customHeight="1" thickBot="1">
      <c r="A76"/>
      <c r="B76" s="85" t="s">
        <v>319</v>
      </c>
      <c r="C76" s="284" t="str">
        <f>VLOOKUP(B76,NodeList!$D$5:$E$73,2,FALSE)</f>
        <v>Confluence Mill Cr.</v>
      </c>
      <c r="D76" s="91"/>
      <c r="E76" s="450"/>
      <c r="F76" s="451"/>
      <c r="G76" s="452"/>
      <c r="H76" s="453" t="s">
        <v>54</v>
      </c>
      <c r="I76" s="68">
        <v>15</v>
      </c>
      <c r="J76" s="454"/>
      <c r="K76" s="454"/>
      <c r="L76" s="454"/>
      <c r="M76" s="454"/>
      <c r="N76" s="454"/>
      <c r="O76" s="454"/>
      <c r="P76" s="455"/>
      <c r="Q76"/>
      <c r="R76"/>
      <c r="S76"/>
      <c r="T76"/>
    </row>
    <row r="77" spans="1:20" ht="15.75" customHeight="1">
      <c r="A77"/>
      <c r="B77" s="94"/>
      <c r="C77" s="66" t="s">
        <v>57</v>
      </c>
      <c r="D77" s="69"/>
      <c r="E77" s="456">
        <f>VLOOKUP($B76,'Diversion Data'!$B$3:$O$227,3,FALSE)</f>
        <v>0</v>
      </c>
      <c r="F77" s="456">
        <f>VLOOKUP($B76,'Diversion Data'!$B$3:$O$227,4,FALSE)</f>
        <v>0</v>
      </c>
      <c r="G77" s="456">
        <f>VLOOKUP($B76,'Diversion Data'!$B$3:$O$227,5,FALSE)</f>
        <v>0</v>
      </c>
      <c r="H77" s="456">
        <f>VLOOKUP($B76,'Diversion Data'!$B$3:$O$227,6,FALSE)</f>
        <v>0</v>
      </c>
      <c r="I77" s="456">
        <f>VLOOKUP($B76,'Diversion Data'!$B$3:$O$227,7,FALSE)</f>
        <v>0</v>
      </c>
      <c r="J77" s="456">
        <f>VLOOKUP($B76,'Diversion Data'!$B$3:$O$227,8,FALSE)</f>
        <v>0</v>
      </c>
      <c r="K77" s="456">
        <f>VLOOKUP($B76,'Diversion Data'!$B$3:$O$227,9,FALSE)</f>
        <v>0</v>
      </c>
      <c r="L77" s="456">
        <f>VLOOKUP($B76,'Diversion Data'!$B$3:$O$227,10,FALSE)</f>
        <v>0</v>
      </c>
      <c r="M77" s="456">
        <f>VLOOKUP($B76,'Diversion Data'!$B$3:$O$227,11,FALSE)</f>
        <v>0</v>
      </c>
      <c r="N77" s="456">
        <f>VLOOKUP($B76,'Diversion Data'!$B$3:$O$227,12,FALSE)</f>
        <v>0</v>
      </c>
      <c r="O77" s="456">
        <f>VLOOKUP($B76,'Diversion Data'!$B$3:$O$227,13,FALSE)</f>
        <v>0</v>
      </c>
      <c r="P77" s="457">
        <f>VLOOKUP($B76,'Diversion Data'!$B$3:$O$227,14,FALSE)</f>
        <v>0</v>
      </c>
      <c r="Q77"/>
      <c r="R77"/>
      <c r="S77"/>
      <c r="T77"/>
    </row>
    <row r="78" spans="1:20" ht="15.75" customHeight="1">
      <c r="A78"/>
      <c r="B78" s="95"/>
      <c r="C78" s="72" t="s">
        <v>56</v>
      </c>
      <c r="D78" s="70"/>
      <c r="E78" s="458">
        <f>VLOOKUP($I76,'Option Tables'!$B$3:$N$19,2,FALSE)*E77</f>
        <v>0</v>
      </c>
      <c r="F78" s="458">
        <f>VLOOKUP($I76,'Option Tables'!$B$3:$N$19,3,FALSE)*F77</f>
        <v>0</v>
      </c>
      <c r="G78" s="458">
        <f>VLOOKUP($I76,'Option Tables'!$B$3:$N$19,4,FALSE)*G77</f>
        <v>0</v>
      </c>
      <c r="H78" s="458">
        <f>VLOOKUP($I76,'Option Tables'!$B$3:$N$19,5,FALSE)*H77</f>
        <v>0</v>
      </c>
      <c r="I78" s="458">
        <f>VLOOKUP($I76,'Option Tables'!$B$3:$N$19,6,FALSE)*I77</f>
        <v>0</v>
      </c>
      <c r="J78" s="458">
        <f>VLOOKUP($I76,'Option Tables'!$B$3:$N$19,7,FALSE)*J77</f>
        <v>0</v>
      </c>
      <c r="K78" s="458">
        <f>VLOOKUP($I76,'Option Tables'!$B$3:$N$19,8,FALSE)*K77</f>
        <v>0</v>
      </c>
      <c r="L78" s="458">
        <f>VLOOKUP($I76,'Option Tables'!$B$3:$N$19,9,FALSE)*L77</f>
        <v>0</v>
      </c>
      <c r="M78" s="458">
        <f>VLOOKUP($I76,'Option Tables'!$B$3:$N$19,10,FALSE)*M77</f>
        <v>0</v>
      </c>
      <c r="N78" s="458">
        <f>VLOOKUP($I76,'Option Tables'!$B$3:$N$19,11,FALSE)*N77</f>
        <v>0</v>
      </c>
      <c r="O78" s="458">
        <f>VLOOKUP($I76,'Option Tables'!$B$3:$N$19,12,FALSE)*O77</f>
        <v>0</v>
      </c>
      <c r="P78" s="459">
        <f>VLOOKUP($I76,'Option Tables'!$B$3:$N$19,13,FALSE)*P77</f>
        <v>0</v>
      </c>
      <c r="Q78"/>
      <c r="R78"/>
      <c r="S78"/>
      <c r="T78"/>
    </row>
    <row r="79" spans="1:20" ht="15.75" customHeight="1" thickBot="1">
      <c r="A79"/>
      <c r="B79" s="95"/>
      <c r="C79" s="66"/>
      <c r="D79" s="62"/>
      <c r="E79" s="355"/>
      <c r="F79" s="355"/>
      <c r="G79" s="355"/>
      <c r="H79" s="355"/>
      <c r="I79" s="355"/>
      <c r="J79" s="355"/>
      <c r="K79" s="355"/>
      <c r="L79" s="355"/>
      <c r="M79" s="460"/>
      <c r="N79" s="460"/>
      <c r="O79" s="460"/>
      <c r="P79" s="461"/>
      <c r="Q79"/>
      <c r="R79"/>
      <c r="S79"/>
      <c r="T79"/>
    </row>
    <row r="80" spans="1:20" ht="15.75" customHeight="1" thickBot="1">
      <c r="A80"/>
      <c r="B80" s="254" t="s">
        <v>73</v>
      </c>
      <c r="C80" s="105" t="s">
        <v>73</v>
      </c>
      <c r="D80" s="105" t="s">
        <v>74</v>
      </c>
      <c r="E80" s="462"/>
      <c r="F80" s="463"/>
      <c r="G80" s="464"/>
      <c r="H80" s="464" t="s">
        <v>55</v>
      </c>
      <c r="I80" s="68">
        <v>3</v>
      </c>
      <c r="J80" s="460"/>
      <c r="K80" s="460"/>
      <c r="L80" s="460"/>
      <c r="M80" s="460"/>
      <c r="N80" s="460"/>
      <c r="O80" s="460"/>
      <c r="P80" s="461"/>
      <c r="Q80"/>
      <c r="R80"/>
      <c r="S80"/>
      <c r="T80"/>
    </row>
    <row r="81" spans="1:20" ht="15.75" customHeight="1">
      <c r="A81"/>
      <c r="B81" s="255" t="e">
        <f>"("&amp;VLOOKUP(C81,NodeList!$D$5:$E$68,2,FALSE)&amp;")"</f>
        <v>#N/A</v>
      </c>
      <c r="C81" s="256" t="s">
        <v>188</v>
      </c>
      <c r="D81" s="388">
        <v>1</v>
      </c>
      <c r="E81" s="355">
        <f>$D81*((E78*(VLOOKUP(I80,'Option Tables'!$B$23:$F$26,2)))+(P78*(VLOOKUP(I80,'Option Tables'!$B$23:$F$26,3)))+(O78*(VLOOKUP(I80,'Option Tables'!$B$23:$F$26,4))+(N78*(VLOOKUP(I80,'Option Tables'!$B$23:$F$26,5)))))</f>
        <v>0</v>
      </c>
      <c r="F81" s="355">
        <f>$D81*((F78*(VLOOKUP(I80,'Option Tables'!$B$23:$F$26,2)))+(E78*(VLOOKUP(I80,'Option Tables'!$B$23:$F$26,3)))+(P78*(VLOOKUP(I80,'Option Tables'!$B$23:$F$26,4))+(O78*(VLOOKUP(I80,'Option Tables'!$B$23:$F$26,5)))))</f>
        <v>0</v>
      </c>
      <c r="G81" s="355">
        <f>$D81*((G78*(VLOOKUP(I80,'Option Tables'!$B$23:$F$26,2)))+(F78*(VLOOKUP(I80,'Option Tables'!$B$23:$F$26,3)))+(E78*(VLOOKUP(I80,'Option Tables'!$B$23:$F$26,4))+(P78*(VLOOKUP(I80,'Option Tables'!$B$23:$F$26,5)))))</f>
        <v>0</v>
      </c>
      <c r="H81" s="355">
        <f>$D81*((H78*(VLOOKUP(I80,'Option Tables'!$B$23:$F$26,2)))+(G78*(VLOOKUP(I80,'Option Tables'!$B$23:$F$26,3)))+(F78*(VLOOKUP(I80,'Option Tables'!$B$23:$F$26,4))+(E78*(VLOOKUP(I80,'Option Tables'!$B$23:$F$26,5)))))</f>
        <v>0</v>
      </c>
      <c r="I81" s="355">
        <f>$D81*((I78*(VLOOKUP(I80,'Option Tables'!$B$23:$F$26,2)))+(H78*(VLOOKUP(I80,'Option Tables'!$B$23:$F$26,3)))+(G78*(VLOOKUP(I80,'Option Tables'!$B$23:$F$26,4))+(F78*(VLOOKUP(I80,'Option Tables'!$B$23:$F$26,5)))))</f>
        <v>0</v>
      </c>
      <c r="J81" s="355">
        <f>$D81*((J78*(VLOOKUP(I80,'Option Tables'!$B$23:$F$26,2)))+(I78*(VLOOKUP(I80,'Option Tables'!$B$23:$F$26,3)))+(H78*(VLOOKUP(I80,'Option Tables'!$B$23:$F$26,4))+(G78*(VLOOKUP(I80,'Option Tables'!$B$23:$F$26,5)))))</f>
        <v>0</v>
      </c>
      <c r="K81" s="355">
        <f>$D81*((K78*(VLOOKUP(I80,'Option Tables'!$B$23:$F$26,2)))+(J78*(VLOOKUP(I80,'Option Tables'!$B$23:$F$26,3)))+(I78*(VLOOKUP(I80,'Option Tables'!$B$23:$F$26,4))+(H78*(VLOOKUP(I80,'Option Tables'!$B$23:$F$26,5)))))</f>
        <v>0</v>
      </c>
      <c r="L81" s="355">
        <f>$D81*((L78*(VLOOKUP(I80,'Option Tables'!$B$23:$F$26,2)))+(K78*(VLOOKUP(I80,'Option Tables'!$B$23:$F$26,3)))+(J78*(VLOOKUP(I80,'Option Tables'!$B$23:$F$26,4))+(I78*(VLOOKUP(I80,'Option Tables'!$B$23:$F$26,5)))))</f>
        <v>0</v>
      </c>
      <c r="M81" s="355">
        <f>$D81*((M78*(VLOOKUP(I80,'Option Tables'!$B$23:$F$26,2)))+(L78*(VLOOKUP(I80,'Option Tables'!$B$23:$F$26,3)))+(K78*(VLOOKUP(I80,'Option Tables'!$B$23:$F$26,4))+(J78*(VLOOKUP(I80,'Option Tables'!$B$23:$F$26,5)))))</f>
        <v>0</v>
      </c>
      <c r="N81" s="355">
        <f>$D81*((N78*(VLOOKUP(I80,'Option Tables'!$B$23:$F$26,2)))+(M78*(VLOOKUP(I80,'Option Tables'!$B$23:$F$26,3)))+(L78*(VLOOKUP(I80,'Option Tables'!$B$23:$F$26,4))+(K78*(VLOOKUP(I80,'Option Tables'!$B$23:$F$26,5)))))</f>
        <v>0</v>
      </c>
      <c r="O81" s="355">
        <f>$D81*((O78*(VLOOKUP(I80,'Option Tables'!$B$23:$F$26,2)))+(N78*(VLOOKUP(I80,'Option Tables'!$B$23:$F$26,3)))+(M78*(VLOOKUP(I80,'Option Tables'!$B$23:$F$26,4))+(L78*(VLOOKUP(I80,'Option Tables'!$B$23:$F$26,5)))))</f>
        <v>0</v>
      </c>
      <c r="P81" s="465">
        <f>$D81*((P78*(VLOOKUP(I80,'Option Tables'!$B$23:$F$26,2)))+(O78*(VLOOKUP(I80,'Option Tables'!$B$23:$F$26,3)))+(N78*(VLOOKUP(I80,'Option Tables'!$B$23:$F$26,4))+(M78*(VLOOKUP(I80,'Option Tables'!$B$23:$F$26,5)))))</f>
        <v>0</v>
      </c>
      <c r="Q81"/>
      <c r="R81"/>
      <c r="S81"/>
      <c r="T81"/>
    </row>
    <row r="82" spans="1:20" ht="15.75" customHeight="1">
      <c r="A82"/>
      <c r="B82" s="95"/>
      <c r="C82" s="256"/>
      <c r="D82" s="388">
        <v>0</v>
      </c>
      <c r="E82" s="355">
        <f>$D82*((E78*(VLOOKUP(I80,'Option Tables'!$B$23:$F$26,2)))+(P78*(VLOOKUP(I80,'Option Tables'!$B$23:$F$26,3)))+(O78*(VLOOKUP(I80,'Option Tables'!$B$23:$F$26,4))+(N78*(VLOOKUP(I80,'Option Tables'!$B$23:$F$26,5)))))</f>
        <v>0</v>
      </c>
      <c r="F82" s="355">
        <f>$D82*((F78*(VLOOKUP(I80,'Option Tables'!$B$23:$F$26,2)))+(E78*(VLOOKUP(I80,'Option Tables'!$B$23:$F$26,3)))+(P78*(VLOOKUP(I80,'Option Tables'!$B$23:$F$26,4))+(O78*(VLOOKUP(I80,'Option Tables'!$B$23:$F$26,5)))))</f>
        <v>0</v>
      </c>
      <c r="G82" s="355">
        <f>$D82*((G78*(VLOOKUP(I80,'Option Tables'!$B$23:$F$26,2)))+(F78*(VLOOKUP(I80,'Option Tables'!$B$23:$F$26,3)))+(E78*(VLOOKUP(I80,'Option Tables'!$B$23:$F$26,4))+(P78*(VLOOKUP(I80,'Option Tables'!$B$23:$F$26,5)))))</f>
        <v>0</v>
      </c>
      <c r="H82" s="355">
        <f>$D82*((H78*(VLOOKUP(I80,'Option Tables'!$B$23:$F$26,2)))+(G78*(VLOOKUP(I80,'Option Tables'!$B$23:$F$26,3)))+(F78*(VLOOKUP(I80,'Option Tables'!$B$23:$F$26,4))+(E78*(VLOOKUP(I80,'Option Tables'!$B$23:$F$26,5)))))</f>
        <v>0</v>
      </c>
      <c r="I82" s="355">
        <f>$D82*((I78*(VLOOKUP(I80,'Option Tables'!$B$23:$F$26,2)))+(H78*(VLOOKUP(I80,'Option Tables'!$B$23:$F$26,3)))+(G78*(VLOOKUP(I80,'Option Tables'!$B$23:$F$26,4))+(F78*(VLOOKUP(I80,'Option Tables'!$B$23:$F$26,5)))))</f>
        <v>0</v>
      </c>
      <c r="J82" s="355">
        <f>$D82*((J78*(VLOOKUP(I80,'Option Tables'!$B$23:$F$26,2)))+(I78*(VLOOKUP(I80,'Option Tables'!$B$23:$F$26,3)))+(H78*(VLOOKUP(I80,'Option Tables'!$B$23:$F$26,4))+(G78*(VLOOKUP(I80,'Option Tables'!$B$23:$F$26,5)))))</f>
        <v>0</v>
      </c>
      <c r="K82" s="355">
        <f>$D82*((K78*(VLOOKUP(I80,'Option Tables'!$B$23:$F$26,2)))+(J78*(VLOOKUP(I80,'Option Tables'!$B$23:$F$26,3)))+(I78*(VLOOKUP(I80,'Option Tables'!$B$23:$F$26,4))+(H78*(VLOOKUP(I80,'Option Tables'!$B$23:$F$26,5)))))</f>
        <v>0</v>
      </c>
      <c r="L82" s="355">
        <f>$D82*((L78*(VLOOKUP(I80,'Option Tables'!$B$23:$F$26,2)))+(K78*(VLOOKUP(I80,'Option Tables'!$B$23:$F$26,3)))+(J78*(VLOOKUP(I80,'Option Tables'!$B$23:$F$26,4))+(I78*(VLOOKUP(I80,'Option Tables'!$B$23:$F$26,5)))))</f>
        <v>0</v>
      </c>
      <c r="M82" s="355">
        <f>$D82*((M78*(VLOOKUP(I80,'Option Tables'!$B$23:$F$26,2)))+(L78*(VLOOKUP(I80,'Option Tables'!$B$23:$F$26,3)))+(K78*(VLOOKUP(I80,'Option Tables'!$B$23:$F$26,4))+(J78*(VLOOKUP(I80,'Option Tables'!$B$23:$F$26,5)))))</f>
        <v>0</v>
      </c>
      <c r="N82" s="355">
        <f>$D82*((N78*(VLOOKUP(I80,'Option Tables'!$B$23:$F$26,2)))+(M78*(VLOOKUP(I80,'Option Tables'!$B$23:$F$26,3)))+(L78*(VLOOKUP(I80,'Option Tables'!$B$23:$F$26,4))+(K78*(VLOOKUP(I80,'Option Tables'!$B$23:$F$26,5)))))</f>
        <v>0</v>
      </c>
      <c r="O82" s="355">
        <f>$D82*((O78*(VLOOKUP(I80,'Option Tables'!$B$23:$F$26,2)))+(N78*(VLOOKUP(I80,'Option Tables'!$B$23:$F$26,3)))+(M78*(VLOOKUP(I80,'Option Tables'!$B$23:$F$26,4))+(L78*(VLOOKUP(I80,'Option Tables'!$B$23:$F$26,5)))))</f>
        <v>0</v>
      </c>
      <c r="P82" s="465">
        <f>$D82*((P78*(VLOOKUP(I80,'Option Tables'!$B$23:$F$26,2)))+(O78*(VLOOKUP(I80,'Option Tables'!$B$23:$F$26,3)))+(N78*(VLOOKUP(I80,'Option Tables'!$B$23:$F$26,4))+(M78*(VLOOKUP(I80,'Option Tables'!$B$23:$F$26,5)))))</f>
        <v>0</v>
      </c>
      <c r="Q82"/>
      <c r="R82"/>
      <c r="S82"/>
      <c r="T82"/>
    </row>
    <row r="83" spans="1:20" ht="15.75" customHeight="1">
      <c r="B83" s="95"/>
      <c r="C83" s="256"/>
      <c r="D83" s="388">
        <v>0</v>
      </c>
      <c r="E83" s="355">
        <f>$D83*((E78*(VLOOKUP(I80,'Option Tables'!$B$23:$F$26,2)))+(P78*(VLOOKUP(I80,'Option Tables'!$B$23:$F$26,3)))+(O78*(VLOOKUP(I80,'Option Tables'!$B$23:$F$26,4))+(N78*(VLOOKUP(I80,'Option Tables'!$B$23:$F$26,5)))))</f>
        <v>0</v>
      </c>
      <c r="F83" s="355">
        <f>$D83*((F78*(VLOOKUP(I80,'Option Tables'!$B$23:$F$26,2)))+(E78*(VLOOKUP(I80,'Option Tables'!$B$23:$F$26,3)))+(P78*(VLOOKUP(I80,'Option Tables'!$B$23:$F$26,4))+(O78*(VLOOKUP(I80,'Option Tables'!$B$23:$F$26,5)))))</f>
        <v>0</v>
      </c>
      <c r="G83" s="355">
        <f>$D83*((G78*(VLOOKUP(I80,'Option Tables'!$B$23:$F$26,2)))+(F78*(VLOOKUP(I80,'Option Tables'!$B$23:$F$26,3)))+(E78*(VLOOKUP(I80,'Option Tables'!$B$23:$F$26,4))+(P78*(VLOOKUP(I80,'Option Tables'!$B$23:$F$26,5)))))</f>
        <v>0</v>
      </c>
      <c r="H83" s="355">
        <f>$D83*((H78*(VLOOKUP(I80,'Option Tables'!$B$23:$F$26,2)))+(G78*(VLOOKUP(I80,'Option Tables'!$B$23:$F$26,3)))+(F78*(VLOOKUP(I80,'Option Tables'!$B$23:$F$26,4))+(E78*(VLOOKUP(I80,'Option Tables'!$B$23:$F$26,5)))))</f>
        <v>0</v>
      </c>
      <c r="I83" s="355">
        <f>$D83*((I78*(VLOOKUP(I80,'Option Tables'!$B$23:$F$26,2)))+(H78*(VLOOKUP(I80,'Option Tables'!$B$23:$F$26,3)))+(G78*(VLOOKUP(I80,'Option Tables'!$B$23:$F$26,4))+(F78*(VLOOKUP(I80,'Option Tables'!$B$23:$F$26,5)))))</f>
        <v>0</v>
      </c>
      <c r="J83" s="355">
        <f>$D83*((J78*(VLOOKUP(I80,'Option Tables'!$B$23:$F$26,2)))+(I78*(VLOOKUP(I80,'Option Tables'!$B$23:$F$26,3)))+(H78*(VLOOKUP(I80,'Option Tables'!$B$23:$F$26,4))+(G78*(VLOOKUP(I80,'Option Tables'!$B$23:$F$26,5)))))</f>
        <v>0</v>
      </c>
      <c r="K83" s="355">
        <f>$D83*((K78*(VLOOKUP(I80,'Option Tables'!$B$23:$F$26,2)))+(J78*(VLOOKUP(I80,'Option Tables'!$B$23:$F$26,3)))+(I78*(VLOOKUP(I80,'Option Tables'!$B$23:$F$26,4))+(H78*(VLOOKUP(I80,'Option Tables'!$B$23:$F$26,5)))))</f>
        <v>0</v>
      </c>
      <c r="L83" s="355">
        <f>$D83*((L78*(VLOOKUP(I80,'Option Tables'!$B$23:$F$26,2)))+(K78*(VLOOKUP(I80,'Option Tables'!$B$23:$F$26,3)))+(J78*(VLOOKUP(I80,'Option Tables'!$B$23:$F$26,4))+(I78*(VLOOKUP(I80,'Option Tables'!$B$23:$F$26,5)))))</f>
        <v>0</v>
      </c>
      <c r="M83" s="355">
        <f>$D83*((M78*(VLOOKUP(I80,'Option Tables'!$B$23:$F$26,2)))+(L78*(VLOOKUP(I80,'Option Tables'!$B$23:$F$26,3)))+(K78*(VLOOKUP(I80,'Option Tables'!$B$23:$F$26,4))+(J78*(VLOOKUP(I80,'Option Tables'!$B$23:$F$26,5)))))</f>
        <v>0</v>
      </c>
      <c r="N83" s="355">
        <f>$D83*((N78*(VLOOKUP(I80,'Option Tables'!$B$23:$F$26,2)))+(M78*(VLOOKUP(I80,'Option Tables'!$B$23:$F$26,3)))+(L78*(VLOOKUP(I80,'Option Tables'!$B$23:$F$26,4))+(K78*(VLOOKUP(I80,'Option Tables'!$B$23:$F$26,5)))))</f>
        <v>0</v>
      </c>
      <c r="O83" s="355">
        <f>$D83*((O78*(VLOOKUP(I80,'Option Tables'!$B$23:$F$26,2)))+(N78*(VLOOKUP(I80,'Option Tables'!$B$23:$F$26,3)))+(M78*(VLOOKUP(I80,'Option Tables'!$B$23:$F$26,4))+(L78*(VLOOKUP(I80,'Option Tables'!$B$23:$F$26,5)))))</f>
        <v>0</v>
      </c>
      <c r="P83" s="465">
        <f>$D83*((P78*(VLOOKUP(I80,'Option Tables'!$B$23:$F$26,2)))+(O78*(VLOOKUP(I80,'Option Tables'!$B$23:$F$26,3)))+(N78*(VLOOKUP(I80,'Option Tables'!$B$23:$F$26,4))+(M78*(VLOOKUP(I80,'Option Tables'!$B$23:$F$26,5)))))</f>
        <v>0</v>
      </c>
      <c r="Q83" s="96"/>
      <c r="R83"/>
    </row>
    <row r="84" spans="1:20" ht="15.75" customHeight="1">
      <c r="B84" s="95"/>
      <c r="C84" s="256"/>
      <c r="D84" s="388">
        <v>0</v>
      </c>
      <c r="E84" s="355">
        <f>$D84*((E78*(VLOOKUP(I80,'Option Tables'!$B$23:$F$26,2)))+(P78*(VLOOKUP(I80,'Option Tables'!$B$23:$F$26,3)))+(O78*(VLOOKUP(I80,'Option Tables'!$B$23:$F$26,4))+(N78*(VLOOKUP(I80,'Option Tables'!$B$23:$F$26,5)))))</f>
        <v>0</v>
      </c>
      <c r="F84" s="355">
        <f>$D84*((F78*(VLOOKUP(I80,'Option Tables'!$B$23:$F$26,2)))+(E78*(VLOOKUP(I80,'Option Tables'!$B$23:$F$26,3)))+(P78*(VLOOKUP(I80,'Option Tables'!$B$23:$F$26,4))+(O78*(VLOOKUP(I80,'Option Tables'!$B$23:$F$26,5)))))</f>
        <v>0</v>
      </c>
      <c r="G84" s="355">
        <f>$D84*((G78*(VLOOKUP(I80,'Option Tables'!$B$23:$F$26,2)))+(F78*(VLOOKUP(I80,'Option Tables'!$B$23:$F$26,3)))+(E78*(VLOOKUP(I80,'Option Tables'!$B$23:$F$26,4))+(P78*(VLOOKUP(I80,'Option Tables'!$B$23:$F$26,5)))))</f>
        <v>0</v>
      </c>
      <c r="H84" s="355">
        <f>$D84*((H78*(VLOOKUP(I80,'Option Tables'!$B$23:$F$26,2)))+(G78*(VLOOKUP(I80,'Option Tables'!$B$23:$F$26,3)))+(F78*(VLOOKUP(I80,'Option Tables'!$B$23:$F$26,4))+(E78*(VLOOKUP(I80,'Option Tables'!$B$23:$F$26,5)))))</f>
        <v>0</v>
      </c>
      <c r="I84" s="355">
        <f>$D84*((I78*(VLOOKUP(I80,'Option Tables'!$B$23:$F$26,2)))+(H78*(VLOOKUP(I80,'Option Tables'!$B$23:$F$26,3)))+(G78*(VLOOKUP(I80,'Option Tables'!$B$23:$F$26,4))+(F78*(VLOOKUP(I80,'Option Tables'!$B$23:$F$26,5)))))</f>
        <v>0</v>
      </c>
      <c r="J84" s="355">
        <f>$D84*((J78*(VLOOKUP(I80,'Option Tables'!$B$23:$F$26,2)))+(I78*(VLOOKUP(I80,'Option Tables'!$B$23:$F$26,3)))+(H78*(VLOOKUP(I80,'Option Tables'!$B$23:$F$26,4))+(G78*(VLOOKUP(I80,'Option Tables'!$B$23:$F$26,5)))))</f>
        <v>0</v>
      </c>
      <c r="K84" s="355">
        <f>$D84*((K78*(VLOOKUP(I80,'Option Tables'!$B$23:$F$26,2)))+(J78*(VLOOKUP(I80,'Option Tables'!$B$23:$F$26,3)))+(I78*(VLOOKUP(I80,'Option Tables'!$B$23:$F$26,4))+(H78*(VLOOKUP(I80,'Option Tables'!$B$23:$F$26,5)))))</f>
        <v>0</v>
      </c>
      <c r="L84" s="355">
        <f>$D84*((L78*(VLOOKUP(I80,'Option Tables'!$B$23:$F$26,2)))+(K78*(VLOOKUP(I80,'Option Tables'!$B$23:$F$26,3)))+(J78*(VLOOKUP(I80,'Option Tables'!$B$23:$F$26,4))+(I78*(VLOOKUP(I80,'Option Tables'!$B$23:$F$26,5)))))</f>
        <v>0</v>
      </c>
      <c r="M84" s="355">
        <f>$D84*((M78*(VLOOKUP(I80,'Option Tables'!$B$23:$F$26,2)))+(L78*(VLOOKUP(I80,'Option Tables'!$B$23:$F$26,3)))+(K78*(VLOOKUP(I80,'Option Tables'!$B$23:$F$26,4))+(J78*(VLOOKUP(I80,'Option Tables'!$B$23:$F$26,5)))))</f>
        <v>0</v>
      </c>
      <c r="N84" s="355">
        <f>$D84*((N78*(VLOOKUP(I80,'Option Tables'!$B$23:$F$26,2)))+(M78*(VLOOKUP(I80,'Option Tables'!$B$23:$F$26,3)))+(L78*(VLOOKUP(I80,'Option Tables'!$B$23:$F$26,4))+(K78*(VLOOKUP(I80,'Option Tables'!$B$23:$F$26,5)))))</f>
        <v>0</v>
      </c>
      <c r="O84" s="355">
        <f>$D84*((O78*(VLOOKUP(I80,'Option Tables'!$B$23:$F$26,2)))+(N78*(VLOOKUP(I80,'Option Tables'!$B$23:$F$26,3)))+(M78*(VLOOKUP(I80,'Option Tables'!$B$23:$F$26,4))+(L78*(VLOOKUP(I80,'Option Tables'!$B$23:$F$26,5)))))</f>
        <v>0</v>
      </c>
      <c r="P84" s="465">
        <f>$D84*((P78*(VLOOKUP(I80,'Option Tables'!$B$23:$F$26,2)))+(O78*(VLOOKUP(I80,'Option Tables'!$B$23:$F$26,3)))+(N78*(VLOOKUP(I80,'Option Tables'!$B$23:$F$26,4))+(M78*(VLOOKUP(I80,'Option Tables'!$B$23:$F$26,5)))))</f>
        <v>0</v>
      </c>
      <c r="Q84" s="96"/>
      <c r="R84"/>
    </row>
    <row r="85" spans="1:20" ht="15.75" customHeight="1" thickBot="1">
      <c r="B85" s="97"/>
      <c r="C85" s="144" t="str">
        <f>IF(D85&lt;&gt;1,"Must equal %100","")</f>
        <v/>
      </c>
      <c r="D85" s="71">
        <f t="shared" ref="D85:P85" si="7">SUM(D81:D84)</f>
        <v>1</v>
      </c>
      <c r="E85" s="466">
        <f t="shared" si="7"/>
        <v>0</v>
      </c>
      <c r="F85" s="466">
        <f t="shared" si="7"/>
        <v>0</v>
      </c>
      <c r="G85" s="466">
        <f t="shared" si="7"/>
        <v>0</v>
      </c>
      <c r="H85" s="466">
        <f t="shared" si="7"/>
        <v>0</v>
      </c>
      <c r="I85" s="466">
        <f t="shared" si="7"/>
        <v>0</v>
      </c>
      <c r="J85" s="466">
        <f t="shared" si="7"/>
        <v>0</v>
      </c>
      <c r="K85" s="466">
        <f t="shared" si="7"/>
        <v>0</v>
      </c>
      <c r="L85" s="466">
        <f t="shared" si="7"/>
        <v>0</v>
      </c>
      <c r="M85" s="466">
        <f t="shared" si="7"/>
        <v>0</v>
      </c>
      <c r="N85" s="466">
        <f t="shared" si="7"/>
        <v>0</v>
      </c>
      <c r="O85" s="466">
        <f t="shared" si="7"/>
        <v>0</v>
      </c>
      <c r="P85" s="467">
        <f t="shared" si="7"/>
        <v>0</v>
      </c>
      <c r="Q85" s="96"/>
      <c r="R85" s="140"/>
    </row>
    <row r="86" spans="1:20" ht="15.75" customHeight="1" thickBot="1">
      <c r="B86" s="85" t="s">
        <v>65</v>
      </c>
      <c r="C86" s="257" t="str">
        <f>VLOOKUP(B86,NodeList!$D$5:$E$73,2,FALSE)</f>
        <v>Meyers No. 1</v>
      </c>
      <c r="D86" s="91"/>
      <c r="E86" s="450"/>
      <c r="F86" s="451"/>
      <c r="G86" s="452"/>
      <c r="H86" s="453" t="s">
        <v>54</v>
      </c>
      <c r="I86" s="68">
        <v>27</v>
      </c>
      <c r="J86" s="454"/>
      <c r="K86" s="454"/>
      <c r="L86" s="454"/>
      <c r="M86" s="454"/>
      <c r="N86" s="454"/>
      <c r="O86" s="454"/>
      <c r="P86" s="455"/>
      <c r="Q86" s="96"/>
    </row>
    <row r="87" spans="1:20" ht="15.75" customHeight="1">
      <c r="B87" s="94"/>
      <c r="C87" s="66" t="s">
        <v>57</v>
      </c>
      <c r="D87" s="69"/>
      <c r="E87" s="456">
        <f>VLOOKUP($B86,'Diversion Data'!$B$3:$O$227,3,FALSE)</f>
        <v>0</v>
      </c>
      <c r="F87" s="456">
        <f>VLOOKUP($B86,'Diversion Data'!$B$3:$O$227,4,FALSE)</f>
        <v>0</v>
      </c>
      <c r="G87" s="456">
        <f>VLOOKUP($B86,'Diversion Data'!$B$3:$O$227,5,FALSE)</f>
        <v>0</v>
      </c>
      <c r="H87" s="456">
        <f>VLOOKUP($B86,'Diversion Data'!$B$3:$O$227,6,FALSE)</f>
        <v>0</v>
      </c>
      <c r="I87" s="456">
        <f>VLOOKUP($B86,'Diversion Data'!$B$3:$O$227,7,FALSE)</f>
        <v>142.0278677109504</v>
      </c>
      <c r="J87" s="456">
        <f>VLOOKUP($B86,'Diversion Data'!$B$3:$O$227,8,FALSE)</f>
        <v>238.92985677727273</v>
      </c>
      <c r="K87" s="456">
        <f>VLOOKUP($B86,'Diversion Data'!$B$3:$O$227,9,FALSE)</f>
        <v>273.69856300227275</v>
      </c>
      <c r="L87" s="456">
        <f>VLOOKUP($B86,'Diversion Data'!$B$3:$O$227,10,FALSE)</f>
        <v>180.11688069793385</v>
      </c>
      <c r="M87" s="456">
        <f>VLOOKUP($B86,'Diversion Data'!$B$3:$O$227,11,FALSE)</f>
        <v>52.911683655578514</v>
      </c>
      <c r="N87" s="456">
        <f>VLOOKUP($B86,'Diversion Data'!$B$3:$O$227,12,FALSE)</f>
        <v>0</v>
      </c>
      <c r="O87" s="456">
        <f>VLOOKUP($B86,'Diversion Data'!$B$3:$O$227,13,FALSE)</f>
        <v>0</v>
      </c>
      <c r="P87" s="457">
        <f>VLOOKUP($B86,'Diversion Data'!$B$3:$O$227,14,FALSE)</f>
        <v>0</v>
      </c>
      <c r="Q87" s="96"/>
    </row>
    <row r="88" spans="1:20" ht="15.75" customHeight="1">
      <c r="B88" s="95"/>
      <c r="C88" s="72" t="s">
        <v>56</v>
      </c>
      <c r="D88" s="70"/>
      <c r="E88" s="458">
        <f>VLOOKUP($I86,'Option Tables'!$B$3:$N$19,2,FALSE)*E87</f>
        <v>0</v>
      </c>
      <c r="F88" s="458">
        <f>VLOOKUP($I86,'Option Tables'!$B$3:$N$19,3,FALSE)*F87</f>
        <v>0</v>
      </c>
      <c r="G88" s="458">
        <f>VLOOKUP($I86,'Option Tables'!$B$3:$N$19,4,FALSE)*G87</f>
        <v>0</v>
      </c>
      <c r="H88" s="458">
        <f>VLOOKUP($I86,'Option Tables'!$B$3:$N$19,5,FALSE)*H87</f>
        <v>0</v>
      </c>
      <c r="I88" s="458">
        <f>VLOOKUP($I86,'Option Tables'!$B$3:$N$19,6,FALSE)*I87</f>
        <v>103.68034342899379</v>
      </c>
      <c r="J88" s="458">
        <f>VLOOKUP($I86,'Option Tables'!$B$3:$N$19,7,FALSE)*J87</f>
        <v>174.41879544740908</v>
      </c>
      <c r="K88" s="458">
        <f>VLOOKUP($I86,'Option Tables'!$B$3:$N$19,8,FALSE)*K87</f>
        <v>199.7999509916591</v>
      </c>
      <c r="L88" s="458">
        <f>VLOOKUP($I86,'Option Tables'!$B$3:$N$19,9,FALSE)*L87</f>
        <v>131.48532290949171</v>
      </c>
      <c r="M88" s="458">
        <f>VLOOKUP($I86,'Option Tables'!$B$3:$N$19,10,FALSE)*M87</f>
        <v>38.625529068572312</v>
      </c>
      <c r="N88" s="458">
        <f>VLOOKUP($I86,'Option Tables'!$B$3:$N$19,11,FALSE)*N87</f>
        <v>0</v>
      </c>
      <c r="O88" s="458">
        <f>VLOOKUP($I86,'Option Tables'!$B$3:$N$19,12,FALSE)*O87</f>
        <v>0</v>
      </c>
      <c r="P88" s="459">
        <f>VLOOKUP($I86,'Option Tables'!$B$3:$N$19,13,FALSE)*P87</f>
        <v>0</v>
      </c>
      <c r="Q88" s="96"/>
    </row>
    <row r="89" spans="1:20" ht="15.75" customHeight="1" thickBot="1">
      <c r="B89" s="95"/>
      <c r="C89" s="66"/>
      <c r="D89" s="62"/>
      <c r="E89" s="355"/>
      <c r="F89" s="355"/>
      <c r="G89" s="355"/>
      <c r="H89" s="355"/>
      <c r="I89" s="355"/>
      <c r="J89" s="355"/>
      <c r="K89" s="355"/>
      <c r="L89" s="355"/>
      <c r="M89" s="460"/>
      <c r="N89" s="460"/>
      <c r="O89" s="460"/>
      <c r="P89" s="461"/>
      <c r="Q89" s="96"/>
    </row>
    <row r="90" spans="1:20" ht="15.75" customHeight="1" thickBot="1">
      <c r="B90" s="254" t="s">
        <v>73</v>
      </c>
      <c r="C90" s="105" t="s">
        <v>73</v>
      </c>
      <c r="D90" s="105" t="s">
        <v>74</v>
      </c>
      <c r="E90" s="462"/>
      <c r="F90" s="463"/>
      <c r="G90" s="464"/>
      <c r="H90" s="464" t="s">
        <v>55</v>
      </c>
      <c r="I90" s="68">
        <v>2</v>
      </c>
      <c r="J90" s="460"/>
      <c r="K90" s="460"/>
      <c r="L90" s="460"/>
      <c r="M90" s="460"/>
      <c r="N90" s="460"/>
      <c r="O90" s="460"/>
      <c r="P90" s="461"/>
      <c r="Q90" s="96"/>
    </row>
    <row r="91" spans="1:20" ht="15.75" customHeight="1">
      <c r="B91" s="255" t="str">
        <f>"("&amp;VLOOKUP(C91,NodeList!$D$5:$E$68,2,FALSE)&amp;")"</f>
        <v>(Booth)</v>
      </c>
      <c r="C91" s="256" t="s">
        <v>68</v>
      </c>
      <c r="D91" s="388">
        <v>0.5</v>
      </c>
      <c r="E91" s="355">
        <f>$D91*((E88*(VLOOKUP(I90,'Option Tables'!$B$23:$F$26,2)))+(P88*(VLOOKUP(I90,'Option Tables'!$B$23:$F$26,3)))+(O88*(VLOOKUP(I90,'Option Tables'!$B$23:$F$26,4))+(N88*(VLOOKUP(I90,'Option Tables'!$B$23:$F$26,5)))))</f>
        <v>0</v>
      </c>
      <c r="F91" s="355">
        <f>$D91*((F88*(VLOOKUP(I90,'Option Tables'!$B$23:$F$26,2)))+(E88*(VLOOKUP(I90,'Option Tables'!$B$23:$F$26,3)))+(P88*(VLOOKUP(I90,'Option Tables'!$B$23:$F$26,4))+(O88*(VLOOKUP(I90,'Option Tables'!$B$23:$F$26,5)))))</f>
        <v>0</v>
      </c>
      <c r="G91" s="355">
        <f>$D91*((G88*(VLOOKUP(I90,'Option Tables'!$B$23:$F$26,2)))+(F88*(VLOOKUP(I90,'Option Tables'!$B$23:$F$26,3)))+(E88*(VLOOKUP(I90,'Option Tables'!$B$23:$F$26,4))+(P88*(VLOOKUP(I90,'Option Tables'!$B$23:$F$26,5)))))</f>
        <v>0</v>
      </c>
      <c r="H91" s="355">
        <f>$D91*((H88*(VLOOKUP(I90,'Option Tables'!$B$23:$F$26,2)))+(G88*(VLOOKUP(I90,'Option Tables'!$B$23:$F$26,3)))+(F88*(VLOOKUP(I90,'Option Tables'!$B$23:$F$26,4))+(E88*(VLOOKUP(I90,'Option Tables'!$B$23:$F$26,5)))))</f>
        <v>0</v>
      </c>
      <c r="I91" s="355">
        <f>$D91*((I88*(VLOOKUP(I90,'Option Tables'!$B$23:$F$26,2)))+(H88*(VLOOKUP(I90,'Option Tables'!$B$23:$F$26,3)))+(G88*(VLOOKUP(I90,'Option Tables'!$B$23:$F$26,4))+(F88*(VLOOKUP(I90,'Option Tables'!$B$23:$F$26,5)))))</f>
        <v>36.288120200147823</v>
      </c>
      <c r="J91" s="355">
        <f>$D91*((J88*(VLOOKUP(I90,'Option Tables'!$B$23:$F$26,2)))+(I88*(VLOOKUP(I90,'Option Tables'!$B$23:$F$26,3)))+(H88*(VLOOKUP(I90,'Option Tables'!$B$23:$F$26,4))+(G88*(VLOOKUP(I90,'Option Tables'!$B$23:$F$26,5)))))</f>
        <v>71.414612749492562</v>
      </c>
      <c r="K91" s="355">
        <f>$D91*((K88*(VLOOKUP(I90,'Option Tables'!$B$23:$F$26,2)))+(J88*(VLOOKUP(I90,'Option Tables'!$B$23:$F$26,3)))+(I88*(VLOOKUP(I90,'Option Tables'!$B$23:$F$26,4))+(H88*(VLOOKUP(I90,'Option Tables'!$B$23:$F$26,5)))))</f>
        <v>92.55587956327129</v>
      </c>
      <c r="L91" s="355">
        <f>$D91*((L88*(VLOOKUP(I90,'Option Tables'!$B$23:$F$26,2)))+(K88*(VLOOKUP(I90,'Option Tables'!$B$23:$F$26,3)))+(J88*(VLOOKUP(I90,'Option Tables'!$B$23:$F$26,4))+(I88*(VLOOKUP(I90,'Option Tables'!$B$23:$F$26,5)))))</f>
        <v>74.72079788985846</v>
      </c>
      <c r="M91" s="355">
        <f>$D91*((M88*(VLOOKUP(I90,'Option Tables'!$B$23:$F$26,2)))+(L88*(VLOOKUP(I90,'Option Tables'!$B$23:$F$26,3)))+(K88*(VLOOKUP(I90,'Option Tables'!$B$23:$F$26,4))+(J88*(VLOOKUP(I90,'Option Tables'!$B$23:$F$26,5)))))</f>
        <v>36.657465014532434</v>
      </c>
      <c r="N91" s="355">
        <f>$D91*((N88*(VLOOKUP(I90,'Option Tables'!$B$23:$F$26,2)))+(M88*(VLOOKUP(I90,'Option Tables'!$B$23:$F$26,3)))+(L88*(VLOOKUP(I90,'Option Tables'!$B$23:$F$26,4))+(K88*(VLOOKUP(I90,'Option Tables'!$B$23:$F$26,5)))))</f>
        <v>10.436819052331817</v>
      </c>
      <c r="O91" s="355">
        <f>$D91*((O88*(VLOOKUP(I90,'Option Tables'!$B$23:$F$26,2)))+(N88*(VLOOKUP(I90,'Option Tables'!$B$23:$F$26,3)))+(M88*(VLOOKUP(I90,'Option Tables'!$B$23:$F$26,4))+(L88*(VLOOKUP(I90,'Option Tables'!$B$23:$F$26,5)))))</f>
        <v>1.9312764534286158</v>
      </c>
      <c r="P91" s="465">
        <f>$D91*((P88*(VLOOKUP(I90,'Option Tables'!$B$23:$F$26,2)))+(O88*(VLOOKUP(I90,'Option Tables'!$B$23:$F$26,3)))+(N88*(VLOOKUP(I90,'Option Tables'!$B$23:$F$26,4))+(M88*(VLOOKUP(I90,'Option Tables'!$B$23:$F$26,5)))))</f>
        <v>0</v>
      </c>
      <c r="Q91" s="96"/>
    </row>
    <row r="92" spans="1:20" ht="15.75" customHeight="1">
      <c r="B92" s="255" t="str">
        <f>"("&amp;VLOOKUP(C92,NodeList!$D$5:$E$68,2,FALSE)&amp;")"</f>
        <v>(AggDiv SC-2)</v>
      </c>
      <c r="C92" s="256" t="s">
        <v>189</v>
      </c>
      <c r="D92" s="388">
        <v>0.5</v>
      </c>
      <c r="E92" s="355">
        <f>$D92*((E88*(VLOOKUP(I90,'Option Tables'!$B$23:$F$26,2)))+(P88*(VLOOKUP(I90,'Option Tables'!$B$23:$F$26,3)))+(O88*(VLOOKUP(I90,'Option Tables'!$B$23:$F$26,4))+(N88*(VLOOKUP(I90,'Option Tables'!$B$23:$F$26,5)))))</f>
        <v>0</v>
      </c>
      <c r="F92" s="355">
        <f>$D92*((F88*(VLOOKUP(I90,'Option Tables'!$B$23:$F$26,2)))+(E88*(VLOOKUP(I90,'Option Tables'!$B$23:$F$26,3)))+(P88*(VLOOKUP(I90,'Option Tables'!$B$23:$F$26,4))+(O88*(VLOOKUP(I90,'Option Tables'!$B$23:$F$26,5)))))</f>
        <v>0</v>
      </c>
      <c r="G92" s="355">
        <f>$D92*((G88*(VLOOKUP(I90,'Option Tables'!$B$23:$F$26,2)))+(F88*(VLOOKUP(I90,'Option Tables'!$B$23:$F$26,3)))+(E88*(VLOOKUP(I90,'Option Tables'!$B$23:$F$26,4))+(P88*(VLOOKUP(I90,'Option Tables'!$B$23:$F$26,5)))))</f>
        <v>0</v>
      </c>
      <c r="H92" s="355">
        <f>$D92*((H88*(VLOOKUP(I90,'Option Tables'!$B$23:$F$26,2)))+(G88*(VLOOKUP(I90,'Option Tables'!$B$23:$F$26,3)))+(F88*(VLOOKUP(I90,'Option Tables'!$B$23:$F$26,4))+(E88*(VLOOKUP(I90,'Option Tables'!$B$23:$F$26,5)))))</f>
        <v>0</v>
      </c>
      <c r="I92" s="355">
        <f>$D92*((I88*(VLOOKUP(I90,'Option Tables'!$B$23:$F$26,2)))+(H88*(VLOOKUP(I90,'Option Tables'!$B$23:$F$26,3)))+(G88*(VLOOKUP(I90,'Option Tables'!$B$23:$F$26,4))+(F88*(VLOOKUP(I90,'Option Tables'!$B$23:$F$26,5)))))</f>
        <v>36.288120200147823</v>
      </c>
      <c r="J92" s="355">
        <f>$D92*((J88*(VLOOKUP(I90,'Option Tables'!$B$23:$F$26,2)))+(I88*(VLOOKUP(I90,'Option Tables'!$B$23:$F$26,3)))+(H88*(VLOOKUP(I90,'Option Tables'!$B$23:$F$26,4))+(G88*(VLOOKUP(I90,'Option Tables'!$B$23:$F$26,5)))))</f>
        <v>71.414612749492562</v>
      </c>
      <c r="K92" s="355">
        <f>$D92*((K88*(VLOOKUP(I90,'Option Tables'!$B$23:$F$26,2)))+(J88*(VLOOKUP(I90,'Option Tables'!$B$23:$F$26,3)))+(I88*(VLOOKUP(I90,'Option Tables'!$B$23:$F$26,4))+(H88*(VLOOKUP(I90,'Option Tables'!$B$23:$F$26,5)))))</f>
        <v>92.55587956327129</v>
      </c>
      <c r="L92" s="355">
        <f>$D92*((L88*(VLOOKUP(I90,'Option Tables'!$B$23:$F$26,2)))+(K88*(VLOOKUP(I90,'Option Tables'!$B$23:$F$26,3)))+(J88*(VLOOKUP(I90,'Option Tables'!$B$23:$F$26,4))+(I88*(VLOOKUP(I90,'Option Tables'!$B$23:$F$26,5)))))</f>
        <v>74.72079788985846</v>
      </c>
      <c r="M92" s="355">
        <f>$D92*((M88*(VLOOKUP(I90,'Option Tables'!$B$23:$F$26,2)))+(L88*(VLOOKUP(I90,'Option Tables'!$B$23:$F$26,3)))+(K88*(VLOOKUP(I90,'Option Tables'!$B$23:$F$26,4))+(J88*(VLOOKUP(I90,'Option Tables'!$B$23:$F$26,5)))))</f>
        <v>36.657465014532434</v>
      </c>
      <c r="N92" s="355">
        <f>$D92*((N88*(VLOOKUP(I90,'Option Tables'!$B$23:$F$26,2)))+(M88*(VLOOKUP(I90,'Option Tables'!$B$23:$F$26,3)))+(L88*(VLOOKUP(I90,'Option Tables'!$B$23:$F$26,4))+(K88*(VLOOKUP(I90,'Option Tables'!$B$23:$F$26,5)))))</f>
        <v>10.436819052331817</v>
      </c>
      <c r="O92" s="355">
        <f>$D92*((O88*(VLOOKUP(I90,'Option Tables'!$B$23:$F$26,2)))+(N88*(VLOOKUP(I90,'Option Tables'!$B$23:$F$26,3)))+(M88*(VLOOKUP(I90,'Option Tables'!$B$23:$F$26,4))+(L88*(VLOOKUP(I90,'Option Tables'!$B$23:$F$26,5)))))</f>
        <v>1.9312764534286158</v>
      </c>
      <c r="P92" s="465">
        <f>$D92*((P88*(VLOOKUP(I90,'Option Tables'!$B$23:$F$26,2)))+(O88*(VLOOKUP(I90,'Option Tables'!$B$23:$F$26,3)))+(N88*(VLOOKUP(I90,'Option Tables'!$B$23:$F$26,4))+(M88*(VLOOKUP(I90,'Option Tables'!$B$23:$F$26,5)))))</f>
        <v>0</v>
      </c>
      <c r="Q92" s="96"/>
    </row>
    <row r="93" spans="1:20" ht="15.75" customHeight="1">
      <c r="B93" s="95"/>
      <c r="C93" s="256"/>
      <c r="D93" s="388">
        <v>0</v>
      </c>
      <c r="E93" s="355">
        <f>$D93*((E88*(VLOOKUP(I90,'Option Tables'!$B$23:$F$26,2)))+(P88*(VLOOKUP(I90,'Option Tables'!$B$23:$F$26,3)))+(O88*(VLOOKUP(I90,'Option Tables'!$B$23:$F$26,4))+(N88*(VLOOKUP(I90,'Option Tables'!$B$23:$F$26,5)))))</f>
        <v>0</v>
      </c>
      <c r="F93" s="355">
        <f>$D93*((F88*(VLOOKUP(I90,'Option Tables'!$B$23:$F$26,2)))+(E88*(VLOOKUP(I90,'Option Tables'!$B$23:$F$26,3)))+(P88*(VLOOKUP(I90,'Option Tables'!$B$23:$F$26,4))+(O88*(VLOOKUP(I90,'Option Tables'!$B$23:$F$26,5)))))</f>
        <v>0</v>
      </c>
      <c r="G93" s="355">
        <f>$D93*((G88*(VLOOKUP(I90,'Option Tables'!$B$23:$F$26,2)))+(F88*(VLOOKUP(I90,'Option Tables'!$B$23:$F$26,3)))+(E88*(VLOOKUP(I90,'Option Tables'!$B$23:$F$26,4))+(P88*(VLOOKUP(I90,'Option Tables'!$B$23:$F$26,5)))))</f>
        <v>0</v>
      </c>
      <c r="H93" s="355">
        <f>$D93*((H88*(VLOOKUP(I90,'Option Tables'!$B$23:$F$26,2)))+(G88*(VLOOKUP(I90,'Option Tables'!$B$23:$F$26,3)))+(F88*(VLOOKUP(I90,'Option Tables'!$B$23:$F$26,4))+(E88*(VLOOKUP(I90,'Option Tables'!$B$23:$F$26,5)))))</f>
        <v>0</v>
      </c>
      <c r="I93" s="355">
        <f>$D93*((I88*(VLOOKUP(I90,'Option Tables'!$B$23:$F$26,2)))+(H88*(VLOOKUP(I90,'Option Tables'!$B$23:$F$26,3)))+(G88*(VLOOKUP(I90,'Option Tables'!$B$23:$F$26,4))+(F88*(VLOOKUP(I90,'Option Tables'!$B$23:$F$26,5)))))</f>
        <v>0</v>
      </c>
      <c r="J93" s="355">
        <f>$D93*((J88*(VLOOKUP(I90,'Option Tables'!$B$23:$F$26,2)))+(I88*(VLOOKUP(I90,'Option Tables'!$B$23:$F$26,3)))+(H88*(VLOOKUP(I90,'Option Tables'!$B$23:$F$26,4))+(G88*(VLOOKUP(I90,'Option Tables'!$B$23:$F$26,5)))))</f>
        <v>0</v>
      </c>
      <c r="K93" s="355">
        <f>$D93*((K88*(VLOOKUP(I90,'Option Tables'!$B$23:$F$26,2)))+(J88*(VLOOKUP(I90,'Option Tables'!$B$23:$F$26,3)))+(I88*(VLOOKUP(I90,'Option Tables'!$B$23:$F$26,4))+(H88*(VLOOKUP(I90,'Option Tables'!$B$23:$F$26,5)))))</f>
        <v>0</v>
      </c>
      <c r="L93" s="355">
        <f>$D93*((L88*(VLOOKUP(I90,'Option Tables'!$B$23:$F$26,2)))+(K88*(VLOOKUP(I90,'Option Tables'!$B$23:$F$26,3)))+(J88*(VLOOKUP(I90,'Option Tables'!$B$23:$F$26,4))+(I88*(VLOOKUP(I90,'Option Tables'!$B$23:$F$26,5)))))</f>
        <v>0</v>
      </c>
      <c r="M93" s="355">
        <f>$D93*((M88*(VLOOKUP(I90,'Option Tables'!$B$23:$F$26,2)))+(L88*(VLOOKUP(I90,'Option Tables'!$B$23:$F$26,3)))+(K88*(VLOOKUP(I90,'Option Tables'!$B$23:$F$26,4))+(J88*(VLOOKUP(I90,'Option Tables'!$B$23:$F$26,5)))))</f>
        <v>0</v>
      </c>
      <c r="N93" s="355">
        <f>$D93*((N88*(VLOOKUP(I90,'Option Tables'!$B$23:$F$26,2)))+(M88*(VLOOKUP(I90,'Option Tables'!$B$23:$F$26,3)))+(L88*(VLOOKUP(I90,'Option Tables'!$B$23:$F$26,4))+(K88*(VLOOKUP(I90,'Option Tables'!$B$23:$F$26,5)))))</f>
        <v>0</v>
      </c>
      <c r="O93" s="355">
        <f>$D93*((O88*(VLOOKUP(I90,'Option Tables'!$B$23:$F$26,2)))+(N88*(VLOOKUP(I90,'Option Tables'!$B$23:$F$26,3)))+(M88*(VLOOKUP(I90,'Option Tables'!$B$23:$F$26,4))+(L88*(VLOOKUP(I90,'Option Tables'!$B$23:$F$26,5)))))</f>
        <v>0</v>
      </c>
      <c r="P93" s="465">
        <f>$D93*((P88*(VLOOKUP(I90,'Option Tables'!$B$23:$F$26,2)))+(O88*(VLOOKUP(I90,'Option Tables'!$B$23:$F$26,3)))+(N88*(VLOOKUP(I90,'Option Tables'!$B$23:$F$26,4))+(M88*(VLOOKUP(I90,'Option Tables'!$B$23:$F$26,5)))))</f>
        <v>0</v>
      </c>
      <c r="Q93" s="96"/>
    </row>
    <row r="94" spans="1:20" ht="15.75" customHeight="1">
      <c r="B94" s="95"/>
      <c r="C94" s="256"/>
      <c r="D94" s="388">
        <v>0</v>
      </c>
      <c r="E94" s="355">
        <f>$D94*((E88*(VLOOKUP(I90,'Option Tables'!$B$23:$F$26,2)))+(P88*(VLOOKUP(I90,'Option Tables'!$B$23:$F$26,3)))+(O88*(VLOOKUP(I90,'Option Tables'!$B$23:$F$26,4))+(N88*(VLOOKUP(I90,'Option Tables'!$B$23:$F$26,5)))))</f>
        <v>0</v>
      </c>
      <c r="F94" s="355">
        <f>$D94*((F88*(VLOOKUP(I90,'Option Tables'!$B$23:$F$26,2)))+(E88*(VLOOKUP(I90,'Option Tables'!$B$23:$F$26,3)))+(P88*(VLOOKUP(I90,'Option Tables'!$B$23:$F$26,4))+(O88*(VLOOKUP(I90,'Option Tables'!$B$23:$F$26,5)))))</f>
        <v>0</v>
      </c>
      <c r="G94" s="355">
        <f>$D94*((G88*(VLOOKUP(I90,'Option Tables'!$B$23:$F$26,2)))+(F88*(VLOOKUP(I90,'Option Tables'!$B$23:$F$26,3)))+(E88*(VLOOKUP(I90,'Option Tables'!$B$23:$F$26,4))+(P88*(VLOOKUP(I90,'Option Tables'!$B$23:$F$26,5)))))</f>
        <v>0</v>
      </c>
      <c r="H94" s="355">
        <f>$D94*((H88*(VLOOKUP(I90,'Option Tables'!$B$23:$F$26,2)))+(G88*(VLOOKUP(I90,'Option Tables'!$B$23:$F$26,3)))+(F88*(VLOOKUP(I90,'Option Tables'!$B$23:$F$26,4))+(E88*(VLOOKUP(I90,'Option Tables'!$B$23:$F$26,5)))))</f>
        <v>0</v>
      </c>
      <c r="I94" s="355">
        <f>$D94*((I88*(VLOOKUP(I90,'Option Tables'!$B$23:$F$26,2)))+(H88*(VLOOKUP(I90,'Option Tables'!$B$23:$F$26,3)))+(G88*(VLOOKUP(I90,'Option Tables'!$B$23:$F$26,4))+(F88*(VLOOKUP(I90,'Option Tables'!$B$23:$F$26,5)))))</f>
        <v>0</v>
      </c>
      <c r="J94" s="355">
        <f>$D94*((J88*(VLOOKUP(I90,'Option Tables'!$B$23:$F$26,2)))+(I88*(VLOOKUP(I90,'Option Tables'!$B$23:$F$26,3)))+(H88*(VLOOKUP(I90,'Option Tables'!$B$23:$F$26,4))+(G88*(VLOOKUP(I90,'Option Tables'!$B$23:$F$26,5)))))</f>
        <v>0</v>
      </c>
      <c r="K94" s="355">
        <f>$D94*((K88*(VLOOKUP(I90,'Option Tables'!$B$23:$F$26,2)))+(J88*(VLOOKUP(I90,'Option Tables'!$B$23:$F$26,3)))+(I88*(VLOOKUP(I90,'Option Tables'!$B$23:$F$26,4))+(H88*(VLOOKUP(I90,'Option Tables'!$B$23:$F$26,5)))))</f>
        <v>0</v>
      </c>
      <c r="L94" s="355">
        <f>$D94*((L88*(VLOOKUP(I90,'Option Tables'!$B$23:$F$26,2)))+(K88*(VLOOKUP(I90,'Option Tables'!$B$23:$F$26,3)))+(J88*(VLOOKUP(I90,'Option Tables'!$B$23:$F$26,4))+(I88*(VLOOKUP(I90,'Option Tables'!$B$23:$F$26,5)))))</f>
        <v>0</v>
      </c>
      <c r="M94" s="355">
        <f>$D94*((M88*(VLOOKUP(I90,'Option Tables'!$B$23:$F$26,2)))+(L88*(VLOOKUP(I90,'Option Tables'!$B$23:$F$26,3)))+(K88*(VLOOKUP(I90,'Option Tables'!$B$23:$F$26,4))+(J88*(VLOOKUP(I90,'Option Tables'!$B$23:$F$26,5)))))</f>
        <v>0</v>
      </c>
      <c r="N94" s="355">
        <f>$D94*((N88*(VLOOKUP(I90,'Option Tables'!$B$23:$F$26,2)))+(M88*(VLOOKUP(I90,'Option Tables'!$B$23:$F$26,3)))+(L88*(VLOOKUP(I90,'Option Tables'!$B$23:$F$26,4))+(K88*(VLOOKUP(I90,'Option Tables'!$B$23:$F$26,5)))))</f>
        <v>0</v>
      </c>
      <c r="O94" s="355">
        <f>$D94*((O88*(VLOOKUP(I90,'Option Tables'!$B$23:$F$26,2)))+(N88*(VLOOKUP(I90,'Option Tables'!$B$23:$F$26,3)))+(M88*(VLOOKUP(I90,'Option Tables'!$B$23:$F$26,4))+(L88*(VLOOKUP(I90,'Option Tables'!$B$23:$F$26,5)))))</f>
        <v>0</v>
      </c>
      <c r="P94" s="465">
        <f>$D94*((P88*(VLOOKUP(I90,'Option Tables'!$B$23:$F$26,2)))+(O88*(VLOOKUP(I90,'Option Tables'!$B$23:$F$26,3)))+(N88*(VLOOKUP(I90,'Option Tables'!$B$23:$F$26,4))+(M88*(VLOOKUP(I90,'Option Tables'!$B$23:$F$26,5)))))</f>
        <v>0</v>
      </c>
      <c r="Q94" s="96"/>
    </row>
    <row r="95" spans="1:20" ht="15.75" customHeight="1" thickBot="1">
      <c r="B95" s="97"/>
      <c r="C95" s="144" t="str">
        <f>IF(D95&lt;&gt;1,"Must equal %100","")</f>
        <v/>
      </c>
      <c r="D95" s="71">
        <f t="shared" ref="D95:P95" si="8">SUM(D91:D94)</f>
        <v>1</v>
      </c>
      <c r="E95" s="466">
        <f t="shared" si="8"/>
        <v>0</v>
      </c>
      <c r="F95" s="466">
        <f t="shared" si="8"/>
        <v>0</v>
      </c>
      <c r="G95" s="466">
        <f t="shared" si="8"/>
        <v>0</v>
      </c>
      <c r="H95" s="466">
        <f t="shared" si="8"/>
        <v>0</v>
      </c>
      <c r="I95" s="466">
        <f t="shared" si="8"/>
        <v>72.576240400295646</v>
      </c>
      <c r="J95" s="466">
        <f t="shared" si="8"/>
        <v>142.82922549898512</v>
      </c>
      <c r="K95" s="466">
        <f t="shared" si="8"/>
        <v>185.11175912654258</v>
      </c>
      <c r="L95" s="466">
        <f t="shared" si="8"/>
        <v>149.44159577971692</v>
      </c>
      <c r="M95" s="466">
        <f t="shared" si="8"/>
        <v>73.314930029064868</v>
      </c>
      <c r="N95" s="466">
        <f t="shared" si="8"/>
        <v>20.873638104663634</v>
      </c>
      <c r="O95" s="466">
        <f t="shared" si="8"/>
        <v>3.8625529068572315</v>
      </c>
      <c r="P95" s="467">
        <f t="shared" si="8"/>
        <v>0</v>
      </c>
      <c r="Q95" s="96"/>
      <c r="R95" s="140"/>
    </row>
    <row r="96" spans="1:20" ht="15.75" customHeight="1" thickBot="1">
      <c r="B96" s="85" t="s">
        <v>66</v>
      </c>
      <c r="C96" s="257" t="str">
        <f>VLOOKUP(B96,NodeList!$D$5:$E$73,2,FALSE)</f>
        <v>Meyers Irrigation</v>
      </c>
      <c r="D96" s="91"/>
      <c r="E96" s="450"/>
      <c r="F96" s="451"/>
      <c r="G96" s="452"/>
      <c r="H96" s="453" t="s">
        <v>54</v>
      </c>
      <c r="I96" s="68">
        <v>30</v>
      </c>
      <c r="J96" s="454"/>
      <c r="K96" s="454"/>
      <c r="L96" s="454"/>
      <c r="M96" s="454"/>
      <c r="N96" s="454"/>
      <c r="O96" s="454"/>
      <c r="P96" s="455"/>
      <c r="Q96" s="96"/>
      <c r="R96"/>
    </row>
    <row r="97" spans="2:18" ht="15.75" customHeight="1">
      <c r="B97" s="94"/>
      <c r="C97" s="66" t="s">
        <v>57</v>
      </c>
      <c r="D97" s="69"/>
      <c r="E97" s="456">
        <f>VLOOKUP($B96,'Diversion Data'!$B$3:$O$227,3,FALSE)</f>
        <v>0</v>
      </c>
      <c r="F97" s="456">
        <f>VLOOKUP($B96,'Diversion Data'!$B$3:$O$227,4,FALSE)</f>
        <v>0</v>
      </c>
      <c r="G97" s="456">
        <f>VLOOKUP($B96,'Diversion Data'!$B$3:$O$227,5,FALSE)</f>
        <v>0</v>
      </c>
      <c r="H97" s="456">
        <f>VLOOKUP($B96,'Diversion Data'!$B$3:$O$227,6,FALSE)</f>
        <v>0</v>
      </c>
      <c r="I97" s="456">
        <f>VLOOKUP($B96,'Diversion Data'!$B$3:$O$227,7,FALSE)</f>
        <v>214.6277360820248</v>
      </c>
      <c r="J97" s="456">
        <f>VLOOKUP($B96,'Diversion Data'!$B$3:$O$227,8,FALSE)</f>
        <v>247.11370614297519</v>
      </c>
      <c r="K97" s="456">
        <f>VLOOKUP($B96,'Diversion Data'!$B$3:$O$227,9,FALSE)</f>
        <v>228.76809222252064</v>
      </c>
      <c r="L97" s="456">
        <f>VLOOKUP($B96,'Diversion Data'!$B$3:$O$227,10,FALSE)</f>
        <v>112.81941612706611</v>
      </c>
      <c r="M97" s="456">
        <f>VLOOKUP($B96,'Diversion Data'!$B$3:$O$227,11,FALSE)</f>
        <v>100.28145306570249</v>
      </c>
      <c r="N97" s="456">
        <f>VLOOKUP($B96,'Diversion Data'!$B$3:$O$227,12,FALSE)</f>
        <v>0</v>
      </c>
      <c r="O97" s="456">
        <f>VLOOKUP($B96,'Diversion Data'!$B$3:$O$227,13,FALSE)</f>
        <v>0</v>
      </c>
      <c r="P97" s="457">
        <f>VLOOKUP($B96,'Diversion Data'!$B$3:$O$227,14,FALSE)</f>
        <v>0</v>
      </c>
      <c r="Q97" s="96"/>
      <c r="R97"/>
    </row>
    <row r="98" spans="2:18" ht="15.75" customHeight="1">
      <c r="B98" s="95"/>
      <c r="C98" s="72" t="s">
        <v>56</v>
      </c>
      <c r="D98" s="70"/>
      <c r="E98" s="458">
        <f>VLOOKUP($I96,'Option Tables'!$B$3:$N$19,2,FALSE)*E97</f>
        <v>0</v>
      </c>
      <c r="F98" s="458">
        <f>VLOOKUP($I96,'Option Tables'!$B$3:$N$19,3,FALSE)*F97</f>
        <v>0</v>
      </c>
      <c r="G98" s="458">
        <f>VLOOKUP($I96,'Option Tables'!$B$3:$N$19,4,FALSE)*G97</f>
        <v>0</v>
      </c>
      <c r="H98" s="458">
        <f>VLOOKUP($I96,'Option Tables'!$B$3:$N$19,5,FALSE)*H97</f>
        <v>0</v>
      </c>
      <c r="I98" s="458">
        <f>VLOOKUP($I96,'Option Tables'!$B$3:$N$19,6,FALSE)*I97</f>
        <v>150.23941525741733</v>
      </c>
      <c r="J98" s="458">
        <f>VLOOKUP($I96,'Option Tables'!$B$3:$N$19,7,FALSE)*J97</f>
        <v>172.97959430008262</v>
      </c>
      <c r="K98" s="458">
        <f>VLOOKUP($I96,'Option Tables'!$B$3:$N$19,8,FALSE)*K97</f>
        <v>160.13766455576445</v>
      </c>
      <c r="L98" s="458">
        <f>VLOOKUP($I96,'Option Tables'!$B$3:$N$19,9,FALSE)*L97</f>
        <v>78.973591288946267</v>
      </c>
      <c r="M98" s="458">
        <f>VLOOKUP($I96,'Option Tables'!$B$3:$N$19,10,FALSE)*M97</f>
        <v>70.197017145991737</v>
      </c>
      <c r="N98" s="458">
        <f>VLOOKUP($I96,'Option Tables'!$B$3:$N$19,11,FALSE)*N97</f>
        <v>0</v>
      </c>
      <c r="O98" s="458">
        <f>VLOOKUP($I96,'Option Tables'!$B$3:$N$19,12,FALSE)*O97</f>
        <v>0</v>
      </c>
      <c r="P98" s="459">
        <f>VLOOKUP($I96,'Option Tables'!$B$3:$N$19,13,FALSE)*P97</f>
        <v>0</v>
      </c>
      <c r="Q98" s="96"/>
      <c r="R98"/>
    </row>
    <row r="99" spans="2:18" ht="15.75" customHeight="1" thickBot="1">
      <c r="B99" s="95"/>
      <c r="C99" s="66"/>
      <c r="D99" s="62"/>
      <c r="E99" s="355"/>
      <c r="F99" s="355"/>
      <c r="G99" s="355"/>
      <c r="H99" s="355"/>
      <c r="I99" s="355"/>
      <c r="J99" s="355"/>
      <c r="K99" s="355"/>
      <c r="L99" s="355"/>
      <c r="M99" s="460"/>
      <c r="N99" s="460"/>
      <c r="O99" s="460"/>
      <c r="P99" s="461"/>
      <c r="Q99" s="96"/>
      <c r="R99"/>
    </row>
    <row r="100" spans="2:18" ht="15.75" customHeight="1" thickBot="1">
      <c r="B100" s="254" t="s">
        <v>73</v>
      </c>
      <c r="C100" s="105" t="s">
        <v>73</v>
      </c>
      <c r="D100" s="105" t="s">
        <v>74</v>
      </c>
      <c r="E100" s="462"/>
      <c r="F100" s="463"/>
      <c r="G100" s="464"/>
      <c r="H100" s="464" t="s">
        <v>55</v>
      </c>
      <c r="I100" s="68">
        <v>2</v>
      </c>
      <c r="J100" s="460"/>
      <c r="K100" s="460"/>
      <c r="L100" s="460"/>
      <c r="M100" s="460"/>
      <c r="N100" s="460"/>
      <c r="O100" s="460"/>
      <c r="P100" s="461"/>
      <c r="Q100" s="96"/>
      <c r="R100"/>
    </row>
    <row r="101" spans="2:18" ht="15.75" customHeight="1">
      <c r="B101" s="255" t="str">
        <f>"("&amp;VLOOKUP(C101,NodeList!$D$5:$E$68,2,FALSE)&amp;")"</f>
        <v>(Anel)</v>
      </c>
      <c r="C101" s="256" t="s">
        <v>69</v>
      </c>
      <c r="D101" s="388">
        <v>1</v>
      </c>
      <c r="E101" s="355">
        <f>$D101*((E98*(VLOOKUP(I100,'Option Tables'!$B$23:$F$26,2)))+(P98*(VLOOKUP(I100,'Option Tables'!$B$23:$F$26,3)))+(O98*(VLOOKUP(I100,'Option Tables'!$B$23:$F$26,4))+(N98*(VLOOKUP(I100,'Option Tables'!$B$23:$F$26,5)))))</f>
        <v>0</v>
      </c>
      <c r="F101" s="355">
        <f>$D101*((F98*(VLOOKUP(I100,'Option Tables'!$B$23:$F$26,2)))+(E98*(VLOOKUP(I100,'Option Tables'!$B$23:$F$26,3)))+(P98*(VLOOKUP(I100,'Option Tables'!$B$23:$F$26,4))+(O98*(VLOOKUP(I100,'Option Tables'!$B$23:$F$26,5)))))</f>
        <v>0</v>
      </c>
      <c r="G101" s="355">
        <f>$D101*((G98*(VLOOKUP(I100,'Option Tables'!$B$23:$F$26,2)))+(F98*(VLOOKUP(I100,'Option Tables'!$B$23:$F$26,3)))+(E98*(VLOOKUP(I100,'Option Tables'!$B$23:$F$26,4))+(P98*(VLOOKUP(I100,'Option Tables'!$B$23:$F$26,5)))))</f>
        <v>0</v>
      </c>
      <c r="H101" s="355">
        <f>$D101*((H98*(VLOOKUP(I100,'Option Tables'!$B$23:$F$26,2)))+(G98*(VLOOKUP(I100,'Option Tables'!$B$23:$F$26,3)))+(F98*(VLOOKUP(I100,'Option Tables'!$B$23:$F$26,4))+(E98*(VLOOKUP(I100,'Option Tables'!$B$23:$F$26,5)))))</f>
        <v>0</v>
      </c>
      <c r="I101" s="355">
        <f>$D101*((I98*(VLOOKUP(I100,'Option Tables'!$B$23:$F$26,2)))+(H98*(VLOOKUP(I100,'Option Tables'!$B$23:$F$26,3)))+(G98*(VLOOKUP(I100,'Option Tables'!$B$23:$F$26,4))+(F98*(VLOOKUP(I100,'Option Tables'!$B$23:$F$26,5)))))</f>
        <v>105.16759068019213</v>
      </c>
      <c r="J101" s="355">
        <f>$D101*((J98*(VLOOKUP(I100,'Option Tables'!$B$23:$F$26,2)))+(I98*(VLOOKUP(I100,'Option Tables'!$B$23:$F$26,3)))+(H98*(VLOOKUP(I100,'Option Tables'!$B$23:$F$26,4))+(G98*(VLOOKUP(I100,'Option Tables'!$B$23:$F$26,5)))))</f>
        <v>151.1335990615413</v>
      </c>
      <c r="K101" s="355">
        <f>$D101*((K98*(VLOOKUP(I100,'Option Tables'!$B$23:$F$26,2)))+(J98*(VLOOKUP(I100,'Option Tables'!$B$23:$F$26,3)))+(I98*(VLOOKUP(I100,'Option Tables'!$B$23:$F$26,4))+(H98*(VLOOKUP(I100,'Option Tables'!$B$23:$F$26,5)))))</f>
        <v>161.71622557479338</v>
      </c>
      <c r="L101" s="355">
        <f>$D101*((L98*(VLOOKUP(I100,'Option Tables'!$B$23:$F$26,2)))+(K98*(VLOOKUP(I100,'Option Tables'!$B$23:$F$26,3)))+(J98*(VLOOKUP(I100,'Option Tables'!$B$23:$F$26,4))+(I98*(VLOOKUP(I100,'Option Tables'!$B$23:$F$26,5)))))</f>
        <v>104.60700624342354</v>
      </c>
      <c r="M101" s="355">
        <f>$D101*((M98*(VLOOKUP(I100,'Option Tables'!$B$23:$F$26,2)))+(L98*(VLOOKUP(I100,'Option Tables'!$B$23:$F$26,3)))+(K98*(VLOOKUP(I100,'Option Tables'!$B$23:$F$26,4))+(J98*(VLOOKUP(I100,'Option Tables'!$B$23:$F$26,5)))))</f>
        <v>80.946396715559914</v>
      </c>
      <c r="N101" s="355">
        <f>$D101*((N98*(VLOOKUP(I100,'Option Tables'!$B$23:$F$26,2)))+(M98*(VLOOKUP(I100,'Option Tables'!$B$23:$F$26,3)))+(L98*(VLOOKUP(I100,'Option Tables'!$B$23:$F$26,4))+(K98*(VLOOKUP(I100,'Option Tables'!$B$23:$F$26,5)))))</f>
        <v>21.936762558092976</v>
      </c>
      <c r="O101" s="355">
        <f>$D101*((O98*(VLOOKUP(I100,'Option Tables'!$B$23:$F$26,2)))+(N98*(VLOOKUP(I100,'Option Tables'!$B$23:$F$26,3)))+(M98*(VLOOKUP(I100,'Option Tables'!$B$23:$F$26,4))+(L98*(VLOOKUP(I100,'Option Tables'!$B$23:$F$26,5)))))</f>
        <v>7.019701714599174</v>
      </c>
      <c r="P101" s="465">
        <f>$D101*((P98*(VLOOKUP(I100,'Option Tables'!$B$23:$F$26,2)))+(O98*(VLOOKUP(I100,'Option Tables'!$B$23:$F$26,3)))+(N98*(VLOOKUP(I100,'Option Tables'!$B$23:$F$26,4))+(M98*(VLOOKUP(I100,'Option Tables'!$B$23:$F$26,5)))))</f>
        <v>0</v>
      </c>
      <c r="Q101" s="96"/>
      <c r="R101"/>
    </row>
    <row r="102" spans="2:18" ht="15.75" customHeight="1">
      <c r="B102" s="95"/>
      <c r="C102" s="256"/>
      <c r="D102" s="388">
        <v>0</v>
      </c>
      <c r="E102" s="355">
        <f>$D102*((E98*(VLOOKUP(I100,'Option Tables'!$B$23:$F$26,2)))+(P98*(VLOOKUP(I100,'Option Tables'!$B$23:$F$26,3)))+(O98*(VLOOKUP(I100,'Option Tables'!$B$23:$F$26,4))+(N98*(VLOOKUP(I100,'Option Tables'!$B$23:$F$26,5)))))</f>
        <v>0</v>
      </c>
      <c r="F102" s="355">
        <f>$D102*((F98*(VLOOKUP(I100,'Option Tables'!$B$23:$F$26,2)))+(E98*(VLOOKUP(I100,'Option Tables'!$B$23:$F$26,3)))+(P98*(VLOOKUP(I100,'Option Tables'!$B$23:$F$26,4))+(O98*(VLOOKUP(I100,'Option Tables'!$B$23:$F$26,5)))))</f>
        <v>0</v>
      </c>
      <c r="G102" s="355">
        <f>$D102*((G98*(VLOOKUP(I100,'Option Tables'!$B$23:$F$26,2)))+(F98*(VLOOKUP(I100,'Option Tables'!$B$23:$F$26,3)))+(E98*(VLOOKUP(I100,'Option Tables'!$B$23:$F$26,4))+(P98*(VLOOKUP(I100,'Option Tables'!$B$23:$F$26,5)))))</f>
        <v>0</v>
      </c>
      <c r="H102" s="355">
        <f>$D102*((H98*(VLOOKUP(I100,'Option Tables'!$B$23:$F$26,2)))+(G98*(VLOOKUP(I100,'Option Tables'!$B$23:$F$26,3)))+(F98*(VLOOKUP(I100,'Option Tables'!$B$23:$F$26,4))+(E98*(VLOOKUP(I100,'Option Tables'!$B$23:$F$26,5)))))</f>
        <v>0</v>
      </c>
      <c r="I102" s="355">
        <f>$D102*((I98*(VLOOKUP(I100,'Option Tables'!$B$23:$F$26,2)))+(H98*(VLOOKUP(I100,'Option Tables'!$B$23:$F$26,3)))+(G98*(VLOOKUP(I100,'Option Tables'!$B$23:$F$26,4))+(F98*(VLOOKUP(I100,'Option Tables'!$B$23:$F$26,5)))))</f>
        <v>0</v>
      </c>
      <c r="J102" s="355">
        <f>$D102*((J98*(VLOOKUP(I100,'Option Tables'!$B$23:$F$26,2)))+(I98*(VLOOKUP(I100,'Option Tables'!$B$23:$F$26,3)))+(H98*(VLOOKUP(I100,'Option Tables'!$B$23:$F$26,4))+(G98*(VLOOKUP(I100,'Option Tables'!$B$23:$F$26,5)))))</f>
        <v>0</v>
      </c>
      <c r="K102" s="355">
        <f>$D102*((K98*(VLOOKUP(I100,'Option Tables'!$B$23:$F$26,2)))+(J98*(VLOOKUP(I100,'Option Tables'!$B$23:$F$26,3)))+(I98*(VLOOKUP(I100,'Option Tables'!$B$23:$F$26,4))+(H98*(VLOOKUP(I100,'Option Tables'!$B$23:$F$26,5)))))</f>
        <v>0</v>
      </c>
      <c r="L102" s="355">
        <f>$D102*((L98*(VLOOKUP(I100,'Option Tables'!$B$23:$F$26,2)))+(K98*(VLOOKUP(I100,'Option Tables'!$B$23:$F$26,3)))+(J98*(VLOOKUP(I100,'Option Tables'!$B$23:$F$26,4))+(I98*(VLOOKUP(I100,'Option Tables'!$B$23:$F$26,5)))))</f>
        <v>0</v>
      </c>
      <c r="M102" s="355">
        <f>$D102*((M98*(VLOOKUP(I100,'Option Tables'!$B$23:$F$26,2)))+(L98*(VLOOKUP(I100,'Option Tables'!$B$23:$F$26,3)))+(K98*(VLOOKUP(I100,'Option Tables'!$B$23:$F$26,4))+(J98*(VLOOKUP(I100,'Option Tables'!$B$23:$F$26,5)))))</f>
        <v>0</v>
      </c>
      <c r="N102" s="355">
        <f>$D102*((N98*(VLOOKUP(I100,'Option Tables'!$B$23:$F$26,2)))+(M98*(VLOOKUP(I100,'Option Tables'!$B$23:$F$26,3)))+(L98*(VLOOKUP(I100,'Option Tables'!$B$23:$F$26,4))+(K98*(VLOOKUP(I100,'Option Tables'!$B$23:$F$26,5)))))</f>
        <v>0</v>
      </c>
      <c r="O102" s="355">
        <f>$D102*((O98*(VLOOKUP(I100,'Option Tables'!$B$23:$F$26,2)))+(N98*(VLOOKUP(I100,'Option Tables'!$B$23:$F$26,3)))+(M98*(VLOOKUP(I100,'Option Tables'!$B$23:$F$26,4))+(L98*(VLOOKUP(I100,'Option Tables'!$B$23:$F$26,5)))))</f>
        <v>0</v>
      </c>
      <c r="P102" s="465">
        <f>$D102*((P98*(VLOOKUP(I100,'Option Tables'!$B$23:$F$26,2)))+(O98*(VLOOKUP(I100,'Option Tables'!$B$23:$F$26,3)))+(N98*(VLOOKUP(I100,'Option Tables'!$B$23:$F$26,4))+(M98*(VLOOKUP(I100,'Option Tables'!$B$23:$F$26,5)))))</f>
        <v>0</v>
      </c>
      <c r="Q102" s="96"/>
      <c r="R102"/>
    </row>
    <row r="103" spans="2:18" ht="15.75" customHeight="1">
      <c r="B103" s="95"/>
      <c r="C103" s="256"/>
      <c r="D103" s="388">
        <v>0</v>
      </c>
      <c r="E103" s="355">
        <f>$D103*((E98*(VLOOKUP(I100,'Option Tables'!$B$23:$F$26,2)))+(P98*(VLOOKUP(I100,'Option Tables'!$B$23:$F$26,3)))+(O98*(VLOOKUP(I100,'Option Tables'!$B$23:$F$26,4))+(N98*(VLOOKUP(I100,'Option Tables'!$B$23:$F$26,5)))))</f>
        <v>0</v>
      </c>
      <c r="F103" s="355">
        <f>$D103*((F98*(VLOOKUP(I100,'Option Tables'!$B$23:$F$26,2)))+(E98*(VLOOKUP(I100,'Option Tables'!$B$23:$F$26,3)))+(P98*(VLOOKUP(I100,'Option Tables'!$B$23:$F$26,4))+(O98*(VLOOKUP(I100,'Option Tables'!$B$23:$F$26,5)))))</f>
        <v>0</v>
      </c>
      <c r="G103" s="355">
        <f>$D103*((G98*(VLOOKUP(I100,'Option Tables'!$B$23:$F$26,2)))+(F98*(VLOOKUP(I100,'Option Tables'!$B$23:$F$26,3)))+(E98*(VLOOKUP(I100,'Option Tables'!$B$23:$F$26,4))+(P98*(VLOOKUP(I100,'Option Tables'!$B$23:$F$26,5)))))</f>
        <v>0</v>
      </c>
      <c r="H103" s="355">
        <f>$D103*((H98*(VLOOKUP(I100,'Option Tables'!$B$23:$F$26,2)))+(G98*(VLOOKUP(I100,'Option Tables'!$B$23:$F$26,3)))+(F98*(VLOOKUP(I100,'Option Tables'!$B$23:$F$26,4))+(E98*(VLOOKUP(I100,'Option Tables'!$B$23:$F$26,5)))))</f>
        <v>0</v>
      </c>
      <c r="I103" s="355">
        <f>$D103*((I98*(VLOOKUP(I100,'Option Tables'!$B$23:$F$26,2)))+(H98*(VLOOKUP(I100,'Option Tables'!$B$23:$F$26,3)))+(G98*(VLOOKUP(I100,'Option Tables'!$B$23:$F$26,4))+(F98*(VLOOKUP(I100,'Option Tables'!$B$23:$F$26,5)))))</f>
        <v>0</v>
      </c>
      <c r="J103" s="355">
        <f>$D103*((J98*(VLOOKUP(I100,'Option Tables'!$B$23:$F$26,2)))+(I98*(VLOOKUP(I100,'Option Tables'!$B$23:$F$26,3)))+(H98*(VLOOKUP(I100,'Option Tables'!$B$23:$F$26,4))+(G98*(VLOOKUP(I100,'Option Tables'!$B$23:$F$26,5)))))</f>
        <v>0</v>
      </c>
      <c r="K103" s="355">
        <f>$D103*((K98*(VLOOKUP(I100,'Option Tables'!$B$23:$F$26,2)))+(J98*(VLOOKUP(I100,'Option Tables'!$B$23:$F$26,3)))+(I98*(VLOOKUP(I100,'Option Tables'!$B$23:$F$26,4))+(H98*(VLOOKUP(I100,'Option Tables'!$B$23:$F$26,5)))))</f>
        <v>0</v>
      </c>
      <c r="L103" s="355">
        <f>$D103*((L98*(VLOOKUP(I100,'Option Tables'!$B$23:$F$26,2)))+(K98*(VLOOKUP(I100,'Option Tables'!$B$23:$F$26,3)))+(J98*(VLOOKUP(I100,'Option Tables'!$B$23:$F$26,4))+(I98*(VLOOKUP(I100,'Option Tables'!$B$23:$F$26,5)))))</f>
        <v>0</v>
      </c>
      <c r="M103" s="355">
        <f>$D103*((M98*(VLOOKUP(I100,'Option Tables'!$B$23:$F$26,2)))+(L98*(VLOOKUP(I100,'Option Tables'!$B$23:$F$26,3)))+(K98*(VLOOKUP(I100,'Option Tables'!$B$23:$F$26,4))+(J98*(VLOOKUP(I100,'Option Tables'!$B$23:$F$26,5)))))</f>
        <v>0</v>
      </c>
      <c r="N103" s="355">
        <f>$D103*((N98*(VLOOKUP(I100,'Option Tables'!$B$23:$F$26,2)))+(M98*(VLOOKUP(I100,'Option Tables'!$B$23:$F$26,3)))+(L98*(VLOOKUP(I100,'Option Tables'!$B$23:$F$26,4))+(K98*(VLOOKUP(I100,'Option Tables'!$B$23:$F$26,5)))))</f>
        <v>0</v>
      </c>
      <c r="O103" s="355">
        <f>$D103*((O98*(VLOOKUP(I100,'Option Tables'!$B$23:$F$26,2)))+(N98*(VLOOKUP(I100,'Option Tables'!$B$23:$F$26,3)))+(M98*(VLOOKUP(I100,'Option Tables'!$B$23:$F$26,4))+(L98*(VLOOKUP(I100,'Option Tables'!$B$23:$F$26,5)))))</f>
        <v>0</v>
      </c>
      <c r="P103" s="465">
        <f>$D103*((P98*(VLOOKUP(I100,'Option Tables'!$B$23:$F$26,2)))+(O98*(VLOOKUP(I100,'Option Tables'!$B$23:$F$26,3)))+(N98*(VLOOKUP(I100,'Option Tables'!$B$23:$F$26,4))+(M98*(VLOOKUP(I100,'Option Tables'!$B$23:$F$26,5)))))</f>
        <v>0</v>
      </c>
      <c r="Q103" s="96"/>
      <c r="R103"/>
    </row>
    <row r="104" spans="2:18" ht="15.75" customHeight="1">
      <c r="B104" s="95"/>
      <c r="C104" s="256"/>
      <c r="D104" s="388">
        <v>0</v>
      </c>
      <c r="E104" s="355">
        <f>$D104*((E98*(VLOOKUP(I100,'Option Tables'!$B$23:$F$26,2)))+(P98*(VLOOKUP(I100,'Option Tables'!$B$23:$F$26,3)))+(O98*(VLOOKUP(I100,'Option Tables'!$B$23:$F$26,4))+(N98*(VLOOKUP(I100,'Option Tables'!$B$23:$F$26,5)))))</f>
        <v>0</v>
      </c>
      <c r="F104" s="355">
        <f>$D104*((F98*(VLOOKUP(I100,'Option Tables'!$B$23:$F$26,2)))+(E98*(VLOOKUP(I100,'Option Tables'!$B$23:$F$26,3)))+(P98*(VLOOKUP(I100,'Option Tables'!$B$23:$F$26,4))+(O98*(VLOOKUP(I100,'Option Tables'!$B$23:$F$26,5)))))</f>
        <v>0</v>
      </c>
      <c r="G104" s="355">
        <f>$D104*((G98*(VLOOKUP(I100,'Option Tables'!$B$23:$F$26,2)))+(F98*(VLOOKUP(I100,'Option Tables'!$B$23:$F$26,3)))+(E98*(VLOOKUP(I100,'Option Tables'!$B$23:$F$26,4))+(P98*(VLOOKUP(I100,'Option Tables'!$B$23:$F$26,5)))))</f>
        <v>0</v>
      </c>
      <c r="H104" s="355">
        <f>$D104*((H98*(VLOOKUP(I100,'Option Tables'!$B$23:$F$26,2)))+(G98*(VLOOKUP(I100,'Option Tables'!$B$23:$F$26,3)))+(F98*(VLOOKUP(I100,'Option Tables'!$B$23:$F$26,4))+(E98*(VLOOKUP(I100,'Option Tables'!$B$23:$F$26,5)))))</f>
        <v>0</v>
      </c>
      <c r="I104" s="355">
        <f>$D104*((I98*(VLOOKUP(I100,'Option Tables'!$B$23:$F$26,2)))+(H98*(VLOOKUP(I100,'Option Tables'!$B$23:$F$26,3)))+(G98*(VLOOKUP(I100,'Option Tables'!$B$23:$F$26,4))+(F98*(VLOOKUP(I100,'Option Tables'!$B$23:$F$26,5)))))</f>
        <v>0</v>
      </c>
      <c r="J104" s="355">
        <f>$D104*((J98*(VLOOKUP(I100,'Option Tables'!$B$23:$F$26,2)))+(I98*(VLOOKUP(I100,'Option Tables'!$B$23:$F$26,3)))+(H98*(VLOOKUP(I100,'Option Tables'!$B$23:$F$26,4))+(G98*(VLOOKUP(I100,'Option Tables'!$B$23:$F$26,5)))))</f>
        <v>0</v>
      </c>
      <c r="K104" s="355">
        <f>$D104*((K98*(VLOOKUP(I100,'Option Tables'!$B$23:$F$26,2)))+(J98*(VLOOKUP(I100,'Option Tables'!$B$23:$F$26,3)))+(I98*(VLOOKUP(I100,'Option Tables'!$B$23:$F$26,4))+(H98*(VLOOKUP(I100,'Option Tables'!$B$23:$F$26,5)))))</f>
        <v>0</v>
      </c>
      <c r="L104" s="355">
        <f>$D104*((L98*(VLOOKUP(I100,'Option Tables'!$B$23:$F$26,2)))+(K98*(VLOOKUP(I100,'Option Tables'!$B$23:$F$26,3)))+(J98*(VLOOKUP(I100,'Option Tables'!$B$23:$F$26,4))+(I98*(VLOOKUP(I100,'Option Tables'!$B$23:$F$26,5)))))</f>
        <v>0</v>
      </c>
      <c r="M104" s="355">
        <f>$D104*((M98*(VLOOKUP(I100,'Option Tables'!$B$23:$F$26,2)))+(L98*(VLOOKUP(I100,'Option Tables'!$B$23:$F$26,3)))+(K98*(VLOOKUP(I100,'Option Tables'!$B$23:$F$26,4))+(J98*(VLOOKUP(I100,'Option Tables'!$B$23:$F$26,5)))))</f>
        <v>0</v>
      </c>
      <c r="N104" s="355">
        <f>$D104*((N98*(VLOOKUP(I100,'Option Tables'!$B$23:$F$26,2)))+(M98*(VLOOKUP(I100,'Option Tables'!$B$23:$F$26,3)))+(L98*(VLOOKUP(I100,'Option Tables'!$B$23:$F$26,4))+(K98*(VLOOKUP(I100,'Option Tables'!$B$23:$F$26,5)))))</f>
        <v>0</v>
      </c>
      <c r="O104" s="355">
        <f>$D104*((O98*(VLOOKUP(I100,'Option Tables'!$B$23:$F$26,2)))+(N98*(VLOOKUP(I100,'Option Tables'!$B$23:$F$26,3)))+(M98*(VLOOKUP(I100,'Option Tables'!$B$23:$F$26,4))+(L98*(VLOOKUP(I100,'Option Tables'!$B$23:$F$26,5)))))</f>
        <v>0</v>
      </c>
      <c r="P104" s="465">
        <f>$D104*((P98*(VLOOKUP(I100,'Option Tables'!$B$23:$F$26,2)))+(O98*(VLOOKUP(I100,'Option Tables'!$B$23:$F$26,3)))+(N98*(VLOOKUP(I100,'Option Tables'!$B$23:$F$26,4))+(M98*(VLOOKUP(I100,'Option Tables'!$B$23:$F$26,5)))))</f>
        <v>0</v>
      </c>
      <c r="Q104" s="96"/>
      <c r="R104"/>
    </row>
    <row r="105" spans="2:18" ht="15.75" customHeight="1" thickBot="1">
      <c r="B105" s="97"/>
      <c r="C105" s="144" t="str">
        <f>IF(D105&lt;&gt;1,"Must equal %100","")</f>
        <v/>
      </c>
      <c r="D105" s="71">
        <f t="shared" ref="D105:P105" si="9">SUM(D101:D104)</f>
        <v>1</v>
      </c>
      <c r="E105" s="466">
        <f t="shared" si="9"/>
        <v>0</v>
      </c>
      <c r="F105" s="466">
        <f t="shared" si="9"/>
        <v>0</v>
      </c>
      <c r="G105" s="466">
        <f t="shared" si="9"/>
        <v>0</v>
      </c>
      <c r="H105" s="466">
        <f t="shared" si="9"/>
        <v>0</v>
      </c>
      <c r="I105" s="466">
        <f t="shared" si="9"/>
        <v>105.16759068019213</v>
      </c>
      <c r="J105" s="466">
        <f t="shared" si="9"/>
        <v>151.1335990615413</v>
      </c>
      <c r="K105" s="466">
        <f t="shared" si="9"/>
        <v>161.71622557479338</v>
      </c>
      <c r="L105" s="466">
        <f t="shared" si="9"/>
        <v>104.60700624342354</v>
      </c>
      <c r="M105" s="466">
        <f t="shared" si="9"/>
        <v>80.946396715559914</v>
      </c>
      <c r="N105" s="466">
        <f t="shared" si="9"/>
        <v>21.936762558092976</v>
      </c>
      <c r="O105" s="466">
        <f t="shared" si="9"/>
        <v>7.019701714599174</v>
      </c>
      <c r="P105" s="467">
        <f t="shared" si="9"/>
        <v>0</v>
      </c>
      <c r="Q105" s="96"/>
      <c r="R105" s="140"/>
    </row>
    <row r="106" spans="2:18" ht="15.75" customHeight="1" thickBot="1">
      <c r="B106" s="85" t="s">
        <v>67</v>
      </c>
      <c r="C106" s="257" t="str">
        <f>VLOOKUP(B106,NodeList!$D$5:$E$73,2,FALSE)</f>
        <v>Evanston Pipeline</v>
      </c>
      <c r="D106" s="91"/>
      <c r="E106" s="450"/>
      <c r="F106" s="451"/>
      <c r="G106" s="452"/>
      <c r="H106" s="453" t="s">
        <v>54</v>
      </c>
      <c r="I106" s="68">
        <v>60</v>
      </c>
      <c r="J106" s="454"/>
      <c r="K106" s="454"/>
      <c r="L106" s="454"/>
      <c r="M106" s="454"/>
      <c r="N106" s="454"/>
      <c r="O106" s="454"/>
      <c r="P106" s="455"/>
      <c r="Q106" s="96"/>
    </row>
    <row r="107" spans="2:18" ht="15.75" customHeight="1">
      <c r="B107" s="94"/>
      <c r="C107" s="66" t="s">
        <v>57</v>
      </c>
      <c r="D107" s="69"/>
      <c r="E107" s="456">
        <f>VLOOKUP($B106,'Diversion Data'!$B$3:$O$227,3,FALSE)</f>
        <v>0</v>
      </c>
      <c r="F107" s="456">
        <f>VLOOKUP($B106,'Diversion Data'!$B$3:$O$227,4,FALSE)</f>
        <v>0</v>
      </c>
      <c r="G107" s="456">
        <f>VLOOKUP($B106,'Diversion Data'!$B$3:$O$227,5,FALSE)</f>
        <v>0</v>
      </c>
      <c r="H107" s="456">
        <f>VLOOKUP($B106,'Diversion Data'!$B$3:$O$227,6,FALSE)</f>
        <v>0</v>
      </c>
      <c r="I107" s="456">
        <f>VLOOKUP($B106,'Diversion Data'!$B$3:$O$227,7,FALSE)</f>
        <v>275.75893700592286</v>
      </c>
      <c r="J107" s="456">
        <f>VLOOKUP($B106,'Diversion Data'!$B$3:$O$227,8,FALSE)</f>
        <v>468.8110969685261</v>
      </c>
      <c r="K107" s="456">
        <f>VLOOKUP($B106,'Diversion Data'!$B$3:$O$227,9,FALSE)</f>
        <v>651.2470224885675</v>
      </c>
      <c r="L107" s="456">
        <f>VLOOKUP($B106,'Diversion Data'!$B$3:$O$227,10,FALSE)</f>
        <v>556.31488941033058</v>
      </c>
      <c r="M107" s="456">
        <f>VLOOKUP($B106,'Diversion Data'!$B$3:$O$227,11,FALSE)</f>
        <v>399.4480644179751</v>
      </c>
      <c r="N107" s="456">
        <f>VLOOKUP($B106,'Diversion Data'!$B$3:$O$227,12,FALSE)</f>
        <v>0</v>
      </c>
      <c r="O107" s="456">
        <f>VLOOKUP($B106,'Diversion Data'!$B$3:$O$227,13,FALSE)</f>
        <v>0</v>
      </c>
      <c r="P107" s="457">
        <f>VLOOKUP($B106,'Diversion Data'!$B$3:$O$227,14,FALSE)</f>
        <v>0</v>
      </c>
      <c r="Q107" s="96"/>
    </row>
    <row r="108" spans="2:18" ht="15.75" customHeight="1">
      <c r="B108" s="95"/>
      <c r="C108" s="72" t="s">
        <v>56</v>
      </c>
      <c r="D108" s="70"/>
      <c r="E108" s="458">
        <f>VLOOKUP($I106,'Option Tables'!$B$3:$N$19,2,FALSE)*E107</f>
        <v>0</v>
      </c>
      <c r="F108" s="458">
        <f>VLOOKUP($I106,'Option Tables'!$B$3:$N$19,3,FALSE)*F107</f>
        <v>0</v>
      </c>
      <c r="G108" s="458">
        <f>VLOOKUP($I106,'Option Tables'!$B$3:$N$19,4,FALSE)*G107</f>
        <v>0</v>
      </c>
      <c r="H108" s="458">
        <f>VLOOKUP($I106,'Option Tables'!$B$3:$N$19,5,FALSE)*H107</f>
        <v>0</v>
      </c>
      <c r="I108" s="458">
        <f>VLOOKUP($I106,'Option Tables'!$B$3:$N$19,6,FALSE)*I107</f>
        <v>110.30357480236916</v>
      </c>
      <c r="J108" s="458">
        <f>VLOOKUP($I106,'Option Tables'!$B$3:$N$19,7,FALSE)*J107</f>
        <v>187.52443878741045</v>
      </c>
      <c r="K108" s="458">
        <f>VLOOKUP($I106,'Option Tables'!$B$3:$N$19,8,FALSE)*K107</f>
        <v>260.498808995427</v>
      </c>
      <c r="L108" s="458">
        <f>VLOOKUP($I106,'Option Tables'!$B$3:$N$19,9,FALSE)*L107</f>
        <v>222.52595576413225</v>
      </c>
      <c r="M108" s="458">
        <f>VLOOKUP($I106,'Option Tables'!$B$3:$N$19,10,FALSE)*M107</f>
        <v>159.77922576719004</v>
      </c>
      <c r="N108" s="458">
        <f>VLOOKUP($I106,'Option Tables'!$B$3:$N$19,11,FALSE)*N107</f>
        <v>0</v>
      </c>
      <c r="O108" s="458">
        <f>VLOOKUP($I106,'Option Tables'!$B$3:$N$19,12,FALSE)*O107</f>
        <v>0</v>
      </c>
      <c r="P108" s="459">
        <f>VLOOKUP($I106,'Option Tables'!$B$3:$N$19,13,FALSE)*P107</f>
        <v>0</v>
      </c>
      <c r="Q108" s="96"/>
    </row>
    <row r="109" spans="2:18" ht="15.75" customHeight="1" thickBot="1">
      <c r="B109" s="95"/>
      <c r="C109" s="66"/>
      <c r="D109" s="62"/>
      <c r="E109" s="355"/>
      <c r="F109" s="355"/>
      <c r="G109" s="355"/>
      <c r="H109" s="355"/>
      <c r="I109" s="355"/>
      <c r="J109" s="355"/>
      <c r="K109" s="355"/>
      <c r="L109" s="355"/>
      <c r="M109" s="460"/>
      <c r="N109" s="460"/>
      <c r="O109" s="460"/>
      <c r="P109" s="461"/>
      <c r="Q109" s="96"/>
    </row>
    <row r="110" spans="2:18" ht="15.75" customHeight="1" thickBot="1">
      <c r="B110" s="254" t="s">
        <v>73</v>
      </c>
      <c r="C110" s="105" t="s">
        <v>73</v>
      </c>
      <c r="D110" s="105" t="s">
        <v>74</v>
      </c>
      <c r="E110" s="462"/>
      <c r="F110" s="463"/>
      <c r="G110" s="464"/>
      <c r="H110" s="464" t="s">
        <v>55</v>
      </c>
      <c r="I110" s="68">
        <v>3</v>
      </c>
      <c r="J110" s="460"/>
      <c r="K110" s="460"/>
      <c r="L110" s="460"/>
      <c r="M110" s="460"/>
      <c r="N110" s="460"/>
      <c r="O110" s="460"/>
      <c r="P110" s="461"/>
      <c r="Q110" s="96"/>
    </row>
    <row r="111" spans="2:18" ht="15.75" customHeight="1">
      <c r="B111" s="255" t="str">
        <f>"("&amp;VLOOKUP(C111,NodeList!$D$5:$E$68,2,FALSE)&amp;")"</f>
        <v>(Confluence Yellow Creek / Bear River)</v>
      </c>
      <c r="C111" s="85" t="s">
        <v>167</v>
      </c>
      <c r="D111" s="388">
        <v>1</v>
      </c>
      <c r="E111" s="355">
        <f>$D111*((E108*(VLOOKUP(I110,'Option Tables'!$B$23:$F$26,2)))+(P108*(VLOOKUP(I110,'Option Tables'!$B$23:$F$26,3)))+(O108*(VLOOKUP(I110,'Option Tables'!$B$23:$F$26,4))+(N108*(VLOOKUP(I110,'Option Tables'!$B$23:$F$26,5)))))</f>
        <v>0</v>
      </c>
      <c r="F111" s="355">
        <f>$D111*((F108*(VLOOKUP(I110,'Option Tables'!$B$23:$F$26,2)))+(E108*(VLOOKUP(I110,'Option Tables'!$B$23:$F$26,3)))+(P108*(VLOOKUP(I110,'Option Tables'!$B$23:$F$26,4))+(O108*(VLOOKUP(I110,'Option Tables'!$B$23:$F$26,5)))))</f>
        <v>0</v>
      </c>
      <c r="G111" s="355">
        <f>$D111*((G108*(VLOOKUP(I110,'Option Tables'!$B$23:$F$26,2)))+(F108*(VLOOKUP(I110,'Option Tables'!$B$23:$F$26,3)))+(E108*(VLOOKUP(I110,'Option Tables'!$B$23:$F$26,4))+(P108*(VLOOKUP(I110,'Option Tables'!$B$23:$F$26,5)))))</f>
        <v>0</v>
      </c>
      <c r="H111" s="355">
        <f>$D111*((H108*(VLOOKUP(I110,'Option Tables'!$B$23:$F$26,2)))+(G108*(VLOOKUP(I110,'Option Tables'!$B$23:$F$26,3)))+(F108*(VLOOKUP(I110,'Option Tables'!$B$23:$F$26,4))+(E108*(VLOOKUP(I110,'Option Tables'!$B$23:$F$26,5)))))</f>
        <v>0</v>
      </c>
      <c r="I111" s="355">
        <f>$D111*((I108*(VLOOKUP(I110,'Option Tables'!$B$23:$F$26,2)))+(H108*(VLOOKUP(I110,'Option Tables'!$B$23:$F$26,3)))+(G108*(VLOOKUP(I110,'Option Tables'!$B$23:$F$26,4))+(F108*(VLOOKUP(I110,'Option Tables'!$B$23:$F$26,5)))))</f>
        <v>110.30357480236916</v>
      </c>
      <c r="J111" s="355">
        <f>$D111*((J108*(VLOOKUP(I110,'Option Tables'!$B$23:$F$26,2)))+(I108*(VLOOKUP(I110,'Option Tables'!$B$23:$F$26,3)))+(H108*(VLOOKUP(I110,'Option Tables'!$B$23:$F$26,4))+(G108*(VLOOKUP(I110,'Option Tables'!$B$23:$F$26,5)))))</f>
        <v>187.52443878741045</v>
      </c>
      <c r="K111" s="355">
        <f>$D111*((K108*(VLOOKUP(I110,'Option Tables'!$B$23:$F$26,2)))+(J108*(VLOOKUP(I110,'Option Tables'!$B$23:$F$26,3)))+(I108*(VLOOKUP(I110,'Option Tables'!$B$23:$F$26,4))+(H108*(VLOOKUP(I110,'Option Tables'!$B$23:$F$26,5)))))</f>
        <v>260.498808995427</v>
      </c>
      <c r="L111" s="355">
        <f>$D111*((L108*(VLOOKUP(I110,'Option Tables'!$B$23:$F$26,2)))+(K108*(VLOOKUP(I110,'Option Tables'!$B$23:$F$26,3)))+(J108*(VLOOKUP(I110,'Option Tables'!$B$23:$F$26,4))+(I108*(VLOOKUP(I110,'Option Tables'!$B$23:$F$26,5)))))</f>
        <v>222.52595576413225</v>
      </c>
      <c r="M111" s="355">
        <f>$D111*((M108*(VLOOKUP(I110,'Option Tables'!$B$23:$F$26,2)))+(L108*(VLOOKUP(I110,'Option Tables'!$B$23:$F$26,3)))+(K108*(VLOOKUP(I110,'Option Tables'!$B$23:$F$26,4))+(J108*(VLOOKUP(I110,'Option Tables'!$B$23:$F$26,5)))))</f>
        <v>159.77922576719004</v>
      </c>
      <c r="N111" s="355">
        <f>$D111*((N108*(VLOOKUP(I110,'Option Tables'!$B$23:$F$26,2)))+(M108*(VLOOKUP(I110,'Option Tables'!$B$23:$F$26,3)))+(L108*(VLOOKUP(I110,'Option Tables'!$B$23:$F$26,4))+(K108*(VLOOKUP(I110,'Option Tables'!$B$23:$F$26,5)))))</f>
        <v>0</v>
      </c>
      <c r="O111" s="355">
        <f>$D111*((O108*(VLOOKUP(I110,'Option Tables'!$B$23:$F$26,2)))+(N108*(VLOOKUP(I110,'Option Tables'!$B$23:$F$26,3)))+(M108*(VLOOKUP(I110,'Option Tables'!$B$23:$F$26,4))+(L108*(VLOOKUP(I110,'Option Tables'!$B$23:$F$26,5)))))</f>
        <v>0</v>
      </c>
      <c r="P111" s="465">
        <f>$D111*((P108*(VLOOKUP(I110,'Option Tables'!$B$23:$F$26,2)))+(O108*(VLOOKUP(I110,'Option Tables'!$B$23:$F$26,3)))+(N108*(VLOOKUP(I110,'Option Tables'!$B$23:$F$26,4))+(M108*(VLOOKUP(I110,'Option Tables'!$B$23:$F$26,5)))))</f>
        <v>0</v>
      </c>
      <c r="Q111" s="96"/>
    </row>
    <row r="112" spans="2:18" ht="15.75" customHeight="1">
      <c r="B112" s="95"/>
      <c r="C112" s="256"/>
      <c r="D112" s="388">
        <v>0</v>
      </c>
      <c r="E112" s="355">
        <f>$D112*((E108*(VLOOKUP(I110,'Option Tables'!$B$23:$F$26,2)))+(P108*(VLOOKUP(I110,'Option Tables'!$B$23:$F$26,3)))+(O108*(VLOOKUP(I110,'Option Tables'!$B$23:$F$26,4))+(N108*(VLOOKUP(I110,'Option Tables'!$B$23:$F$26,5)))))</f>
        <v>0</v>
      </c>
      <c r="F112" s="355">
        <f>$D112*((F108*(VLOOKUP(I110,'Option Tables'!$B$23:$F$26,2)))+(E108*(VLOOKUP(I110,'Option Tables'!$B$23:$F$26,3)))+(P108*(VLOOKUP(I110,'Option Tables'!$B$23:$F$26,4))+(O108*(VLOOKUP(I110,'Option Tables'!$B$23:$F$26,5)))))</f>
        <v>0</v>
      </c>
      <c r="G112" s="355">
        <f>$D112*((G108*(VLOOKUP(I110,'Option Tables'!$B$23:$F$26,2)))+(F108*(VLOOKUP(I110,'Option Tables'!$B$23:$F$26,3)))+(E108*(VLOOKUP(I110,'Option Tables'!$B$23:$F$26,4))+(P108*(VLOOKUP(I110,'Option Tables'!$B$23:$F$26,5)))))</f>
        <v>0</v>
      </c>
      <c r="H112" s="355">
        <f>$D112*((H108*(VLOOKUP(I110,'Option Tables'!$B$23:$F$26,2)))+(G108*(VLOOKUP(I110,'Option Tables'!$B$23:$F$26,3)))+(F108*(VLOOKUP(I110,'Option Tables'!$B$23:$F$26,4))+(E108*(VLOOKUP(I110,'Option Tables'!$B$23:$F$26,5)))))</f>
        <v>0</v>
      </c>
      <c r="I112" s="355">
        <f>$D112*((I108*(VLOOKUP(I110,'Option Tables'!$B$23:$F$26,2)))+(H108*(VLOOKUP(I110,'Option Tables'!$B$23:$F$26,3)))+(G108*(VLOOKUP(I110,'Option Tables'!$B$23:$F$26,4))+(F108*(VLOOKUP(I110,'Option Tables'!$B$23:$F$26,5)))))</f>
        <v>0</v>
      </c>
      <c r="J112" s="355">
        <f>$D112*((J108*(VLOOKUP(I110,'Option Tables'!$B$23:$F$26,2)))+(I108*(VLOOKUP(I110,'Option Tables'!$B$23:$F$26,3)))+(H108*(VLOOKUP(I110,'Option Tables'!$B$23:$F$26,4))+(G108*(VLOOKUP(I110,'Option Tables'!$B$23:$F$26,5)))))</f>
        <v>0</v>
      </c>
      <c r="K112" s="355">
        <f>$D112*((K108*(VLOOKUP(I110,'Option Tables'!$B$23:$F$26,2)))+(J108*(VLOOKUP(I110,'Option Tables'!$B$23:$F$26,3)))+(I108*(VLOOKUP(I110,'Option Tables'!$B$23:$F$26,4))+(H108*(VLOOKUP(I110,'Option Tables'!$B$23:$F$26,5)))))</f>
        <v>0</v>
      </c>
      <c r="L112" s="355">
        <f>$D112*((L108*(VLOOKUP(I110,'Option Tables'!$B$23:$F$26,2)))+(K108*(VLOOKUP(I110,'Option Tables'!$B$23:$F$26,3)))+(J108*(VLOOKUP(I110,'Option Tables'!$B$23:$F$26,4))+(I108*(VLOOKUP(I110,'Option Tables'!$B$23:$F$26,5)))))</f>
        <v>0</v>
      </c>
      <c r="M112" s="355">
        <f>$D112*((M108*(VLOOKUP(I110,'Option Tables'!$B$23:$F$26,2)))+(L108*(VLOOKUP(I110,'Option Tables'!$B$23:$F$26,3)))+(K108*(VLOOKUP(I110,'Option Tables'!$B$23:$F$26,4))+(J108*(VLOOKUP(I110,'Option Tables'!$B$23:$F$26,5)))))</f>
        <v>0</v>
      </c>
      <c r="N112" s="355">
        <f>$D112*((N108*(VLOOKUP(I110,'Option Tables'!$B$23:$F$26,2)))+(M108*(VLOOKUP(I110,'Option Tables'!$B$23:$F$26,3)))+(L108*(VLOOKUP(I110,'Option Tables'!$B$23:$F$26,4))+(K108*(VLOOKUP(I110,'Option Tables'!$B$23:$F$26,5)))))</f>
        <v>0</v>
      </c>
      <c r="O112" s="355">
        <f>$D112*((O108*(VLOOKUP(I110,'Option Tables'!$B$23:$F$26,2)))+(N108*(VLOOKUP(I110,'Option Tables'!$B$23:$F$26,3)))+(M108*(VLOOKUP(I110,'Option Tables'!$B$23:$F$26,4))+(L108*(VLOOKUP(I110,'Option Tables'!$B$23:$F$26,5)))))</f>
        <v>0</v>
      </c>
      <c r="P112" s="465">
        <f>$D112*((P108*(VLOOKUP(I110,'Option Tables'!$B$23:$F$26,2)))+(O108*(VLOOKUP(I110,'Option Tables'!$B$23:$F$26,3)))+(N108*(VLOOKUP(I110,'Option Tables'!$B$23:$F$26,4))+(M108*(VLOOKUP(I110,'Option Tables'!$B$23:$F$26,5)))))</f>
        <v>0</v>
      </c>
      <c r="Q112" s="96"/>
    </row>
    <row r="113" spans="2:18" ht="15.75" customHeight="1">
      <c r="B113" s="95"/>
      <c r="C113" s="256"/>
      <c r="D113" s="388">
        <v>0</v>
      </c>
      <c r="E113" s="355">
        <f>$D113*((E108*(VLOOKUP(I110,'Option Tables'!$B$23:$F$26,2)))+(P108*(VLOOKUP(I110,'Option Tables'!$B$23:$F$26,3)))+(O108*(VLOOKUP(I110,'Option Tables'!$B$23:$F$26,4))+(N108*(VLOOKUP(I110,'Option Tables'!$B$23:$F$26,5)))))</f>
        <v>0</v>
      </c>
      <c r="F113" s="355">
        <f>$D113*((F108*(VLOOKUP(I110,'Option Tables'!$B$23:$F$26,2)))+(E108*(VLOOKUP(I110,'Option Tables'!$B$23:$F$26,3)))+(P108*(VLOOKUP(I110,'Option Tables'!$B$23:$F$26,4))+(O108*(VLOOKUP(I110,'Option Tables'!$B$23:$F$26,5)))))</f>
        <v>0</v>
      </c>
      <c r="G113" s="355">
        <f>$D113*((G108*(VLOOKUP(I110,'Option Tables'!$B$23:$F$26,2)))+(F108*(VLOOKUP(I110,'Option Tables'!$B$23:$F$26,3)))+(E108*(VLOOKUP(I110,'Option Tables'!$B$23:$F$26,4))+(P108*(VLOOKUP(I110,'Option Tables'!$B$23:$F$26,5)))))</f>
        <v>0</v>
      </c>
      <c r="H113" s="355">
        <f>$D113*((H108*(VLOOKUP(I110,'Option Tables'!$B$23:$F$26,2)))+(G108*(VLOOKUP(I110,'Option Tables'!$B$23:$F$26,3)))+(F108*(VLOOKUP(I110,'Option Tables'!$B$23:$F$26,4))+(E108*(VLOOKUP(I110,'Option Tables'!$B$23:$F$26,5)))))</f>
        <v>0</v>
      </c>
      <c r="I113" s="355">
        <f>$D113*((I108*(VLOOKUP(I110,'Option Tables'!$B$23:$F$26,2)))+(H108*(VLOOKUP(I110,'Option Tables'!$B$23:$F$26,3)))+(G108*(VLOOKUP(I110,'Option Tables'!$B$23:$F$26,4))+(F108*(VLOOKUP(I110,'Option Tables'!$B$23:$F$26,5)))))</f>
        <v>0</v>
      </c>
      <c r="J113" s="355">
        <f>$D113*((J108*(VLOOKUP(I110,'Option Tables'!$B$23:$F$26,2)))+(I108*(VLOOKUP(I110,'Option Tables'!$B$23:$F$26,3)))+(H108*(VLOOKUP(I110,'Option Tables'!$B$23:$F$26,4))+(G108*(VLOOKUP(I110,'Option Tables'!$B$23:$F$26,5)))))</f>
        <v>0</v>
      </c>
      <c r="K113" s="355">
        <f>$D113*((K108*(VLOOKUP(I110,'Option Tables'!$B$23:$F$26,2)))+(J108*(VLOOKUP(I110,'Option Tables'!$B$23:$F$26,3)))+(I108*(VLOOKUP(I110,'Option Tables'!$B$23:$F$26,4))+(H108*(VLOOKUP(I110,'Option Tables'!$B$23:$F$26,5)))))</f>
        <v>0</v>
      </c>
      <c r="L113" s="355">
        <f>$D113*((L108*(VLOOKUP(I110,'Option Tables'!$B$23:$F$26,2)))+(K108*(VLOOKUP(I110,'Option Tables'!$B$23:$F$26,3)))+(J108*(VLOOKUP(I110,'Option Tables'!$B$23:$F$26,4))+(I108*(VLOOKUP(I110,'Option Tables'!$B$23:$F$26,5)))))</f>
        <v>0</v>
      </c>
      <c r="M113" s="355">
        <f>$D113*((M108*(VLOOKUP(I110,'Option Tables'!$B$23:$F$26,2)))+(L108*(VLOOKUP(I110,'Option Tables'!$B$23:$F$26,3)))+(K108*(VLOOKUP(I110,'Option Tables'!$B$23:$F$26,4))+(J108*(VLOOKUP(I110,'Option Tables'!$B$23:$F$26,5)))))</f>
        <v>0</v>
      </c>
      <c r="N113" s="355">
        <f>$D113*((N108*(VLOOKUP(I110,'Option Tables'!$B$23:$F$26,2)))+(M108*(VLOOKUP(I110,'Option Tables'!$B$23:$F$26,3)))+(L108*(VLOOKUP(I110,'Option Tables'!$B$23:$F$26,4))+(K108*(VLOOKUP(I110,'Option Tables'!$B$23:$F$26,5)))))</f>
        <v>0</v>
      </c>
      <c r="O113" s="355">
        <f>$D113*((O108*(VLOOKUP(I110,'Option Tables'!$B$23:$F$26,2)))+(N108*(VLOOKUP(I110,'Option Tables'!$B$23:$F$26,3)))+(M108*(VLOOKUP(I110,'Option Tables'!$B$23:$F$26,4))+(L108*(VLOOKUP(I110,'Option Tables'!$B$23:$F$26,5)))))</f>
        <v>0</v>
      </c>
      <c r="P113" s="465">
        <f>$D113*((P108*(VLOOKUP(I110,'Option Tables'!$B$23:$F$26,2)))+(O108*(VLOOKUP(I110,'Option Tables'!$B$23:$F$26,3)))+(N108*(VLOOKUP(I110,'Option Tables'!$B$23:$F$26,4))+(M108*(VLOOKUP(I110,'Option Tables'!$B$23:$F$26,5)))))</f>
        <v>0</v>
      </c>
      <c r="Q113" s="96"/>
    </row>
    <row r="114" spans="2:18" ht="15.75" customHeight="1">
      <c r="B114" s="95"/>
      <c r="C114" s="256"/>
      <c r="D114" s="388">
        <v>0</v>
      </c>
      <c r="E114" s="355">
        <f>$D114*((E108*(VLOOKUP(I110,'Option Tables'!$B$23:$F$26,2)))+(P108*(VLOOKUP(I110,'Option Tables'!$B$23:$F$26,3)))+(O108*(VLOOKUP(I110,'Option Tables'!$B$23:$F$26,4))+(N108*(VLOOKUP(I110,'Option Tables'!$B$23:$F$26,5)))))</f>
        <v>0</v>
      </c>
      <c r="F114" s="355">
        <f>$D114*((F108*(VLOOKUP(I110,'Option Tables'!$B$23:$F$26,2)))+(E108*(VLOOKUP(I110,'Option Tables'!$B$23:$F$26,3)))+(P108*(VLOOKUP(I110,'Option Tables'!$B$23:$F$26,4))+(O108*(VLOOKUP(I110,'Option Tables'!$B$23:$F$26,5)))))</f>
        <v>0</v>
      </c>
      <c r="G114" s="355">
        <f>$D114*((G108*(VLOOKUP(I110,'Option Tables'!$B$23:$F$26,2)))+(F108*(VLOOKUP(I110,'Option Tables'!$B$23:$F$26,3)))+(E108*(VLOOKUP(I110,'Option Tables'!$B$23:$F$26,4))+(P108*(VLOOKUP(I110,'Option Tables'!$B$23:$F$26,5)))))</f>
        <v>0</v>
      </c>
      <c r="H114" s="355">
        <f>$D114*((H108*(VLOOKUP(I110,'Option Tables'!$B$23:$F$26,2)))+(G108*(VLOOKUP(I110,'Option Tables'!$B$23:$F$26,3)))+(F108*(VLOOKUP(I110,'Option Tables'!$B$23:$F$26,4))+(E108*(VLOOKUP(I110,'Option Tables'!$B$23:$F$26,5)))))</f>
        <v>0</v>
      </c>
      <c r="I114" s="355">
        <f>$D114*((I108*(VLOOKUP(I110,'Option Tables'!$B$23:$F$26,2)))+(H108*(VLOOKUP(I110,'Option Tables'!$B$23:$F$26,3)))+(G108*(VLOOKUP(I110,'Option Tables'!$B$23:$F$26,4))+(F108*(VLOOKUP(I110,'Option Tables'!$B$23:$F$26,5)))))</f>
        <v>0</v>
      </c>
      <c r="J114" s="355">
        <f>$D114*((J108*(VLOOKUP(I110,'Option Tables'!$B$23:$F$26,2)))+(I108*(VLOOKUP(I110,'Option Tables'!$B$23:$F$26,3)))+(H108*(VLOOKUP(I110,'Option Tables'!$B$23:$F$26,4))+(G108*(VLOOKUP(I110,'Option Tables'!$B$23:$F$26,5)))))</f>
        <v>0</v>
      </c>
      <c r="K114" s="355">
        <f>$D114*((K108*(VLOOKUP(I110,'Option Tables'!$B$23:$F$26,2)))+(J108*(VLOOKUP(I110,'Option Tables'!$B$23:$F$26,3)))+(I108*(VLOOKUP(I110,'Option Tables'!$B$23:$F$26,4))+(H108*(VLOOKUP(I110,'Option Tables'!$B$23:$F$26,5)))))</f>
        <v>0</v>
      </c>
      <c r="L114" s="355">
        <f>$D114*((L108*(VLOOKUP(I110,'Option Tables'!$B$23:$F$26,2)))+(K108*(VLOOKUP(I110,'Option Tables'!$B$23:$F$26,3)))+(J108*(VLOOKUP(I110,'Option Tables'!$B$23:$F$26,4))+(I108*(VLOOKUP(I110,'Option Tables'!$B$23:$F$26,5)))))</f>
        <v>0</v>
      </c>
      <c r="M114" s="355">
        <f>$D114*((M108*(VLOOKUP(I110,'Option Tables'!$B$23:$F$26,2)))+(L108*(VLOOKUP(I110,'Option Tables'!$B$23:$F$26,3)))+(K108*(VLOOKUP(I110,'Option Tables'!$B$23:$F$26,4))+(J108*(VLOOKUP(I110,'Option Tables'!$B$23:$F$26,5)))))</f>
        <v>0</v>
      </c>
      <c r="N114" s="355">
        <f>$D114*((N108*(VLOOKUP(I110,'Option Tables'!$B$23:$F$26,2)))+(M108*(VLOOKUP(I110,'Option Tables'!$B$23:$F$26,3)))+(L108*(VLOOKUP(I110,'Option Tables'!$B$23:$F$26,4))+(K108*(VLOOKUP(I110,'Option Tables'!$B$23:$F$26,5)))))</f>
        <v>0</v>
      </c>
      <c r="O114" s="355">
        <f>$D114*((O108*(VLOOKUP(I110,'Option Tables'!$B$23:$F$26,2)))+(N108*(VLOOKUP(I110,'Option Tables'!$B$23:$F$26,3)))+(M108*(VLOOKUP(I110,'Option Tables'!$B$23:$F$26,4))+(L108*(VLOOKUP(I110,'Option Tables'!$B$23:$F$26,5)))))</f>
        <v>0</v>
      </c>
      <c r="P114" s="465">
        <f>$D114*((P108*(VLOOKUP(I110,'Option Tables'!$B$23:$F$26,2)))+(O108*(VLOOKUP(I110,'Option Tables'!$B$23:$F$26,3)))+(N108*(VLOOKUP(I110,'Option Tables'!$B$23:$F$26,4))+(M108*(VLOOKUP(I110,'Option Tables'!$B$23:$F$26,5)))))</f>
        <v>0</v>
      </c>
      <c r="Q114" s="96"/>
    </row>
    <row r="115" spans="2:18" ht="15.75" customHeight="1" thickBot="1">
      <c r="B115" s="97"/>
      <c r="C115" s="144" t="str">
        <f>IF(D115&lt;&gt;1,"Must equal %100","")</f>
        <v/>
      </c>
      <c r="D115" s="71">
        <f t="shared" ref="D115:P115" si="10">SUM(D111:D114)</f>
        <v>1</v>
      </c>
      <c r="E115" s="466">
        <f t="shared" si="10"/>
        <v>0</v>
      </c>
      <c r="F115" s="466">
        <f t="shared" si="10"/>
        <v>0</v>
      </c>
      <c r="G115" s="466">
        <f t="shared" si="10"/>
        <v>0</v>
      </c>
      <c r="H115" s="466">
        <f t="shared" si="10"/>
        <v>0</v>
      </c>
      <c r="I115" s="466">
        <f t="shared" si="10"/>
        <v>110.30357480236916</v>
      </c>
      <c r="J115" s="466">
        <f t="shared" si="10"/>
        <v>187.52443878741045</v>
      </c>
      <c r="K115" s="466">
        <f t="shared" si="10"/>
        <v>260.498808995427</v>
      </c>
      <c r="L115" s="466">
        <f t="shared" si="10"/>
        <v>222.52595576413225</v>
      </c>
      <c r="M115" s="466">
        <f t="shared" si="10"/>
        <v>159.77922576719004</v>
      </c>
      <c r="N115" s="466">
        <f t="shared" si="10"/>
        <v>0</v>
      </c>
      <c r="O115" s="466">
        <f t="shared" si="10"/>
        <v>0</v>
      </c>
      <c r="P115" s="467">
        <f t="shared" si="10"/>
        <v>0</v>
      </c>
      <c r="Q115" s="96"/>
      <c r="R115" s="140"/>
    </row>
    <row r="116" spans="2:18" ht="15.75" customHeight="1" thickBot="1">
      <c r="B116" s="85" t="s">
        <v>68</v>
      </c>
      <c r="C116" s="257" t="str">
        <f>VLOOKUP(B116,NodeList!$D$5:$E$73,2,FALSE)</f>
        <v>Booth</v>
      </c>
      <c r="D116" s="91"/>
      <c r="E116" s="450"/>
      <c r="F116" s="451"/>
      <c r="G116" s="452"/>
      <c r="H116" s="453" t="s">
        <v>54</v>
      </c>
      <c r="I116" s="68">
        <v>27</v>
      </c>
      <c r="J116" s="454"/>
      <c r="K116" s="454"/>
      <c r="L116" s="454"/>
      <c r="M116" s="454"/>
      <c r="N116" s="454"/>
      <c r="O116" s="454"/>
      <c r="P116" s="455"/>
      <c r="Q116" s="96"/>
      <c r="R116"/>
    </row>
    <row r="117" spans="2:18" ht="15.75" customHeight="1">
      <c r="B117" s="94"/>
      <c r="C117" s="66" t="s">
        <v>57</v>
      </c>
      <c r="D117" s="69"/>
      <c r="E117" s="456">
        <f>VLOOKUP($B116,'Diversion Data'!$B$3:$O$227,3,FALSE)</f>
        <v>0</v>
      </c>
      <c r="F117" s="456">
        <f>VLOOKUP($B116,'Diversion Data'!$B$3:$O$227,4,FALSE)</f>
        <v>0</v>
      </c>
      <c r="G117" s="456">
        <f>VLOOKUP($B116,'Diversion Data'!$B$3:$O$227,5,FALSE)</f>
        <v>0</v>
      </c>
      <c r="H117" s="456">
        <f>VLOOKUP($B116,'Diversion Data'!$B$3:$O$227,6,FALSE)</f>
        <v>0</v>
      </c>
      <c r="I117" s="456">
        <f>VLOOKUP($B116,'Diversion Data'!$B$3:$O$227,7,FALSE)</f>
        <v>404.51120453367764</v>
      </c>
      <c r="J117" s="456">
        <f>VLOOKUP($B116,'Diversion Data'!$B$3:$O$227,8,FALSE)</f>
        <v>679.45942062572317</v>
      </c>
      <c r="K117" s="456">
        <f>VLOOKUP($B116,'Diversion Data'!$B$3:$O$227,9,FALSE)</f>
        <v>457.62821301074382</v>
      </c>
      <c r="L117" s="456">
        <f>VLOOKUP($B116,'Diversion Data'!$B$3:$O$227,10,FALSE)</f>
        <v>250.82871178037192</v>
      </c>
      <c r="M117" s="456">
        <f>VLOOKUP($B116,'Diversion Data'!$B$3:$O$227,11,FALSE)</f>
        <v>202.24233285991738</v>
      </c>
      <c r="N117" s="456">
        <f>VLOOKUP($B116,'Diversion Data'!$B$3:$O$227,12,FALSE)</f>
        <v>0</v>
      </c>
      <c r="O117" s="456">
        <f>VLOOKUP($B116,'Diversion Data'!$B$3:$O$227,13,FALSE)</f>
        <v>0</v>
      </c>
      <c r="P117" s="457">
        <f>VLOOKUP($B116,'Diversion Data'!$B$3:$O$227,14,FALSE)</f>
        <v>0</v>
      </c>
      <c r="Q117" s="96"/>
      <c r="R117"/>
    </row>
    <row r="118" spans="2:18" ht="15.75" customHeight="1">
      <c r="B118" s="95"/>
      <c r="C118" s="72" t="s">
        <v>56</v>
      </c>
      <c r="D118" s="70"/>
      <c r="E118" s="458">
        <f>VLOOKUP($I116,'Option Tables'!$B$3:$N$19,2,FALSE)*E117</f>
        <v>0</v>
      </c>
      <c r="F118" s="458">
        <f>VLOOKUP($I116,'Option Tables'!$B$3:$N$19,3,FALSE)*F117</f>
        <v>0</v>
      </c>
      <c r="G118" s="458">
        <f>VLOOKUP($I116,'Option Tables'!$B$3:$N$19,4,FALSE)*G117</f>
        <v>0</v>
      </c>
      <c r="H118" s="458">
        <f>VLOOKUP($I116,'Option Tables'!$B$3:$N$19,5,FALSE)*H117</f>
        <v>0</v>
      </c>
      <c r="I118" s="458">
        <f>VLOOKUP($I116,'Option Tables'!$B$3:$N$19,6,FALSE)*I117</f>
        <v>295.29317930958467</v>
      </c>
      <c r="J118" s="458">
        <f>VLOOKUP($I116,'Option Tables'!$B$3:$N$19,7,FALSE)*J117</f>
        <v>496.00537705677789</v>
      </c>
      <c r="K118" s="458">
        <f>VLOOKUP($I116,'Option Tables'!$B$3:$N$19,8,FALSE)*K117</f>
        <v>334.06859549784298</v>
      </c>
      <c r="L118" s="458">
        <f>VLOOKUP($I116,'Option Tables'!$B$3:$N$19,9,FALSE)*L117</f>
        <v>183.1049595996715</v>
      </c>
      <c r="M118" s="458">
        <f>VLOOKUP($I116,'Option Tables'!$B$3:$N$19,10,FALSE)*M117</f>
        <v>147.63690298773969</v>
      </c>
      <c r="N118" s="458">
        <f>VLOOKUP($I116,'Option Tables'!$B$3:$N$19,11,FALSE)*N117</f>
        <v>0</v>
      </c>
      <c r="O118" s="458">
        <f>VLOOKUP($I116,'Option Tables'!$B$3:$N$19,12,FALSE)*O117</f>
        <v>0</v>
      </c>
      <c r="P118" s="459">
        <f>VLOOKUP($I116,'Option Tables'!$B$3:$N$19,13,FALSE)*P117</f>
        <v>0</v>
      </c>
      <c r="Q118" s="96"/>
      <c r="R118"/>
    </row>
    <row r="119" spans="2:18" ht="15.75" customHeight="1" thickBot="1">
      <c r="B119" s="95"/>
      <c r="C119" s="66"/>
      <c r="D119" s="62"/>
      <c r="E119" s="355"/>
      <c r="F119" s="355"/>
      <c r="G119" s="355"/>
      <c r="H119" s="355"/>
      <c r="I119" s="355"/>
      <c r="J119" s="355"/>
      <c r="K119" s="355"/>
      <c r="L119" s="355"/>
      <c r="M119" s="460"/>
      <c r="N119" s="460"/>
      <c r="O119" s="460"/>
      <c r="P119" s="461"/>
      <c r="Q119" s="96"/>
      <c r="R119"/>
    </row>
    <row r="120" spans="2:18" ht="15.75" customHeight="1" thickBot="1">
      <c r="B120" s="254" t="s">
        <v>73</v>
      </c>
      <c r="C120" s="105" t="s">
        <v>73</v>
      </c>
      <c r="D120" s="105" t="s">
        <v>74</v>
      </c>
      <c r="E120" s="462"/>
      <c r="F120" s="463"/>
      <c r="G120" s="464"/>
      <c r="H120" s="464" t="s">
        <v>55</v>
      </c>
      <c r="I120" s="68">
        <v>2</v>
      </c>
      <c r="J120" s="460"/>
      <c r="K120" s="460"/>
      <c r="L120" s="460"/>
      <c r="M120" s="460"/>
      <c r="N120" s="460"/>
      <c r="O120" s="460"/>
      <c r="P120" s="461"/>
      <c r="Q120" s="96"/>
      <c r="R120"/>
    </row>
    <row r="121" spans="2:18" ht="15.75" customHeight="1">
      <c r="B121" s="255" t="str">
        <f>"("&amp;VLOOKUP(C121,NodeList!$D$5:$E$68,2,FALSE)&amp;")"</f>
        <v>(Evanston Water Ditch)</v>
      </c>
      <c r="C121" s="256" t="s">
        <v>71</v>
      </c>
      <c r="D121" s="388">
        <v>1</v>
      </c>
      <c r="E121" s="355">
        <f>$D121*((E118*(VLOOKUP(I120,'Option Tables'!$B$23:$F$26,2)))+(P118*(VLOOKUP(I120,'Option Tables'!$B$23:$F$26,3)))+(O118*(VLOOKUP(I120,'Option Tables'!$B$23:$F$26,4))+(N118*(VLOOKUP(I120,'Option Tables'!$B$23:$F$26,5)))))</f>
        <v>0</v>
      </c>
      <c r="F121" s="355">
        <f>$D121*((F118*(VLOOKUP(I120,'Option Tables'!$B$23:$F$26,2)))+(E118*(VLOOKUP(I120,'Option Tables'!$B$23:$F$26,3)))+(P118*(VLOOKUP(I120,'Option Tables'!$B$23:$F$26,4))+(O118*(VLOOKUP(I120,'Option Tables'!$B$23:$F$26,5)))))</f>
        <v>0</v>
      </c>
      <c r="G121" s="355">
        <f>$D121*((G118*(VLOOKUP(I120,'Option Tables'!$B$23:$F$26,2)))+(F118*(VLOOKUP(I120,'Option Tables'!$B$23:$F$26,3)))+(E118*(VLOOKUP(I120,'Option Tables'!$B$23:$F$26,4))+(P118*(VLOOKUP(I120,'Option Tables'!$B$23:$F$26,5)))))</f>
        <v>0</v>
      </c>
      <c r="H121" s="355">
        <f>$D121*((H118*(VLOOKUP(I120,'Option Tables'!$B$23:$F$26,2)))+(G118*(VLOOKUP(I120,'Option Tables'!$B$23:$F$26,3)))+(F118*(VLOOKUP(I120,'Option Tables'!$B$23:$F$26,4))+(E118*(VLOOKUP(I120,'Option Tables'!$B$23:$F$26,5)))))</f>
        <v>0</v>
      </c>
      <c r="I121" s="355">
        <f>$D121*((I118*(VLOOKUP(I120,'Option Tables'!$B$23:$F$26,2)))+(H118*(VLOOKUP(I120,'Option Tables'!$B$23:$F$26,3)))+(G118*(VLOOKUP(I120,'Option Tables'!$B$23:$F$26,4))+(F118*(VLOOKUP(I120,'Option Tables'!$B$23:$F$26,5)))))</f>
        <v>206.70522551670925</v>
      </c>
      <c r="J121" s="355">
        <f>$D121*((J118*(VLOOKUP(I120,'Option Tables'!$B$23:$F$26,2)))+(I118*(VLOOKUP(I120,'Option Tables'!$B$23:$F$26,3)))+(H118*(VLOOKUP(I120,'Option Tables'!$B$23:$F$26,4))+(G118*(VLOOKUP(I120,'Option Tables'!$B$23:$F$26,5)))))</f>
        <v>406.26239980166145</v>
      </c>
      <c r="K121" s="355">
        <f>$D121*((K118*(VLOOKUP(I120,'Option Tables'!$B$23:$F$26,2)))+(J118*(VLOOKUP(I120,'Option Tables'!$B$23:$F$26,3)))+(I118*(VLOOKUP(I120,'Option Tables'!$B$23:$F$26,4))+(H118*(VLOOKUP(I120,'Option Tables'!$B$23:$F$26,5)))))</f>
        <v>362.57841019080416</v>
      </c>
      <c r="L121" s="355">
        <f>$D121*((L118*(VLOOKUP(I120,'Option Tables'!$B$23:$F$26,2)))+(K118*(VLOOKUP(I120,'Option Tables'!$B$23:$F$26,3)))+(J118*(VLOOKUP(I120,'Option Tables'!$B$23:$F$26,4))+(I118*(VLOOKUP(I120,'Option Tables'!$B$23:$F$26,5)))))</f>
        <v>244.58772852501644</v>
      </c>
      <c r="M121" s="355">
        <f>$D121*((M118*(VLOOKUP(I120,'Option Tables'!$B$23:$F$26,2)))+(L118*(VLOOKUP(I120,'Option Tables'!$B$23:$F$26,3)))+(K118*(VLOOKUP(I120,'Option Tables'!$B$23:$F$26,4))+(J118*(VLOOKUP(I120,'Option Tables'!$B$23:$F$26,5)))))</f>
        <v>173.37368356113637</v>
      </c>
      <c r="N121" s="355">
        <f>$D121*((N118*(VLOOKUP(I120,'Option Tables'!$B$23:$F$26,2)))+(M118*(VLOOKUP(I120,'Option Tables'!$B$23:$F$26,3)))+(L118*(VLOOKUP(I120,'Option Tables'!$B$23:$F$26,4))+(K118*(VLOOKUP(I120,'Option Tables'!$B$23:$F$26,5)))))</f>
        <v>47.837876557515088</v>
      </c>
      <c r="O121" s="355">
        <f>$D121*((O118*(VLOOKUP(I120,'Option Tables'!$B$23:$F$26,2)))+(N118*(VLOOKUP(I120,'Option Tables'!$B$23:$F$26,3)))+(M118*(VLOOKUP(I120,'Option Tables'!$B$23:$F$26,4))+(L118*(VLOOKUP(I120,'Option Tables'!$B$23:$F$26,5)))))</f>
        <v>14.76369029877397</v>
      </c>
      <c r="P121" s="465">
        <f>$D121*((P118*(VLOOKUP(I120,'Option Tables'!$B$23:$F$26,2)))+(O118*(VLOOKUP(I120,'Option Tables'!$B$23:$F$26,3)))+(N118*(VLOOKUP(I120,'Option Tables'!$B$23:$F$26,4))+(M118*(VLOOKUP(I120,'Option Tables'!$B$23:$F$26,5)))))</f>
        <v>0</v>
      </c>
      <c r="Q121" s="96"/>
      <c r="R121"/>
    </row>
    <row r="122" spans="2:18" ht="15.75" customHeight="1">
      <c r="B122" s="95"/>
      <c r="C122" s="256"/>
      <c r="D122" s="388">
        <v>0</v>
      </c>
      <c r="E122" s="355">
        <f>$D122*((E118*(VLOOKUP(I120,'Option Tables'!$B$23:$F$26,2)))+(P118*(VLOOKUP(I120,'Option Tables'!$B$23:$F$26,3)))+(O118*(VLOOKUP(I120,'Option Tables'!$B$23:$F$26,4))+(N118*(VLOOKUP(I120,'Option Tables'!$B$23:$F$26,5)))))</f>
        <v>0</v>
      </c>
      <c r="F122" s="355">
        <f>$D122*((F118*(VLOOKUP(I120,'Option Tables'!$B$23:$F$26,2)))+(E118*(VLOOKUP(I120,'Option Tables'!$B$23:$F$26,3)))+(P118*(VLOOKUP(I120,'Option Tables'!$B$23:$F$26,4))+(O118*(VLOOKUP(I120,'Option Tables'!$B$23:$F$26,5)))))</f>
        <v>0</v>
      </c>
      <c r="G122" s="355">
        <f>$D122*((G118*(VLOOKUP(I120,'Option Tables'!$B$23:$F$26,2)))+(F118*(VLOOKUP(I120,'Option Tables'!$B$23:$F$26,3)))+(E118*(VLOOKUP(I120,'Option Tables'!$B$23:$F$26,4))+(P118*(VLOOKUP(I120,'Option Tables'!$B$23:$F$26,5)))))</f>
        <v>0</v>
      </c>
      <c r="H122" s="355">
        <f>$D122*((H118*(VLOOKUP(I120,'Option Tables'!$B$23:$F$26,2)))+(G118*(VLOOKUP(I120,'Option Tables'!$B$23:$F$26,3)))+(F118*(VLOOKUP(I120,'Option Tables'!$B$23:$F$26,4))+(E118*(VLOOKUP(I120,'Option Tables'!$B$23:$F$26,5)))))</f>
        <v>0</v>
      </c>
      <c r="I122" s="355">
        <f>$D122*((I118*(VLOOKUP(I120,'Option Tables'!$B$23:$F$26,2)))+(H118*(VLOOKUP(I120,'Option Tables'!$B$23:$F$26,3)))+(G118*(VLOOKUP(I120,'Option Tables'!$B$23:$F$26,4))+(F118*(VLOOKUP(I120,'Option Tables'!$B$23:$F$26,5)))))</f>
        <v>0</v>
      </c>
      <c r="J122" s="355">
        <f>$D122*((J118*(VLOOKUP(I120,'Option Tables'!$B$23:$F$26,2)))+(I118*(VLOOKUP(I120,'Option Tables'!$B$23:$F$26,3)))+(H118*(VLOOKUP(I120,'Option Tables'!$B$23:$F$26,4))+(G118*(VLOOKUP(I120,'Option Tables'!$B$23:$F$26,5)))))</f>
        <v>0</v>
      </c>
      <c r="K122" s="355">
        <f>$D122*((K118*(VLOOKUP(I120,'Option Tables'!$B$23:$F$26,2)))+(J118*(VLOOKUP(I120,'Option Tables'!$B$23:$F$26,3)))+(I118*(VLOOKUP(I120,'Option Tables'!$B$23:$F$26,4))+(H118*(VLOOKUP(I120,'Option Tables'!$B$23:$F$26,5)))))</f>
        <v>0</v>
      </c>
      <c r="L122" s="355">
        <f>$D122*((L118*(VLOOKUP(I120,'Option Tables'!$B$23:$F$26,2)))+(K118*(VLOOKUP(I120,'Option Tables'!$B$23:$F$26,3)))+(J118*(VLOOKUP(I120,'Option Tables'!$B$23:$F$26,4))+(I118*(VLOOKUP(I120,'Option Tables'!$B$23:$F$26,5)))))</f>
        <v>0</v>
      </c>
      <c r="M122" s="355">
        <f>$D122*((M118*(VLOOKUP(I120,'Option Tables'!$B$23:$F$26,2)))+(L118*(VLOOKUP(I120,'Option Tables'!$B$23:$F$26,3)))+(K118*(VLOOKUP(I120,'Option Tables'!$B$23:$F$26,4))+(J118*(VLOOKUP(I120,'Option Tables'!$B$23:$F$26,5)))))</f>
        <v>0</v>
      </c>
      <c r="N122" s="355">
        <f>$D122*((N118*(VLOOKUP(I120,'Option Tables'!$B$23:$F$26,2)))+(M118*(VLOOKUP(I120,'Option Tables'!$B$23:$F$26,3)))+(L118*(VLOOKUP(I120,'Option Tables'!$B$23:$F$26,4))+(K118*(VLOOKUP(I120,'Option Tables'!$B$23:$F$26,5)))))</f>
        <v>0</v>
      </c>
      <c r="O122" s="355">
        <f>$D122*((O118*(VLOOKUP(I120,'Option Tables'!$B$23:$F$26,2)))+(N118*(VLOOKUP(I120,'Option Tables'!$B$23:$F$26,3)))+(M118*(VLOOKUP(I120,'Option Tables'!$B$23:$F$26,4))+(L118*(VLOOKUP(I120,'Option Tables'!$B$23:$F$26,5)))))</f>
        <v>0</v>
      </c>
      <c r="P122" s="465">
        <f>$D122*((P118*(VLOOKUP(I120,'Option Tables'!$B$23:$F$26,2)))+(O118*(VLOOKUP(I120,'Option Tables'!$B$23:$F$26,3)))+(N118*(VLOOKUP(I120,'Option Tables'!$B$23:$F$26,4))+(M118*(VLOOKUP(I120,'Option Tables'!$B$23:$F$26,5)))))</f>
        <v>0</v>
      </c>
      <c r="Q122" s="96"/>
      <c r="R122"/>
    </row>
    <row r="123" spans="2:18" ht="15.75" customHeight="1">
      <c r="B123" s="95"/>
      <c r="C123" s="256"/>
      <c r="D123" s="388">
        <v>0</v>
      </c>
      <c r="E123" s="355">
        <f>$D123*((E118*(VLOOKUP(I120,'Option Tables'!$B$23:$F$26,2)))+(P118*(VLOOKUP(I120,'Option Tables'!$B$23:$F$26,3)))+(O118*(VLOOKUP(I120,'Option Tables'!$B$23:$F$26,4))+(N118*(VLOOKUP(I120,'Option Tables'!$B$23:$F$26,5)))))</f>
        <v>0</v>
      </c>
      <c r="F123" s="355">
        <f>$D123*((F118*(VLOOKUP(I120,'Option Tables'!$B$23:$F$26,2)))+(E118*(VLOOKUP(I120,'Option Tables'!$B$23:$F$26,3)))+(P118*(VLOOKUP(I120,'Option Tables'!$B$23:$F$26,4))+(O118*(VLOOKUP(I120,'Option Tables'!$B$23:$F$26,5)))))</f>
        <v>0</v>
      </c>
      <c r="G123" s="355">
        <f>$D123*((G118*(VLOOKUP(I120,'Option Tables'!$B$23:$F$26,2)))+(F118*(VLOOKUP(I120,'Option Tables'!$B$23:$F$26,3)))+(E118*(VLOOKUP(I120,'Option Tables'!$B$23:$F$26,4))+(P118*(VLOOKUP(I120,'Option Tables'!$B$23:$F$26,5)))))</f>
        <v>0</v>
      </c>
      <c r="H123" s="355">
        <f>$D123*((H118*(VLOOKUP(I120,'Option Tables'!$B$23:$F$26,2)))+(G118*(VLOOKUP(I120,'Option Tables'!$B$23:$F$26,3)))+(F118*(VLOOKUP(I120,'Option Tables'!$B$23:$F$26,4))+(E118*(VLOOKUP(I120,'Option Tables'!$B$23:$F$26,5)))))</f>
        <v>0</v>
      </c>
      <c r="I123" s="355">
        <f>$D123*((I118*(VLOOKUP(I120,'Option Tables'!$B$23:$F$26,2)))+(H118*(VLOOKUP(I120,'Option Tables'!$B$23:$F$26,3)))+(G118*(VLOOKUP(I120,'Option Tables'!$B$23:$F$26,4))+(F118*(VLOOKUP(I120,'Option Tables'!$B$23:$F$26,5)))))</f>
        <v>0</v>
      </c>
      <c r="J123" s="355">
        <f>$D123*((J118*(VLOOKUP(I120,'Option Tables'!$B$23:$F$26,2)))+(I118*(VLOOKUP(I120,'Option Tables'!$B$23:$F$26,3)))+(H118*(VLOOKUP(I120,'Option Tables'!$B$23:$F$26,4))+(G118*(VLOOKUP(I120,'Option Tables'!$B$23:$F$26,5)))))</f>
        <v>0</v>
      </c>
      <c r="K123" s="355">
        <f>$D123*((K118*(VLOOKUP(I120,'Option Tables'!$B$23:$F$26,2)))+(J118*(VLOOKUP(I120,'Option Tables'!$B$23:$F$26,3)))+(I118*(VLOOKUP(I120,'Option Tables'!$B$23:$F$26,4))+(H118*(VLOOKUP(I120,'Option Tables'!$B$23:$F$26,5)))))</f>
        <v>0</v>
      </c>
      <c r="L123" s="355">
        <f>$D123*((L118*(VLOOKUP(I120,'Option Tables'!$B$23:$F$26,2)))+(K118*(VLOOKUP(I120,'Option Tables'!$B$23:$F$26,3)))+(J118*(VLOOKUP(I120,'Option Tables'!$B$23:$F$26,4))+(I118*(VLOOKUP(I120,'Option Tables'!$B$23:$F$26,5)))))</f>
        <v>0</v>
      </c>
      <c r="M123" s="355">
        <f>$D123*((M118*(VLOOKUP(I120,'Option Tables'!$B$23:$F$26,2)))+(L118*(VLOOKUP(I120,'Option Tables'!$B$23:$F$26,3)))+(K118*(VLOOKUP(I120,'Option Tables'!$B$23:$F$26,4))+(J118*(VLOOKUP(I120,'Option Tables'!$B$23:$F$26,5)))))</f>
        <v>0</v>
      </c>
      <c r="N123" s="355">
        <f>$D123*((N118*(VLOOKUP(I120,'Option Tables'!$B$23:$F$26,2)))+(M118*(VLOOKUP(I120,'Option Tables'!$B$23:$F$26,3)))+(L118*(VLOOKUP(I120,'Option Tables'!$B$23:$F$26,4))+(K118*(VLOOKUP(I120,'Option Tables'!$B$23:$F$26,5)))))</f>
        <v>0</v>
      </c>
      <c r="O123" s="355">
        <f>$D123*((O118*(VLOOKUP(I120,'Option Tables'!$B$23:$F$26,2)))+(N118*(VLOOKUP(I120,'Option Tables'!$B$23:$F$26,3)))+(M118*(VLOOKUP(I120,'Option Tables'!$B$23:$F$26,4))+(L118*(VLOOKUP(I120,'Option Tables'!$B$23:$F$26,5)))))</f>
        <v>0</v>
      </c>
      <c r="P123" s="465">
        <f>$D123*((P118*(VLOOKUP(I120,'Option Tables'!$B$23:$F$26,2)))+(O118*(VLOOKUP(I120,'Option Tables'!$B$23:$F$26,3)))+(N118*(VLOOKUP(I120,'Option Tables'!$B$23:$F$26,4))+(M118*(VLOOKUP(I120,'Option Tables'!$B$23:$F$26,5)))))</f>
        <v>0</v>
      </c>
      <c r="Q123" s="96"/>
      <c r="R123"/>
    </row>
    <row r="124" spans="2:18" ht="15.75" customHeight="1">
      <c r="B124" s="95"/>
      <c r="C124" s="256"/>
      <c r="D124" s="388">
        <v>0</v>
      </c>
      <c r="E124" s="355">
        <f>$D124*((E118*(VLOOKUP(I120,'Option Tables'!$B$23:$F$26,2)))+(P118*(VLOOKUP(I120,'Option Tables'!$B$23:$F$26,3)))+(O118*(VLOOKUP(I120,'Option Tables'!$B$23:$F$26,4))+(N118*(VLOOKUP(I120,'Option Tables'!$B$23:$F$26,5)))))</f>
        <v>0</v>
      </c>
      <c r="F124" s="355">
        <f>$D124*((F118*(VLOOKUP(I120,'Option Tables'!$B$23:$F$26,2)))+(E118*(VLOOKUP(I120,'Option Tables'!$B$23:$F$26,3)))+(P118*(VLOOKUP(I120,'Option Tables'!$B$23:$F$26,4))+(O118*(VLOOKUP(I120,'Option Tables'!$B$23:$F$26,5)))))</f>
        <v>0</v>
      </c>
      <c r="G124" s="355">
        <f>$D124*((G118*(VLOOKUP(I120,'Option Tables'!$B$23:$F$26,2)))+(F118*(VLOOKUP(I120,'Option Tables'!$B$23:$F$26,3)))+(E118*(VLOOKUP(I120,'Option Tables'!$B$23:$F$26,4))+(P118*(VLOOKUP(I120,'Option Tables'!$B$23:$F$26,5)))))</f>
        <v>0</v>
      </c>
      <c r="H124" s="355">
        <f>$D124*((H118*(VLOOKUP(I120,'Option Tables'!$B$23:$F$26,2)))+(G118*(VLOOKUP(I120,'Option Tables'!$B$23:$F$26,3)))+(F118*(VLOOKUP(I120,'Option Tables'!$B$23:$F$26,4))+(E118*(VLOOKUP(I120,'Option Tables'!$B$23:$F$26,5)))))</f>
        <v>0</v>
      </c>
      <c r="I124" s="355">
        <f>$D124*((I118*(VLOOKUP(I120,'Option Tables'!$B$23:$F$26,2)))+(H118*(VLOOKUP(I120,'Option Tables'!$B$23:$F$26,3)))+(G118*(VLOOKUP(I120,'Option Tables'!$B$23:$F$26,4))+(F118*(VLOOKUP(I120,'Option Tables'!$B$23:$F$26,5)))))</f>
        <v>0</v>
      </c>
      <c r="J124" s="355">
        <f>$D124*((J118*(VLOOKUP(I120,'Option Tables'!$B$23:$F$26,2)))+(I118*(VLOOKUP(I120,'Option Tables'!$B$23:$F$26,3)))+(H118*(VLOOKUP(I120,'Option Tables'!$B$23:$F$26,4))+(G118*(VLOOKUP(I120,'Option Tables'!$B$23:$F$26,5)))))</f>
        <v>0</v>
      </c>
      <c r="K124" s="355">
        <f>$D124*((K118*(VLOOKUP(I120,'Option Tables'!$B$23:$F$26,2)))+(J118*(VLOOKUP(I120,'Option Tables'!$B$23:$F$26,3)))+(I118*(VLOOKUP(I120,'Option Tables'!$B$23:$F$26,4))+(H118*(VLOOKUP(I120,'Option Tables'!$B$23:$F$26,5)))))</f>
        <v>0</v>
      </c>
      <c r="L124" s="355">
        <f>$D124*((L118*(VLOOKUP(I120,'Option Tables'!$B$23:$F$26,2)))+(K118*(VLOOKUP(I120,'Option Tables'!$B$23:$F$26,3)))+(J118*(VLOOKUP(I120,'Option Tables'!$B$23:$F$26,4))+(I118*(VLOOKUP(I120,'Option Tables'!$B$23:$F$26,5)))))</f>
        <v>0</v>
      </c>
      <c r="M124" s="355">
        <f>$D124*((M118*(VLOOKUP(I120,'Option Tables'!$B$23:$F$26,2)))+(L118*(VLOOKUP(I120,'Option Tables'!$B$23:$F$26,3)))+(K118*(VLOOKUP(I120,'Option Tables'!$B$23:$F$26,4))+(J118*(VLOOKUP(I120,'Option Tables'!$B$23:$F$26,5)))))</f>
        <v>0</v>
      </c>
      <c r="N124" s="355">
        <f>$D124*((N118*(VLOOKUP(I120,'Option Tables'!$B$23:$F$26,2)))+(M118*(VLOOKUP(I120,'Option Tables'!$B$23:$F$26,3)))+(L118*(VLOOKUP(I120,'Option Tables'!$B$23:$F$26,4))+(K118*(VLOOKUP(I120,'Option Tables'!$B$23:$F$26,5)))))</f>
        <v>0</v>
      </c>
      <c r="O124" s="355">
        <f>$D124*((O118*(VLOOKUP(I120,'Option Tables'!$B$23:$F$26,2)))+(N118*(VLOOKUP(I120,'Option Tables'!$B$23:$F$26,3)))+(M118*(VLOOKUP(I120,'Option Tables'!$B$23:$F$26,4))+(L118*(VLOOKUP(I120,'Option Tables'!$B$23:$F$26,5)))))</f>
        <v>0</v>
      </c>
      <c r="P124" s="465">
        <f>$D124*((P118*(VLOOKUP(I120,'Option Tables'!$B$23:$F$26,2)))+(O118*(VLOOKUP(I120,'Option Tables'!$B$23:$F$26,3)))+(N118*(VLOOKUP(I120,'Option Tables'!$B$23:$F$26,4))+(M118*(VLOOKUP(I120,'Option Tables'!$B$23:$F$26,5)))))</f>
        <v>0</v>
      </c>
      <c r="Q124" s="96"/>
      <c r="R124"/>
    </row>
    <row r="125" spans="2:18" ht="15.75" customHeight="1" thickBot="1">
      <c r="B125" s="97"/>
      <c r="C125" s="144" t="str">
        <f>IF(D125&lt;&gt;1,"Must equal %100","")</f>
        <v/>
      </c>
      <c r="D125" s="71">
        <f t="shared" ref="D125:P125" si="11">SUM(D121:D124)</f>
        <v>1</v>
      </c>
      <c r="E125" s="466">
        <f t="shared" si="11"/>
        <v>0</v>
      </c>
      <c r="F125" s="466">
        <f t="shared" si="11"/>
        <v>0</v>
      </c>
      <c r="G125" s="466">
        <f t="shared" si="11"/>
        <v>0</v>
      </c>
      <c r="H125" s="466">
        <f t="shared" si="11"/>
        <v>0</v>
      </c>
      <c r="I125" s="466">
        <f t="shared" si="11"/>
        <v>206.70522551670925</v>
      </c>
      <c r="J125" s="466">
        <f t="shared" si="11"/>
        <v>406.26239980166145</v>
      </c>
      <c r="K125" s="466">
        <f t="shared" si="11"/>
        <v>362.57841019080416</v>
      </c>
      <c r="L125" s="466">
        <f t="shared" si="11"/>
        <v>244.58772852501644</v>
      </c>
      <c r="M125" s="466">
        <f t="shared" si="11"/>
        <v>173.37368356113637</v>
      </c>
      <c r="N125" s="466">
        <f t="shared" si="11"/>
        <v>47.837876557515088</v>
      </c>
      <c r="O125" s="466">
        <f t="shared" si="11"/>
        <v>14.76369029877397</v>
      </c>
      <c r="P125" s="467">
        <f t="shared" si="11"/>
        <v>0</v>
      </c>
      <c r="Q125" s="96"/>
      <c r="R125" s="140"/>
    </row>
    <row r="126" spans="2:18" ht="15.75" customHeight="1" thickBot="1">
      <c r="B126" s="85" t="s">
        <v>69</v>
      </c>
      <c r="C126" s="284" t="str">
        <f>VLOOKUP(B126,NodeList!$D$5:$E$73,2,FALSE)</f>
        <v>Anel</v>
      </c>
      <c r="D126" s="91"/>
      <c r="E126" s="450"/>
      <c r="F126" s="451"/>
      <c r="G126" s="452"/>
      <c r="H126" s="453" t="s">
        <v>54</v>
      </c>
      <c r="I126" s="68">
        <v>30</v>
      </c>
      <c r="J126" s="454"/>
      <c r="K126" s="454"/>
      <c r="L126" s="454"/>
      <c r="M126" s="454"/>
      <c r="N126" s="454"/>
      <c r="O126" s="454"/>
      <c r="P126" s="455"/>
      <c r="Q126" s="96"/>
    </row>
    <row r="127" spans="2:18" ht="15.75" customHeight="1">
      <c r="B127" s="94"/>
      <c r="C127" s="66" t="s">
        <v>57</v>
      </c>
      <c r="D127" s="69"/>
      <c r="E127" s="456">
        <f>VLOOKUP($B126,'Diversion Data'!$B$3:$O$227,3,FALSE)</f>
        <v>0</v>
      </c>
      <c r="F127" s="456">
        <f>VLOOKUP($B126,'Diversion Data'!$B$3:$O$227,4,FALSE)</f>
        <v>0</v>
      </c>
      <c r="G127" s="456">
        <f>VLOOKUP($B126,'Diversion Data'!$B$3:$O$227,5,FALSE)</f>
        <v>0</v>
      </c>
      <c r="H127" s="456">
        <f>VLOOKUP($B126,'Diversion Data'!$B$3:$O$227,6,FALSE)</f>
        <v>0</v>
      </c>
      <c r="I127" s="456">
        <f>VLOOKUP($B126,'Diversion Data'!$B$3:$O$227,7,FALSE)</f>
        <v>211.33139231270664</v>
      </c>
      <c r="J127" s="456">
        <f>VLOOKUP($B126,'Diversion Data'!$B$3:$O$227,8,FALSE)</f>
        <v>346.46868143150829</v>
      </c>
      <c r="K127" s="456">
        <f>VLOOKUP($B126,'Diversion Data'!$B$3:$O$227,9,FALSE)</f>
        <v>196.28271956859504</v>
      </c>
      <c r="L127" s="456">
        <f>VLOOKUP($B126,'Diversion Data'!$B$3:$O$227,10,FALSE)</f>
        <v>31.785912544214877</v>
      </c>
      <c r="M127" s="456">
        <f>VLOOKUP($B126,'Diversion Data'!$B$3:$O$227,11,FALSE)</f>
        <v>17.479786898243805</v>
      </c>
      <c r="N127" s="456">
        <f>VLOOKUP($B126,'Diversion Data'!$B$3:$O$227,12,FALSE)</f>
        <v>0</v>
      </c>
      <c r="O127" s="456">
        <f>VLOOKUP($B126,'Diversion Data'!$B$3:$O$227,13,FALSE)</f>
        <v>0</v>
      </c>
      <c r="P127" s="457">
        <f>VLOOKUP($B126,'Diversion Data'!$B$3:$O$227,14,FALSE)</f>
        <v>0</v>
      </c>
      <c r="Q127" s="96"/>
    </row>
    <row r="128" spans="2:18" ht="15.75" customHeight="1">
      <c r="B128" s="95"/>
      <c r="C128" s="72" t="s">
        <v>56</v>
      </c>
      <c r="D128" s="70"/>
      <c r="E128" s="458">
        <f>VLOOKUP($I126,'Option Tables'!$B$3:$N$19,2,FALSE)*E127</f>
        <v>0</v>
      </c>
      <c r="F128" s="458">
        <f>VLOOKUP($I126,'Option Tables'!$B$3:$N$19,3,FALSE)*F127</f>
        <v>0</v>
      </c>
      <c r="G128" s="458">
        <f>VLOOKUP($I126,'Option Tables'!$B$3:$N$19,4,FALSE)*G127</f>
        <v>0</v>
      </c>
      <c r="H128" s="458">
        <f>VLOOKUP($I126,'Option Tables'!$B$3:$N$19,5,FALSE)*H127</f>
        <v>0</v>
      </c>
      <c r="I128" s="458">
        <f>VLOOKUP($I126,'Option Tables'!$B$3:$N$19,6,FALSE)*I127</f>
        <v>147.93197461889463</v>
      </c>
      <c r="J128" s="458">
        <f>VLOOKUP($I126,'Option Tables'!$B$3:$N$19,7,FALSE)*J127</f>
        <v>242.5280770020558</v>
      </c>
      <c r="K128" s="458">
        <f>VLOOKUP($I126,'Option Tables'!$B$3:$N$19,8,FALSE)*K127</f>
        <v>137.39790369801651</v>
      </c>
      <c r="L128" s="458">
        <f>VLOOKUP($I126,'Option Tables'!$B$3:$N$19,9,FALSE)*L127</f>
        <v>22.250138780950412</v>
      </c>
      <c r="M128" s="458">
        <f>VLOOKUP($I126,'Option Tables'!$B$3:$N$19,10,FALSE)*M127</f>
        <v>12.235850828770664</v>
      </c>
      <c r="N128" s="458">
        <f>VLOOKUP($I126,'Option Tables'!$B$3:$N$19,11,FALSE)*N127</f>
        <v>0</v>
      </c>
      <c r="O128" s="458">
        <f>VLOOKUP($I126,'Option Tables'!$B$3:$N$19,12,FALSE)*O127</f>
        <v>0</v>
      </c>
      <c r="P128" s="459">
        <f>VLOOKUP($I126,'Option Tables'!$B$3:$N$19,13,FALSE)*P127</f>
        <v>0</v>
      </c>
      <c r="Q128" s="96"/>
      <c r="R128" s="140"/>
    </row>
    <row r="129" spans="2:18" ht="15.75" customHeight="1" thickBot="1">
      <c r="B129" s="95"/>
      <c r="C129" s="66"/>
      <c r="D129" s="62"/>
      <c r="E129" s="355"/>
      <c r="F129" s="355"/>
      <c r="G129" s="355"/>
      <c r="H129" s="355"/>
      <c r="I129" s="355"/>
      <c r="J129" s="355"/>
      <c r="K129" s="355"/>
      <c r="L129" s="355"/>
      <c r="M129" s="460"/>
      <c r="N129" s="460"/>
      <c r="O129" s="460"/>
      <c r="P129" s="461"/>
      <c r="Q129" s="96"/>
      <c r="R129"/>
    </row>
    <row r="130" spans="2:18" ht="15.75" customHeight="1" thickBot="1">
      <c r="B130" s="254" t="s">
        <v>73</v>
      </c>
      <c r="C130" s="105" t="s">
        <v>73</v>
      </c>
      <c r="D130" s="105" t="s">
        <v>74</v>
      </c>
      <c r="E130" s="462"/>
      <c r="F130" s="463"/>
      <c r="G130" s="464"/>
      <c r="H130" s="464" t="s">
        <v>55</v>
      </c>
      <c r="I130" s="68">
        <v>2</v>
      </c>
      <c r="J130" s="460"/>
      <c r="K130" s="460"/>
      <c r="L130" s="460"/>
      <c r="M130" s="460"/>
      <c r="N130" s="460"/>
      <c r="O130" s="460"/>
      <c r="P130" s="461"/>
      <c r="Q130" s="96"/>
      <c r="R130"/>
    </row>
    <row r="131" spans="2:18" ht="15.75" customHeight="1">
      <c r="B131" s="255" t="str">
        <f>"("&amp;VLOOKUP(C131,NodeList!$D$5:$E$68,2,FALSE)&amp;")"</f>
        <v>(AggDiv BR-1)</v>
      </c>
      <c r="C131" s="256" t="s">
        <v>315</v>
      </c>
      <c r="D131" s="388">
        <v>1</v>
      </c>
      <c r="E131" s="355">
        <f>$D131*((E128*(VLOOKUP(I130,'Option Tables'!$B$23:$F$26,2)))+(P128*(VLOOKUP(I130,'Option Tables'!$B$23:$F$26,3)))+(O128*(VLOOKUP(I130,'Option Tables'!$B$23:$F$26,4))+(N128*(VLOOKUP(I130,'Option Tables'!$B$23:$F$26,5)))))</f>
        <v>0</v>
      </c>
      <c r="F131" s="355">
        <f>$D131*((F128*(VLOOKUP(I130,'Option Tables'!$B$23:$F$26,2)))+(E128*(VLOOKUP(I130,'Option Tables'!$B$23:$F$26,3)))+(P128*(VLOOKUP(I130,'Option Tables'!$B$23:$F$26,4))+(O128*(VLOOKUP(I130,'Option Tables'!$B$23:$F$26,5)))))</f>
        <v>0</v>
      </c>
      <c r="G131" s="355">
        <f>$D131*((G128*(VLOOKUP(I130,'Option Tables'!$B$23:$F$26,2)))+(F128*(VLOOKUP(I130,'Option Tables'!$B$23:$F$26,3)))+(E128*(VLOOKUP(I130,'Option Tables'!$B$23:$F$26,4))+(P128*(VLOOKUP(I130,'Option Tables'!$B$23:$F$26,5)))))</f>
        <v>0</v>
      </c>
      <c r="H131" s="355">
        <f>$D131*((H128*(VLOOKUP(I130,'Option Tables'!$B$23:$F$26,2)))+(G128*(VLOOKUP(I130,'Option Tables'!$B$23:$F$26,3)))+(F128*(VLOOKUP(I130,'Option Tables'!$B$23:$F$26,4))+(E128*(VLOOKUP(I130,'Option Tables'!$B$23:$F$26,5)))))</f>
        <v>0</v>
      </c>
      <c r="I131" s="355">
        <f>$D131*((I128*(VLOOKUP(I130,'Option Tables'!$B$23:$F$26,2)))+(H128*(VLOOKUP(I130,'Option Tables'!$B$23:$F$26,3)))+(G128*(VLOOKUP(I130,'Option Tables'!$B$23:$F$26,4))+(F128*(VLOOKUP(I130,'Option Tables'!$B$23:$F$26,5)))))</f>
        <v>103.55238223322624</v>
      </c>
      <c r="J131" s="355">
        <f>$D131*((J128*(VLOOKUP(I130,'Option Tables'!$B$23:$F$26,2)))+(I128*(VLOOKUP(I130,'Option Tables'!$B$23:$F$26,3)))+(H128*(VLOOKUP(I130,'Option Tables'!$B$23:$F$26,4))+(G128*(VLOOKUP(I130,'Option Tables'!$B$23:$F$26,5)))))</f>
        <v>199.35604882521798</v>
      </c>
      <c r="K131" s="355">
        <f>$D131*((K128*(VLOOKUP(I130,'Option Tables'!$B$23:$F$26,2)))+(J128*(VLOOKUP(I130,'Option Tables'!$B$23:$F$26,3)))+(I128*(VLOOKUP(I130,'Option Tables'!$B$23:$F$26,4))+(H128*(VLOOKUP(I130,'Option Tables'!$B$23:$F$26,5)))))</f>
        <v>159.47734545091217</v>
      </c>
      <c r="L131" s="355">
        <f>$D131*((L128*(VLOOKUP(I130,'Option Tables'!$B$23:$F$26,2)))+(K128*(VLOOKUP(I130,'Option Tables'!$B$23:$F$26,3)))+(J128*(VLOOKUP(I130,'Option Tables'!$B$23:$F$26,4))+(I128*(VLOOKUP(I130,'Option Tables'!$B$23:$F$26,5)))))</f>
        <v>67.307485586474172</v>
      </c>
      <c r="M131" s="355">
        <f>$D131*((M128*(VLOOKUP(I130,'Option Tables'!$B$23:$F$26,2)))+(L128*(VLOOKUP(I130,'Option Tables'!$B$23:$F$26,3)))+(K128*(VLOOKUP(I130,'Option Tables'!$B$23:$F$26,4))+(J128*(VLOOKUP(I130,'Option Tables'!$B$23:$F$26,5)))))</f>
        <v>26.754913706131198</v>
      </c>
      <c r="N131" s="355">
        <f>$D131*((N128*(VLOOKUP(I130,'Option Tables'!$B$23:$F$26,2)))+(M128*(VLOOKUP(I130,'Option Tables'!$B$23:$F$26,3)))+(L128*(VLOOKUP(I130,'Option Tables'!$B$23:$F$26,4))+(K128*(VLOOKUP(I130,'Option Tables'!$B$23:$F$26,5)))))</f>
        <v>4.6721840438491746</v>
      </c>
      <c r="O131" s="355">
        <f>$D131*((O128*(VLOOKUP(I130,'Option Tables'!$B$23:$F$26,2)))+(N128*(VLOOKUP(I130,'Option Tables'!$B$23:$F$26,3)))+(M128*(VLOOKUP(I130,'Option Tables'!$B$23:$F$26,4))+(L128*(VLOOKUP(I130,'Option Tables'!$B$23:$F$26,5)))))</f>
        <v>1.2235850828770665</v>
      </c>
      <c r="P131" s="465">
        <f>$D131*((P128*(VLOOKUP(I130,'Option Tables'!$B$23:$F$26,2)))+(O128*(VLOOKUP(I130,'Option Tables'!$B$23:$F$26,3)))+(N128*(VLOOKUP(I130,'Option Tables'!$B$23:$F$26,4))+(M128*(VLOOKUP(I130,'Option Tables'!$B$23:$F$26,5)))))</f>
        <v>0</v>
      </c>
      <c r="Q131" s="96"/>
      <c r="R131"/>
    </row>
    <row r="132" spans="2:18" ht="15.75" customHeight="1">
      <c r="B132" s="95"/>
      <c r="C132" s="256"/>
      <c r="D132" s="388">
        <v>0</v>
      </c>
      <c r="E132" s="355">
        <f>$D132*((E128*(VLOOKUP(I130,'Option Tables'!$B$23:$F$26,2)))+(P128*(VLOOKUP(I130,'Option Tables'!$B$23:$F$26,3)))+(O128*(VLOOKUP(I130,'Option Tables'!$B$23:$F$26,4))+(N128*(VLOOKUP(I130,'Option Tables'!$B$23:$F$26,5)))))</f>
        <v>0</v>
      </c>
      <c r="F132" s="355">
        <f>$D132*((F128*(VLOOKUP(I130,'Option Tables'!$B$23:$F$26,2)))+(E128*(VLOOKUP(I130,'Option Tables'!$B$23:$F$26,3)))+(P128*(VLOOKUP(I130,'Option Tables'!$B$23:$F$26,4))+(O128*(VLOOKUP(I130,'Option Tables'!$B$23:$F$26,5)))))</f>
        <v>0</v>
      </c>
      <c r="G132" s="355">
        <f>$D132*((G128*(VLOOKUP(I130,'Option Tables'!$B$23:$F$26,2)))+(F128*(VLOOKUP(I130,'Option Tables'!$B$23:$F$26,3)))+(E128*(VLOOKUP(I130,'Option Tables'!$B$23:$F$26,4))+(P128*(VLOOKUP(I130,'Option Tables'!$B$23:$F$26,5)))))</f>
        <v>0</v>
      </c>
      <c r="H132" s="355">
        <f>$D132*((H128*(VLOOKUP(I130,'Option Tables'!$B$23:$F$26,2)))+(G128*(VLOOKUP(I130,'Option Tables'!$B$23:$F$26,3)))+(F128*(VLOOKUP(I130,'Option Tables'!$B$23:$F$26,4))+(E128*(VLOOKUP(I130,'Option Tables'!$B$23:$F$26,5)))))</f>
        <v>0</v>
      </c>
      <c r="I132" s="355">
        <f>$D132*((I128*(VLOOKUP(I130,'Option Tables'!$B$23:$F$26,2)))+(H128*(VLOOKUP(I130,'Option Tables'!$B$23:$F$26,3)))+(G128*(VLOOKUP(I130,'Option Tables'!$B$23:$F$26,4))+(F128*(VLOOKUP(I130,'Option Tables'!$B$23:$F$26,5)))))</f>
        <v>0</v>
      </c>
      <c r="J132" s="355">
        <f>$D132*((J128*(VLOOKUP(I130,'Option Tables'!$B$23:$F$26,2)))+(I128*(VLOOKUP(I130,'Option Tables'!$B$23:$F$26,3)))+(H128*(VLOOKUP(I130,'Option Tables'!$B$23:$F$26,4))+(G128*(VLOOKUP(I130,'Option Tables'!$B$23:$F$26,5)))))</f>
        <v>0</v>
      </c>
      <c r="K132" s="355">
        <f>$D132*((K128*(VLOOKUP(I130,'Option Tables'!$B$23:$F$26,2)))+(J128*(VLOOKUP(I130,'Option Tables'!$B$23:$F$26,3)))+(I128*(VLOOKUP(I130,'Option Tables'!$B$23:$F$26,4))+(H128*(VLOOKUP(I130,'Option Tables'!$B$23:$F$26,5)))))</f>
        <v>0</v>
      </c>
      <c r="L132" s="355">
        <f>$D132*((L128*(VLOOKUP(I130,'Option Tables'!$B$23:$F$26,2)))+(K128*(VLOOKUP(I130,'Option Tables'!$B$23:$F$26,3)))+(J128*(VLOOKUP(I130,'Option Tables'!$B$23:$F$26,4))+(I128*(VLOOKUP(I130,'Option Tables'!$B$23:$F$26,5)))))</f>
        <v>0</v>
      </c>
      <c r="M132" s="355">
        <f>$D132*((M128*(VLOOKUP(I130,'Option Tables'!$B$23:$F$26,2)))+(L128*(VLOOKUP(I130,'Option Tables'!$B$23:$F$26,3)))+(K128*(VLOOKUP(I130,'Option Tables'!$B$23:$F$26,4))+(J128*(VLOOKUP(I130,'Option Tables'!$B$23:$F$26,5)))))</f>
        <v>0</v>
      </c>
      <c r="N132" s="355">
        <f>$D132*((N128*(VLOOKUP(I130,'Option Tables'!$B$23:$F$26,2)))+(M128*(VLOOKUP(I130,'Option Tables'!$B$23:$F$26,3)))+(L128*(VLOOKUP(I130,'Option Tables'!$B$23:$F$26,4))+(K128*(VLOOKUP(I130,'Option Tables'!$B$23:$F$26,5)))))</f>
        <v>0</v>
      </c>
      <c r="O132" s="355">
        <f>$D132*((O128*(VLOOKUP(I130,'Option Tables'!$B$23:$F$26,2)))+(N128*(VLOOKUP(I130,'Option Tables'!$B$23:$F$26,3)))+(M128*(VLOOKUP(I130,'Option Tables'!$B$23:$F$26,4))+(L128*(VLOOKUP(I130,'Option Tables'!$B$23:$F$26,5)))))</f>
        <v>0</v>
      </c>
      <c r="P132" s="465">
        <f>$D132*((P128*(VLOOKUP(I130,'Option Tables'!$B$23:$F$26,2)))+(O128*(VLOOKUP(I130,'Option Tables'!$B$23:$F$26,3)))+(N128*(VLOOKUP(I130,'Option Tables'!$B$23:$F$26,4))+(M128*(VLOOKUP(I130,'Option Tables'!$B$23:$F$26,5)))))</f>
        <v>0</v>
      </c>
      <c r="Q132" s="96"/>
      <c r="R132"/>
    </row>
    <row r="133" spans="2:18" ht="15.75" customHeight="1">
      <c r="B133" s="95"/>
      <c r="C133" s="256"/>
      <c r="D133" s="388">
        <v>0</v>
      </c>
      <c r="E133" s="355">
        <f>$D133*((E128*(VLOOKUP(I130,'Option Tables'!$B$23:$F$26,2)))+(P128*(VLOOKUP(I130,'Option Tables'!$B$23:$F$26,3)))+(O128*(VLOOKUP(I130,'Option Tables'!$B$23:$F$26,4))+(N128*(VLOOKUP(I130,'Option Tables'!$B$23:$F$26,5)))))</f>
        <v>0</v>
      </c>
      <c r="F133" s="355">
        <f>$D133*((F128*(VLOOKUP(I130,'Option Tables'!$B$23:$F$26,2)))+(E128*(VLOOKUP(I130,'Option Tables'!$B$23:$F$26,3)))+(P128*(VLOOKUP(I130,'Option Tables'!$B$23:$F$26,4))+(O128*(VLOOKUP(I130,'Option Tables'!$B$23:$F$26,5)))))</f>
        <v>0</v>
      </c>
      <c r="G133" s="355">
        <f>$D133*((G128*(VLOOKUP(I130,'Option Tables'!$B$23:$F$26,2)))+(F128*(VLOOKUP(I130,'Option Tables'!$B$23:$F$26,3)))+(E128*(VLOOKUP(I130,'Option Tables'!$B$23:$F$26,4))+(P128*(VLOOKUP(I130,'Option Tables'!$B$23:$F$26,5)))))</f>
        <v>0</v>
      </c>
      <c r="H133" s="355">
        <f>$D133*((H128*(VLOOKUP(I130,'Option Tables'!$B$23:$F$26,2)))+(G128*(VLOOKUP(I130,'Option Tables'!$B$23:$F$26,3)))+(F128*(VLOOKUP(I130,'Option Tables'!$B$23:$F$26,4))+(E128*(VLOOKUP(I130,'Option Tables'!$B$23:$F$26,5)))))</f>
        <v>0</v>
      </c>
      <c r="I133" s="355">
        <f>$D133*((I128*(VLOOKUP(I130,'Option Tables'!$B$23:$F$26,2)))+(H128*(VLOOKUP(I130,'Option Tables'!$B$23:$F$26,3)))+(G128*(VLOOKUP(I130,'Option Tables'!$B$23:$F$26,4))+(F128*(VLOOKUP(I130,'Option Tables'!$B$23:$F$26,5)))))</f>
        <v>0</v>
      </c>
      <c r="J133" s="355">
        <f>$D133*((J128*(VLOOKUP(I130,'Option Tables'!$B$23:$F$26,2)))+(I128*(VLOOKUP(I130,'Option Tables'!$B$23:$F$26,3)))+(H128*(VLOOKUP(I130,'Option Tables'!$B$23:$F$26,4))+(G128*(VLOOKUP(I130,'Option Tables'!$B$23:$F$26,5)))))</f>
        <v>0</v>
      </c>
      <c r="K133" s="355">
        <f>$D133*((K128*(VLOOKUP(I130,'Option Tables'!$B$23:$F$26,2)))+(J128*(VLOOKUP(I130,'Option Tables'!$B$23:$F$26,3)))+(I128*(VLOOKUP(I130,'Option Tables'!$B$23:$F$26,4))+(H128*(VLOOKUP(I130,'Option Tables'!$B$23:$F$26,5)))))</f>
        <v>0</v>
      </c>
      <c r="L133" s="355">
        <f>$D133*((L128*(VLOOKUP(I130,'Option Tables'!$B$23:$F$26,2)))+(K128*(VLOOKUP(I130,'Option Tables'!$B$23:$F$26,3)))+(J128*(VLOOKUP(I130,'Option Tables'!$B$23:$F$26,4))+(I128*(VLOOKUP(I130,'Option Tables'!$B$23:$F$26,5)))))</f>
        <v>0</v>
      </c>
      <c r="M133" s="355">
        <f>$D133*((M128*(VLOOKUP(I130,'Option Tables'!$B$23:$F$26,2)))+(L128*(VLOOKUP(I130,'Option Tables'!$B$23:$F$26,3)))+(K128*(VLOOKUP(I130,'Option Tables'!$B$23:$F$26,4))+(J128*(VLOOKUP(I130,'Option Tables'!$B$23:$F$26,5)))))</f>
        <v>0</v>
      </c>
      <c r="N133" s="355">
        <f>$D133*((N128*(VLOOKUP(I130,'Option Tables'!$B$23:$F$26,2)))+(M128*(VLOOKUP(I130,'Option Tables'!$B$23:$F$26,3)))+(L128*(VLOOKUP(I130,'Option Tables'!$B$23:$F$26,4))+(K128*(VLOOKUP(I130,'Option Tables'!$B$23:$F$26,5)))))</f>
        <v>0</v>
      </c>
      <c r="O133" s="355">
        <f>$D133*((O128*(VLOOKUP(I130,'Option Tables'!$B$23:$F$26,2)))+(N128*(VLOOKUP(I130,'Option Tables'!$B$23:$F$26,3)))+(M128*(VLOOKUP(I130,'Option Tables'!$B$23:$F$26,4))+(L128*(VLOOKUP(I130,'Option Tables'!$B$23:$F$26,5)))))</f>
        <v>0</v>
      </c>
      <c r="P133" s="465">
        <f>$D133*((P128*(VLOOKUP(I130,'Option Tables'!$B$23:$F$26,2)))+(O128*(VLOOKUP(I130,'Option Tables'!$B$23:$F$26,3)))+(N128*(VLOOKUP(I130,'Option Tables'!$B$23:$F$26,4))+(M128*(VLOOKUP(I130,'Option Tables'!$B$23:$F$26,5)))))</f>
        <v>0</v>
      </c>
      <c r="Q133" s="96"/>
      <c r="R133"/>
    </row>
    <row r="134" spans="2:18" ht="15.75" customHeight="1">
      <c r="B134" s="95"/>
      <c r="C134" s="256"/>
      <c r="D134" s="388">
        <v>0</v>
      </c>
      <c r="E134" s="355">
        <f>$D134*((E128*(VLOOKUP(I130,'Option Tables'!$B$23:$F$26,2)))+(P128*(VLOOKUP(I130,'Option Tables'!$B$23:$F$26,3)))+(O128*(VLOOKUP(I130,'Option Tables'!$B$23:$F$26,4))+(N128*(VLOOKUP(I130,'Option Tables'!$B$23:$F$26,5)))))</f>
        <v>0</v>
      </c>
      <c r="F134" s="355">
        <f>$D134*((F128*(VLOOKUP(I130,'Option Tables'!$B$23:$F$26,2)))+(E128*(VLOOKUP(I130,'Option Tables'!$B$23:$F$26,3)))+(P128*(VLOOKUP(I130,'Option Tables'!$B$23:$F$26,4))+(O128*(VLOOKUP(I130,'Option Tables'!$B$23:$F$26,5)))))</f>
        <v>0</v>
      </c>
      <c r="G134" s="355">
        <f>$D134*((G128*(VLOOKUP(I130,'Option Tables'!$B$23:$F$26,2)))+(F128*(VLOOKUP(I130,'Option Tables'!$B$23:$F$26,3)))+(E128*(VLOOKUP(I130,'Option Tables'!$B$23:$F$26,4))+(P128*(VLOOKUP(I130,'Option Tables'!$B$23:$F$26,5)))))</f>
        <v>0</v>
      </c>
      <c r="H134" s="355">
        <f>$D134*((H128*(VLOOKUP(I130,'Option Tables'!$B$23:$F$26,2)))+(G128*(VLOOKUP(I130,'Option Tables'!$B$23:$F$26,3)))+(F128*(VLOOKUP(I130,'Option Tables'!$B$23:$F$26,4))+(E128*(VLOOKUP(I130,'Option Tables'!$B$23:$F$26,5)))))</f>
        <v>0</v>
      </c>
      <c r="I134" s="355">
        <f>$D134*((I128*(VLOOKUP(I130,'Option Tables'!$B$23:$F$26,2)))+(H128*(VLOOKUP(I130,'Option Tables'!$B$23:$F$26,3)))+(G128*(VLOOKUP(I130,'Option Tables'!$B$23:$F$26,4))+(F128*(VLOOKUP(I130,'Option Tables'!$B$23:$F$26,5)))))</f>
        <v>0</v>
      </c>
      <c r="J134" s="355">
        <f>$D134*((J128*(VLOOKUP(I130,'Option Tables'!$B$23:$F$26,2)))+(I128*(VLOOKUP(I130,'Option Tables'!$B$23:$F$26,3)))+(H128*(VLOOKUP(I130,'Option Tables'!$B$23:$F$26,4))+(G128*(VLOOKUP(I130,'Option Tables'!$B$23:$F$26,5)))))</f>
        <v>0</v>
      </c>
      <c r="K134" s="355">
        <f>$D134*((K128*(VLOOKUP(I130,'Option Tables'!$B$23:$F$26,2)))+(J128*(VLOOKUP(I130,'Option Tables'!$B$23:$F$26,3)))+(I128*(VLOOKUP(I130,'Option Tables'!$B$23:$F$26,4))+(H128*(VLOOKUP(I130,'Option Tables'!$B$23:$F$26,5)))))</f>
        <v>0</v>
      </c>
      <c r="L134" s="355">
        <f>$D134*((L128*(VLOOKUP(I130,'Option Tables'!$B$23:$F$26,2)))+(K128*(VLOOKUP(I130,'Option Tables'!$B$23:$F$26,3)))+(J128*(VLOOKUP(I130,'Option Tables'!$B$23:$F$26,4))+(I128*(VLOOKUP(I130,'Option Tables'!$B$23:$F$26,5)))))</f>
        <v>0</v>
      </c>
      <c r="M134" s="355">
        <f>$D134*((M128*(VLOOKUP(I130,'Option Tables'!$B$23:$F$26,2)))+(L128*(VLOOKUP(I130,'Option Tables'!$B$23:$F$26,3)))+(K128*(VLOOKUP(I130,'Option Tables'!$B$23:$F$26,4))+(J128*(VLOOKUP(I130,'Option Tables'!$B$23:$F$26,5)))))</f>
        <v>0</v>
      </c>
      <c r="N134" s="355">
        <f>$D134*((N128*(VLOOKUP(I130,'Option Tables'!$B$23:$F$26,2)))+(M128*(VLOOKUP(I130,'Option Tables'!$B$23:$F$26,3)))+(L128*(VLOOKUP(I130,'Option Tables'!$B$23:$F$26,4))+(K128*(VLOOKUP(I130,'Option Tables'!$B$23:$F$26,5)))))</f>
        <v>0</v>
      </c>
      <c r="O134" s="355">
        <f>$D134*((O128*(VLOOKUP(I130,'Option Tables'!$B$23:$F$26,2)))+(N128*(VLOOKUP(I130,'Option Tables'!$B$23:$F$26,3)))+(M128*(VLOOKUP(I130,'Option Tables'!$B$23:$F$26,4))+(L128*(VLOOKUP(I130,'Option Tables'!$B$23:$F$26,5)))))</f>
        <v>0</v>
      </c>
      <c r="P134" s="465">
        <f>$D134*((P128*(VLOOKUP(I130,'Option Tables'!$B$23:$F$26,2)))+(O128*(VLOOKUP(I130,'Option Tables'!$B$23:$F$26,3)))+(N128*(VLOOKUP(I130,'Option Tables'!$B$23:$F$26,4))+(M128*(VLOOKUP(I130,'Option Tables'!$B$23:$F$26,5)))))</f>
        <v>0</v>
      </c>
      <c r="Q134" s="96"/>
      <c r="R134"/>
    </row>
    <row r="135" spans="2:18" ht="15.75" customHeight="1" thickBot="1">
      <c r="B135" s="97"/>
      <c r="C135" s="144" t="str">
        <f>IF(D135&lt;&gt;1,"Must equal %100","")</f>
        <v/>
      </c>
      <c r="D135" s="71">
        <f t="shared" ref="D135:P135" si="12">SUM(D131:D134)</f>
        <v>1</v>
      </c>
      <c r="E135" s="466">
        <f t="shared" si="12"/>
        <v>0</v>
      </c>
      <c r="F135" s="466">
        <f t="shared" si="12"/>
        <v>0</v>
      </c>
      <c r="G135" s="466">
        <f t="shared" si="12"/>
        <v>0</v>
      </c>
      <c r="H135" s="466">
        <f t="shared" si="12"/>
        <v>0</v>
      </c>
      <c r="I135" s="466">
        <f t="shared" si="12"/>
        <v>103.55238223322624</v>
      </c>
      <c r="J135" s="466">
        <f t="shared" si="12"/>
        <v>199.35604882521798</v>
      </c>
      <c r="K135" s="466">
        <f t="shared" si="12"/>
        <v>159.47734545091217</v>
      </c>
      <c r="L135" s="466">
        <f t="shared" si="12"/>
        <v>67.307485586474172</v>
      </c>
      <c r="M135" s="466">
        <f t="shared" si="12"/>
        <v>26.754913706131198</v>
      </c>
      <c r="N135" s="466">
        <f t="shared" si="12"/>
        <v>4.6721840438491746</v>
      </c>
      <c r="O135" s="466">
        <f t="shared" si="12"/>
        <v>1.2235850828770665</v>
      </c>
      <c r="P135" s="467">
        <f t="shared" si="12"/>
        <v>0</v>
      </c>
      <c r="Q135" s="96"/>
      <c r="R135"/>
    </row>
    <row r="136" spans="2:18" ht="15.75" customHeight="1" thickBot="1">
      <c r="B136" s="85" t="s">
        <v>70</v>
      </c>
      <c r="C136" s="257" t="str">
        <f>VLOOKUP(B136,NodeList!$D$5:$E$73,2,FALSE)</f>
        <v>Evanston Water Supply</v>
      </c>
      <c r="D136" s="91"/>
      <c r="E136" s="450"/>
      <c r="F136" s="451"/>
      <c r="G136" s="452"/>
      <c r="H136" s="453" t="s">
        <v>54</v>
      </c>
      <c r="I136" s="68">
        <v>27</v>
      </c>
      <c r="J136" s="454"/>
      <c r="K136" s="454"/>
      <c r="L136" s="454"/>
      <c r="M136" s="454"/>
      <c r="N136" s="454"/>
      <c r="O136" s="454"/>
      <c r="P136" s="455"/>
      <c r="Q136" s="96"/>
      <c r="R136"/>
    </row>
    <row r="137" spans="2:18" ht="15.75" customHeight="1">
      <c r="B137" s="94"/>
      <c r="C137" s="66" t="s">
        <v>57</v>
      </c>
      <c r="D137" s="69"/>
      <c r="E137" s="456">
        <f>VLOOKUP($B136,'Diversion Data'!$B$3:$O$227,3,FALSE)</f>
        <v>0</v>
      </c>
      <c r="F137" s="456">
        <f>VLOOKUP($B136,'Diversion Data'!$B$3:$O$227,4,FALSE)</f>
        <v>0</v>
      </c>
      <c r="G137" s="456">
        <f>VLOOKUP($B136,'Diversion Data'!$B$3:$O$227,5,FALSE)</f>
        <v>0</v>
      </c>
      <c r="H137" s="456">
        <f>VLOOKUP($B136,'Diversion Data'!$B$3:$O$227,6,FALSE)</f>
        <v>0</v>
      </c>
      <c r="I137" s="456">
        <f>VLOOKUP($B136,'Diversion Data'!$B$3:$O$227,7,FALSE)</f>
        <v>117.74779830588845</v>
      </c>
      <c r="J137" s="456">
        <f>VLOOKUP($B136,'Diversion Data'!$B$3:$O$227,8,FALSE)</f>
        <v>255.06277154989669</v>
      </c>
      <c r="K137" s="456">
        <f>VLOOKUP($B136,'Diversion Data'!$B$3:$O$227,9,FALSE)</f>
        <v>213.1787392119835</v>
      </c>
      <c r="L137" s="456">
        <f>VLOOKUP($B136,'Diversion Data'!$B$3:$O$227,10,FALSE)</f>
        <v>136.76054564504133</v>
      </c>
      <c r="M137" s="456">
        <f>VLOOKUP($B136,'Diversion Data'!$B$3:$O$227,11,FALSE)</f>
        <v>42.892561983471076</v>
      </c>
      <c r="N137" s="456">
        <f>VLOOKUP($B136,'Diversion Data'!$B$3:$O$227,12,FALSE)</f>
        <v>0</v>
      </c>
      <c r="O137" s="456">
        <f>VLOOKUP($B136,'Diversion Data'!$B$3:$O$227,13,FALSE)</f>
        <v>0</v>
      </c>
      <c r="P137" s="457">
        <f>VLOOKUP($B136,'Diversion Data'!$B$3:$O$227,14,FALSE)</f>
        <v>0</v>
      </c>
      <c r="Q137" s="96"/>
      <c r="R137"/>
    </row>
    <row r="138" spans="2:18" ht="15.75" customHeight="1">
      <c r="B138" s="95"/>
      <c r="C138" s="72" t="s">
        <v>56</v>
      </c>
      <c r="D138" s="70"/>
      <c r="E138" s="458">
        <f>VLOOKUP($I136,'Option Tables'!$B$3:$N$19,2,FALSE)*E137</f>
        <v>0</v>
      </c>
      <c r="F138" s="458">
        <f>VLOOKUP($I136,'Option Tables'!$B$3:$N$19,3,FALSE)*F137</f>
        <v>0</v>
      </c>
      <c r="G138" s="458">
        <f>VLOOKUP($I136,'Option Tables'!$B$3:$N$19,4,FALSE)*G137</f>
        <v>0</v>
      </c>
      <c r="H138" s="458">
        <f>VLOOKUP($I136,'Option Tables'!$B$3:$N$19,5,FALSE)*H137</f>
        <v>0</v>
      </c>
      <c r="I138" s="458">
        <f>VLOOKUP($I136,'Option Tables'!$B$3:$N$19,6,FALSE)*I137</f>
        <v>85.955892763298564</v>
      </c>
      <c r="J138" s="458">
        <f>VLOOKUP($I136,'Option Tables'!$B$3:$N$19,7,FALSE)*J137</f>
        <v>186.19582323142458</v>
      </c>
      <c r="K138" s="458">
        <f>VLOOKUP($I136,'Option Tables'!$B$3:$N$19,8,FALSE)*K137</f>
        <v>155.62047962474796</v>
      </c>
      <c r="L138" s="458">
        <f>VLOOKUP($I136,'Option Tables'!$B$3:$N$19,9,FALSE)*L137</f>
        <v>99.835198320880167</v>
      </c>
      <c r="M138" s="458">
        <f>VLOOKUP($I136,'Option Tables'!$B$3:$N$19,10,FALSE)*M137</f>
        <v>31.311570247933883</v>
      </c>
      <c r="N138" s="458">
        <f>VLOOKUP($I136,'Option Tables'!$B$3:$N$19,11,FALSE)*N137</f>
        <v>0</v>
      </c>
      <c r="O138" s="458">
        <f>VLOOKUP($I136,'Option Tables'!$B$3:$N$19,12,FALSE)*O137</f>
        <v>0</v>
      </c>
      <c r="P138" s="459">
        <f>VLOOKUP($I136,'Option Tables'!$B$3:$N$19,13,FALSE)*P137</f>
        <v>0</v>
      </c>
      <c r="Q138" s="96"/>
      <c r="R138" s="140"/>
    </row>
    <row r="139" spans="2:18" ht="15.75" customHeight="1" thickBot="1">
      <c r="B139" s="95"/>
      <c r="C139" s="66"/>
      <c r="D139" s="62"/>
      <c r="E139" s="355"/>
      <c r="F139" s="355"/>
      <c r="G139" s="355"/>
      <c r="H139" s="355"/>
      <c r="I139" s="355"/>
      <c r="J139" s="355"/>
      <c r="K139" s="355"/>
      <c r="L139" s="355"/>
      <c r="M139" s="460"/>
      <c r="N139" s="460"/>
      <c r="O139" s="460"/>
      <c r="P139" s="461"/>
      <c r="Q139" s="96"/>
    </row>
    <row r="140" spans="2:18" ht="15.75" customHeight="1" thickBot="1">
      <c r="B140" s="254" t="s">
        <v>73</v>
      </c>
      <c r="C140" s="105" t="s">
        <v>73</v>
      </c>
      <c r="D140" s="105" t="s">
        <v>74</v>
      </c>
      <c r="E140" s="462"/>
      <c r="F140" s="463"/>
      <c r="G140" s="464"/>
      <c r="H140" s="464" t="s">
        <v>55</v>
      </c>
      <c r="I140" s="68">
        <v>2</v>
      </c>
      <c r="J140" s="460"/>
      <c r="K140" s="460"/>
      <c r="L140" s="460"/>
      <c r="M140" s="460"/>
      <c r="N140" s="460"/>
      <c r="O140" s="460"/>
      <c r="P140" s="461"/>
      <c r="Q140" s="96"/>
    </row>
    <row r="141" spans="2:18" ht="15.75" customHeight="1">
      <c r="B141" s="255" t="str">
        <f>"("&amp;VLOOKUP(C141,NodeList!$D$5:$E$68,2,FALSE)&amp;")"</f>
        <v>(Rocky Mtn &amp; Blyth)</v>
      </c>
      <c r="C141" s="256" t="s">
        <v>149</v>
      </c>
      <c r="D141" s="388">
        <v>0.5</v>
      </c>
      <c r="E141" s="355">
        <f>$D141*((E138*(VLOOKUP(I140,'Option Tables'!$B$23:$F$26,2)))+(P138*(VLOOKUP(I140,'Option Tables'!$B$23:$F$26,3)))+(O138*(VLOOKUP(I140,'Option Tables'!$B$23:$F$26,4))+(N138*(VLOOKUP(I140,'Option Tables'!$B$23:$F$26,5)))))</f>
        <v>0</v>
      </c>
      <c r="F141" s="355">
        <f>$D141*((F138*(VLOOKUP(I140,'Option Tables'!$B$23:$F$26,2)))+(E138*(VLOOKUP(I140,'Option Tables'!$B$23:$F$26,3)))+(P138*(VLOOKUP(I140,'Option Tables'!$B$23:$F$26,4))+(O138*(VLOOKUP(I140,'Option Tables'!$B$23:$F$26,5)))))</f>
        <v>0</v>
      </c>
      <c r="G141" s="355">
        <f>$D141*((G138*(VLOOKUP(I140,'Option Tables'!$B$23:$F$26,2)))+(F138*(VLOOKUP(I140,'Option Tables'!$B$23:$F$26,3)))+(E138*(VLOOKUP(I140,'Option Tables'!$B$23:$F$26,4))+(P138*(VLOOKUP(I140,'Option Tables'!$B$23:$F$26,5)))))</f>
        <v>0</v>
      </c>
      <c r="H141" s="355">
        <f>$D141*((H138*(VLOOKUP(I140,'Option Tables'!$B$23:$F$26,2)))+(G138*(VLOOKUP(I140,'Option Tables'!$B$23:$F$26,3)))+(F138*(VLOOKUP(I140,'Option Tables'!$B$23:$F$26,4))+(E138*(VLOOKUP(I140,'Option Tables'!$B$23:$F$26,5)))))</f>
        <v>0</v>
      </c>
      <c r="I141" s="355">
        <f>$D141*((I138*(VLOOKUP(I140,'Option Tables'!$B$23:$F$26,2)))+(H138*(VLOOKUP(I140,'Option Tables'!$B$23:$F$26,3)))+(G138*(VLOOKUP(I140,'Option Tables'!$B$23:$F$26,4))+(F138*(VLOOKUP(I140,'Option Tables'!$B$23:$F$26,5)))))</f>
        <v>30.084562467154495</v>
      </c>
      <c r="J141" s="355">
        <f>$D141*((J138*(VLOOKUP(I140,'Option Tables'!$B$23:$F$26,2)))+(I138*(VLOOKUP(I140,'Option Tables'!$B$23:$F$26,3)))+(H138*(VLOOKUP(I140,'Option Tables'!$B$23:$F$26,4))+(G138*(VLOOKUP(I140,'Option Tables'!$B$23:$F$26,5)))))</f>
        <v>73.764127407328459</v>
      </c>
      <c r="K141" s="355">
        <f>$D141*((K138*(VLOOKUP(I140,'Option Tables'!$B$23:$F$26,2)))+(J138*(VLOOKUP(I140,'Option Tables'!$B$23:$F$26,3)))+(I138*(VLOOKUP(I140,'Option Tables'!$B$23:$F$26,4))+(H138*(VLOOKUP(I140,'Option Tables'!$B$23:$F$26,5)))))</f>
        <v>77.384544829969172</v>
      </c>
      <c r="L141" s="355">
        <f>$D141*((L138*(VLOOKUP(I140,'Option Tables'!$B$23:$F$26,2)))+(K138*(VLOOKUP(I140,'Option Tables'!$B$23:$F$26,3)))+(J138*(VLOOKUP(I140,'Option Tables'!$B$23:$F$26,4))+(I138*(VLOOKUP(I140,'Option Tables'!$B$23:$F$26,5)))))</f>
        <v>59.814158536354086</v>
      </c>
      <c r="M141" s="355">
        <f>$D141*((M138*(VLOOKUP(I140,'Option Tables'!$B$23:$F$26,2)))+(L138*(VLOOKUP(I140,'Option Tables'!$B$23:$F$26,3)))+(K138*(VLOOKUP(I140,'Option Tables'!$B$23:$F$26,4))+(J138*(VLOOKUP(I140,'Option Tables'!$B$23:$F$26,5)))))</f>
        <v>28.723593400102274</v>
      </c>
      <c r="N141" s="355">
        <f>$D141*((N138*(VLOOKUP(I140,'Option Tables'!$B$23:$F$26,2)))+(M138*(VLOOKUP(I140,'Option Tables'!$B$23:$F$26,3)))+(L138*(VLOOKUP(I140,'Option Tables'!$B$23:$F$26,4))+(K138*(VLOOKUP(I140,'Option Tables'!$B$23:$F$26,5)))))</f>
        <v>8.1229169408373973</v>
      </c>
      <c r="O141" s="355">
        <f>$D141*((O138*(VLOOKUP(I140,'Option Tables'!$B$23:$F$26,2)))+(N138*(VLOOKUP(I140,'Option Tables'!$B$23:$F$26,3)))+(M138*(VLOOKUP(I140,'Option Tables'!$B$23:$F$26,4))+(L138*(VLOOKUP(I140,'Option Tables'!$B$23:$F$26,5)))))</f>
        <v>1.5655785123966943</v>
      </c>
      <c r="P141" s="465">
        <f>$D141*((P138*(VLOOKUP(I140,'Option Tables'!$B$23:$F$26,2)))+(O138*(VLOOKUP(I140,'Option Tables'!$B$23:$F$26,3)))+(N138*(VLOOKUP(I140,'Option Tables'!$B$23:$F$26,4))+(M138*(VLOOKUP(I140,'Option Tables'!$B$23:$F$26,5)))))</f>
        <v>0</v>
      </c>
      <c r="Q141" s="96"/>
    </row>
    <row r="142" spans="2:18" ht="15.75" customHeight="1">
      <c r="B142" s="255" t="str">
        <f>"("&amp;VLOOKUP(C142,NodeList!$D$5:$E$68,2,FALSE)&amp;")"</f>
        <v>(John Simms)</v>
      </c>
      <c r="C142" s="256" t="s">
        <v>141</v>
      </c>
      <c r="D142" s="388">
        <v>0.5</v>
      </c>
      <c r="E142" s="355">
        <f>$D142*((E138*(VLOOKUP(I140,'Option Tables'!$B$23:$F$26,2)))+(P138*(VLOOKUP(I140,'Option Tables'!$B$23:$F$26,3)))+(O138*(VLOOKUP(I140,'Option Tables'!$B$23:$F$26,4))+(N138*(VLOOKUP(I140,'Option Tables'!$B$23:$F$26,5)))))</f>
        <v>0</v>
      </c>
      <c r="F142" s="355">
        <f>$D142*((F138*(VLOOKUP(I140,'Option Tables'!$B$23:$F$26,2)))+(E138*(VLOOKUP(I140,'Option Tables'!$B$23:$F$26,3)))+(P138*(VLOOKUP(I140,'Option Tables'!$B$23:$F$26,4))+(O138*(VLOOKUP(I140,'Option Tables'!$B$23:$F$26,5)))))</f>
        <v>0</v>
      </c>
      <c r="G142" s="355">
        <f>$D142*((G138*(VLOOKUP(I140,'Option Tables'!$B$23:$F$26,2)))+(F138*(VLOOKUP(I140,'Option Tables'!$B$23:$F$26,3)))+(E138*(VLOOKUP(I140,'Option Tables'!$B$23:$F$26,4))+(P138*(VLOOKUP(I140,'Option Tables'!$B$23:$F$26,5)))))</f>
        <v>0</v>
      </c>
      <c r="H142" s="355">
        <f>$D142*((H138*(VLOOKUP(I140,'Option Tables'!$B$23:$F$26,2)))+(G138*(VLOOKUP(I140,'Option Tables'!$B$23:$F$26,3)))+(F138*(VLOOKUP(I140,'Option Tables'!$B$23:$F$26,4))+(E138*(VLOOKUP(I140,'Option Tables'!$B$23:$F$26,5)))))</f>
        <v>0</v>
      </c>
      <c r="I142" s="355">
        <f>$D142*((I138*(VLOOKUP(I140,'Option Tables'!$B$23:$F$26,2)))+(H138*(VLOOKUP(I140,'Option Tables'!$B$23:$F$26,3)))+(G138*(VLOOKUP(I140,'Option Tables'!$B$23:$F$26,4))+(F138*(VLOOKUP(I140,'Option Tables'!$B$23:$F$26,5)))))</f>
        <v>30.084562467154495</v>
      </c>
      <c r="J142" s="355">
        <f>$D142*((J138*(VLOOKUP(I140,'Option Tables'!$B$23:$F$26,2)))+(I138*(VLOOKUP(I140,'Option Tables'!$B$23:$F$26,3)))+(H138*(VLOOKUP(I140,'Option Tables'!$B$23:$F$26,4))+(G138*(VLOOKUP(I140,'Option Tables'!$B$23:$F$26,5)))))</f>
        <v>73.764127407328459</v>
      </c>
      <c r="K142" s="355">
        <f>$D142*((K138*(VLOOKUP(I140,'Option Tables'!$B$23:$F$26,2)))+(J138*(VLOOKUP(I140,'Option Tables'!$B$23:$F$26,3)))+(I138*(VLOOKUP(I140,'Option Tables'!$B$23:$F$26,4))+(H138*(VLOOKUP(I140,'Option Tables'!$B$23:$F$26,5)))))</f>
        <v>77.384544829969172</v>
      </c>
      <c r="L142" s="355">
        <f>$D142*((L138*(VLOOKUP(I140,'Option Tables'!$B$23:$F$26,2)))+(K138*(VLOOKUP(I140,'Option Tables'!$B$23:$F$26,3)))+(J138*(VLOOKUP(I140,'Option Tables'!$B$23:$F$26,4))+(I138*(VLOOKUP(I140,'Option Tables'!$B$23:$F$26,5)))))</f>
        <v>59.814158536354086</v>
      </c>
      <c r="M142" s="355">
        <f>$D142*((M138*(VLOOKUP(I140,'Option Tables'!$B$23:$F$26,2)))+(L138*(VLOOKUP(I140,'Option Tables'!$B$23:$F$26,3)))+(K138*(VLOOKUP(I140,'Option Tables'!$B$23:$F$26,4))+(J138*(VLOOKUP(I140,'Option Tables'!$B$23:$F$26,5)))))</f>
        <v>28.723593400102274</v>
      </c>
      <c r="N142" s="355">
        <f>$D142*((N138*(VLOOKUP(I140,'Option Tables'!$B$23:$F$26,2)))+(M138*(VLOOKUP(I140,'Option Tables'!$B$23:$F$26,3)))+(L138*(VLOOKUP(I140,'Option Tables'!$B$23:$F$26,4))+(K138*(VLOOKUP(I140,'Option Tables'!$B$23:$F$26,5)))))</f>
        <v>8.1229169408373973</v>
      </c>
      <c r="O142" s="355">
        <f>$D142*((O138*(VLOOKUP(I140,'Option Tables'!$B$23:$F$26,2)))+(N138*(VLOOKUP(I140,'Option Tables'!$B$23:$F$26,3)))+(M138*(VLOOKUP(I140,'Option Tables'!$B$23:$F$26,4))+(L138*(VLOOKUP(I140,'Option Tables'!$B$23:$F$26,5)))))</f>
        <v>1.5655785123966943</v>
      </c>
      <c r="P142" s="465">
        <f>$D142*((P138*(VLOOKUP(I140,'Option Tables'!$B$23:$F$26,2)))+(O138*(VLOOKUP(I140,'Option Tables'!$B$23:$F$26,3)))+(N138*(VLOOKUP(I140,'Option Tables'!$B$23:$F$26,4))+(M138*(VLOOKUP(I140,'Option Tables'!$B$23:$F$26,5)))))</f>
        <v>0</v>
      </c>
      <c r="Q142" s="96"/>
    </row>
    <row r="143" spans="2:18" ht="15.75" customHeight="1">
      <c r="B143" s="95"/>
      <c r="C143" s="256"/>
      <c r="D143" s="388">
        <v>0</v>
      </c>
      <c r="E143" s="355">
        <f>$D143*((E138*(VLOOKUP(I140,'Option Tables'!$B$23:$F$26,2)))+(P138*(VLOOKUP(I140,'Option Tables'!$B$23:$F$26,3)))+(O138*(VLOOKUP(I140,'Option Tables'!$B$23:$F$26,4))+(N138*(VLOOKUP(I140,'Option Tables'!$B$23:$F$26,5)))))</f>
        <v>0</v>
      </c>
      <c r="F143" s="355">
        <f>$D143*((F138*(VLOOKUP(I140,'Option Tables'!$B$23:$F$26,2)))+(E138*(VLOOKUP(I140,'Option Tables'!$B$23:$F$26,3)))+(P138*(VLOOKUP(I140,'Option Tables'!$B$23:$F$26,4))+(O138*(VLOOKUP(I140,'Option Tables'!$B$23:$F$26,5)))))</f>
        <v>0</v>
      </c>
      <c r="G143" s="355">
        <f>$D143*((G138*(VLOOKUP(I140,'Option Tables'!$B$23:$F$26,2)))+(F138*(VLOOKUP(I140,'Option Tables'!$B$23:$F$26,3)))+(E138*(VLOOKUP(I140,'Option Tables'!$B$23:$F$26,4))+(P138*(VLOOKUP(I140,'Option Tables'!$B$23:$F$26,5)))))</f>
        <v>0</v>
      </c>
      <c r="H143" s="355">
        <f>$D143*((H138*(VLOOKUP(I140,'Option Tables'!$B$23:$F$26,2)))+(G138*(VLOOKUP(I140,'Option Tables'!$B$23:$F$26,3)))+(F138*(VLOOKUP(I140,'Option Tables'!$B$23:$F$26,4))+(E138*(VLOOKUP(I140,'Option Tables'!$B$23:$F$26,5)))))</f>
        <v>0</v>
      </c>
      <c r="I143" s="355">
        <f>$D143*((I138*(VLOOKUP(I140,'Option Tables'!$B$23:$F$26,2)))+(H138*(VLOOKUP(I140,'Option Tables'!$B$23:$F$26,3)))+(G138*(VLOOKUP(I140,'Option Tables'!$B$23:$F$26,4))+(F138*(VLOOKUP(I140,'Option Tables'!$B$23:$F$26,5)))))</f>
        <v>0</v>
      </c>
      <c r="J143" s="355">
        <f>$D143*((J138*(VLOOKUP(I140,'Option Tables'!$B$23:$F$26,2)))+(I138*(VLOOKUP(I140,'Option Tables'!$B$23:$F$26,3)))+(H138*(VLOOKUP(I140,'Option Tables'!$B$23:$F$26,4))+(G138*(VLOOKUP(I140,'Option Tables'!$B$23:$F$26,5)))))</f>
        <v>0</v>
      </c>
      <c r="K143" s="355">
        <f>$D143*((K138*(VLOOKUP(I140,'Option Tables'!$B$23:$F$26,2)))+(J138*(VLOOKUP(I140,'Option Tables'!$B$23:$F$26,3)))+(I138*(VLOOKUP(I140,'Option Tables'!$B$23:$F$26,4))+(H138*(VLOOKUP(I140,'Option Tables'!$B$23:$F$26,5)))))</f>
        <v>0</v>
      </c>
      <c r="L143" s="355">
        <f>$D143*((L138*(VLOOKUP(I140,'Option Tables'!$B$23:$F$26,2)))+(K138*(VLOOKUP(I140,'Option Tables'!$B$23:$F$26,3)))+(J138*(VLOOKUP(I140,'Option Tables'!$B$23:$F$26,4))+(I138*(VLOOKUP(I140,'Option Tables'!$B$23:$F$26,5)))))</f>
        <v>0</v>
      </c>
      <c r="M143" s="355">
        <f>$D143*((M138*(VLOOKUP(I140,'Option Tables'!$B$23:$F$26,2)))+(L138*(VLOOKUP(I140,'Option Tables'!$B$23:$F$26,3)))+(K138*(VLOOKUP(I140,'Option Tables'!$B$23:$F$26,4))+(J138*(VLOOKUP(I140,'Option Tables'!$B$23:$F$26,5)))))</f>
        <v>0</v>
      </c>
      <c r="N143" s="355">
        <f>$D143*((N138*(VLOOKUP(I140,'Option Tables'!$B$23:$F$26,2)))+(M138*(VLOOKUP(I140,'Option Tables'!$B$23:$F$26,3)))+(L138*(VLOOKUP(I140,'Option Tables'!$B$23:$F$26,4))+(K138*(VLOOKUP(I140,'Option Tables'!$B$23:$F$26,5)))))</f>
        <v>0</v>
      </c>
      <c r="O143" s="355">
        <f>$D143*((O138*(VLOOKUP(I140,'Option Tables'!$B$23:$F$26,2)))+(N138*(VLOOKUP(I140,'Option Tables'!$B$23:$F$26,3)))+(M138*(VLOOKUP(I140,'Option Tables'!$B$23:$F$26,4))+(L138*(VLOOKUP(I140,'Option Tables'!$B$23:$F$26,5)))))</f>
        <v>0</v>
      </c>
      <c r="P143" s="465">
        <f>$D143*((P138*(VLOOKUP(I140,'Option Tables'!$B$23:$F$26,2)))+(O138*(VLOOKUP(I140,'Option Tables'!$B$23:$F$26,3)))+(N138*(VLOOKUP(I140,'Option Tables'!$B$23:$F$26,4))+(M138*(VLOOKUP(I140,'Option Tables'!$B$23:$F$26,5)))))</f>
        <v>0</v>
      </c>
      <c r="Q143" s="96"/>
    </row>
    <row r="144" spans="2:18" ht="15.75" customHeight="1">
      <c r="B144" s="95"/>
      <c r="C144" s="256"/>
      <c r="D144" s="388">
        <v>0</v>
      </c>
      <c r="E144" s="355">
        <f>$D144*((E138*(VLOOKUP(I140,'Option Tables'!$B$23:$F$26,2)))+(P138*(VLOOKUP(I140,'Option Tables'!$B$23:$F$26,3)))+(O138*(VLOOKUP(I140,'Option Tables'!$B$23:$F$26,4))+(N138*(VLOOKUP(I140,'Option Tables'!$B$23:$F$26,5)))))</f>
        <v>0</v>
      </c>
      <c r="F144" s="355">
        <f>$D144*((F138*(VLOOKUP(I140,'Option Tables'!$B$23:$F$26,2)))+(E138*(VLOOKUP(I140,'Option Tables'!$B$23:$F$26,3)))+(P138*(VLOOKUP(I140,'Option Tables'!$B$23:$F$26,4))+(O138*(VLOOKUP(I140,'Option Tables'!$B$23:$F$26,5)))))</f>
        <v>0</v>
      </c>
      <c r="G144" s="355">
        <f>$D144*((G138*(VLOOKUP(I140,'Option Tables'!$B$23:$F$26,2)))+(F138*(VLOOKUP(I140,'Option Tables'!$B$23:$F$26,3)))+(E138*(VLOOKUP(I140,'Option Tables'!$B$23:$F$26,4))+(P138*(VLOOKUP(I140,'Option Tables'!$B$23:$F$26,5)))))</f>
        <v>0</v>
      </c>
      <c r="H144" s="355">
        <f>$D144*((H138*(VLOOKUP(I140,'Option Tables'!$B$23:$F$26,2)))+(G138*(VLOOKUP(I140,'Option Tables'!$B$23:$F$26,3)))+(F138*(VLOOKUP(I140,'Option Tables'!$B$23:$F$26,4))+(E138*(VLOOKUP(I140,'Option Tables'!$B$23:$F$26,5)))))</f>
        <v>0</v>
      </c>
      <c r="I144" s="355">
        <f>$D144*((I138*(VLOOKUP(I140,'Option Tables'!$B$23:$F$26,2)))+(H138*(VLOOKUP(I140,'Option Tables'!$B$23:$F$26,3)))+(G138*(VLOOKUP(I140,'Option Tables'!$B$23:$F$26,4))+(F138*(VLOOKUP(I140,'Option Tables'!$B$23:$F$26,5)))))</f>
        <v>0</v>
      </c>
      <c r="J144" s="355">
        <f>$D144*((J138*(VLOOKUP(I140,'Option Tables'!$B$23:$F$26,2)))+(I138*(VLOOKUP(I140,'Option Tables'!$B$23:$F$26,3)))+(H138*(VLOOKUP(I140,'Option Tables'!$B$23:$F$26,4))+(G138*(VLOOKUP(I140,'Option Tables'!$B$23:$F$26,5)))))</f>
        <v>0</v>
      </c>
      <c r="K144" s="355">
        <f>$D144*((K138*(VLOOKUP(I140,'Option Tables'!$B$23:$F$26,2)))+(J138*(VLOOKUP(I140,'Option Tables'!$B$23:$F$26,3)))+(I138*(VLOOKUP(I140,'Option Tables'!$B$23:$F$26,4))+(H138*(VLOOKUP(I140,'Option Tables'!$B$23:$F$26,5)))))</f>
        <v>0</v>
      </c>
      <c r="L144" s="355">
        <f>$D144*((L138*(VLOOKUP(I140,'Option Tables'!$B$23:$F$26,2)))+(K138*(VLOOKUP(I140,'Option Tables'!$B$23:$F$26,3)))+(J138*(VLOOKUP(I140,'Option Tables'!$B$23:$F$26,4))+(I138*(VLOOKUP(I140,'Option Tables'!$B$23:$F$26,5)))))</f>
        <v>0</v>
      </c>
      <c r="M144" s="355">
        <f>$D144*((M138*(VLOOKUP(I140,'Option Tables'!$B$23:$F$26,2)))+(L138*(VLOOKUP(I140,'Option Tables'!$B$23:$F$26,3)))+(K138*(VLOOKUP(I140,'Option Tables'!$B$23:$F$26,4))+(J138*(VLOOKUP(I140,'Option Tables'!$B$23:$F$26,5)))))</f>
        <v>0</v>
      </c>
      <c r="N144" s="355">
        <f>$D144*((N138*(VLOOKUP(I140,'Option Tables'!$B$23:$F$26,2)))+(M138*(VLOOKUP(I140,'Option Tables'!$B$23:$F$26,3)))+(L138*(VLOOKUP(I140,'Option Tables'!$B$23:$F$26,4))+(K138*(VLOOKUP(I140,'Option Tables'!$B$23:$F$26,5)))))</f>
        <v>0</v>
      </c>
      <c r="O144" s="355">
        <f>$D144*((O138*(VLOOKUP(I140,'Option Tables'!$B$23:$F$26,2)))+(N138*(VLOOKUP(I140,'Option Tables'!$B$23:$F$26,3)))+(M138*(VLOOKUP(I140,'Option Tables'!$B$23:$F$26,4))+(L138*(VLOOKUP(I140,'Option Tables'!$B$23:$F$26,5)))))</f>
        <v>0</v>
      </c>
      <c r="P144" s="465">
        <f>$D144*((P138*(VLOOKUP(I140,'Option Tables'!$B$23:$F$26,2)))+(O138*(VLOOKUP(I140,'Option Tables'!$B$23:$F$26,3)))+(N138*(VLOOKUP(I140,'Option Tables'!$B$23:$F$26,4))+(M138*(VLOOKUP(I140,'Option Tables'!$B$23:$F$26,5)))))</f>
        <v>0</v>
      </c>
      <c r="Q144" s="96"/>
    </row>
    <row r="145" spans="1:18" ht="15.75" customHeight="1" thickBot="1">
      <c r="B145" s="97"/>
      <c r="C145" s="144" t="str">
        <f>IF(D145&lt;&gt;1,"Must equal %100","")</f>
        <v/>
      </c>
      <c r="D145" s="71">
        <f t="shared" ref="D145:P145" si="13">SUM(D141:D144)</f>
        <v>1</v>
      </c>
      <c r="E145" s="466">
        <f t="shared" si="13"/>
        <v>0</v>
      </c>
      <c r="F145" s="466">
        <f t="shared" si="13"/>
        <v>0</v>
      </c>
      <c r="G145" s="466">
        <f t="shared" si="13"/>
        <v>0</v>
      </c>
      <c r="H145" s="466">
        <f t="shared" si="13"/>
        <v>0</v>
      </c>
      <c r="I145" s="466">
        <f t="shared" si="13"/>
        <v>60.169124934308989</v>
      </c>
      <c r="J145" s="466">
        <f t="shared" si="13"/>
        <v>147.52825481465692</v>
      </c>
      <c r="K145" s="466">
        <f t="shared" si="13"/>
        <v>154.76908965993834</v>
      </c>
      <c r="L145" s="466">
        <f t="shared" si="13"/>
        <v>119.62831707270817</v>
      </c>
      <c r="M145" s="466">
        <f t="shared" si="13"/>
        <v>57.447186800204548</v>
      </c>
      <c r="N145" s="466">
        <f t="shared" si="13"/>
        <v>16.245833881674795</v>
      </c>
      <c r="O145" s="466">
        <f t="shared" si="13"/>
        <v>3.1311570247933886</v>
      </c>
      <c r="P145" s="467">
        <f t="shared" si="13"/>
        <v>0</v>
      </c>
      <c r="Q145" s="96"/>
      <c r="R145" s="140"/>
    </row>
    <row r="146" spans="1:18" ht="15.75" customHeight="1" thickBot="1">
      <c r="A146" s="172"/>
      <c r="B146" s="85" t="s">
        <v>315</v>
      </c>
      <c r="C146" s="257" t="str">
        <f>VLOOKUP(B146,NodeList!$D$5:$E$73,2,FALSE)</f>
        <v>AggDiv BR-1</v>
      </c>
      <c r="D146" s="91"/>
      <c r="E146" s="450"/>
      <c r="F146" s="451"/>
      <c r="G146" s="452"/>
      <c r="H146" s="453" t="s">
        <v>54</v>
      </c>
      <c r="I146" s="68">
        <v>33</v>
      </c>
      <c r="J146" s="454"/>
      <c r="K146" s="454"/>
      <c r="L146" s="454"/>
      <c r="M146" s="454"/>
      <c r="N146" s="454"/>
      <c r="O146" s="454"/>
      <c r="P146" s="455"/>
      <c r="Q146" s="96"/>
    </row>
    <row r="147" spans="1:18" ht="15.75" customHeight="1">
      <c r="A147" s="172"/>
      <c r="B147" s="94"/>
      <c r="C147" s="66" t="s">
        <v>57</v>
      </c>
      <c r="D147" s="69"/>
      <c r="E147" s="456">
        <f>VLOOKUP($B146,'Diversion Data'!$B$3:$O$227,3,FALSE)</f>
        <v>0</v>
      </c>
      <c r="F147" s="456">
        <f>VLOOKUP($B146,'Diversion Data'!$B$3:$O$227,4,FALSE)</f>
        <v>0</v>
      </c>
      <c r="G147" s="456">
        <f>VLOOKUP($B146,'Diversion Data'!$B$3:$O$227,5,FALSE)</f>
        <v>0</v>
      </c>
      <c r="H147" s="456">
        <f>VLOOKUP($B146,'Diversion Data'!$B$3:$O$227,6,FALSE)</f>
        <v>0</v>
      </c>
      <c r="I147" s="456">
        <f>VLOOKUP($B146,'Diversion Data'!$B$3:$O$227,7,FALSE)</f>
        <v>183.24374999999998</v>
      </c>
      <c r="J147" s="456">
        <f>VLOOKUP($B146,'Diversion Data'!$B$3:$O$227,8,FALSE)</f>
        <v>418.04500000000007</v>
      </c>
      <c r="K147" s="456">
        <f>VLOOKUP($B146,'Diversion Data'!$B$3:$O$227,9,FALSE)</f>
        <v>337.14875000000001</v>
      </c>
      <c r="L147" s="456">
        <f>VLOOKUP($B146,'Diversion Data'!$B$3:$O$227,10,FALSE)</f>
        <v>116.71</v>
      </c>
      <c r="M147" s="456">
        <f>VLOOKUP($B146,'Diversion Data'!$B$3:$O$227,11,FALSE)</f>
        <v>50.767499999999998</v>
      </c>
      <c r="N147" s="456">
        <f>VLOOKUP($B146,'Diversion Data'!$B$3:$O$227,12,FALSE)</f>
        <v>0</v>
      </c>
      <c r="O147" s="456">
        <f>VLOOKUP($B146,'Diversion Data'!$B$3:$O$227,13,FALSE)</f>
        <v>0</v>
      </c>
      <c r="P147" s="457">
        <f>VLOOKUP($B146,'Diversion Data'!$B$3:$O$227,14,FALSE)</f>
        <v>0</v>
      </c>
      <c r="Q147" s="96"/>
    </row>
    <row r="148" spans="1:18" ht="15.75" customHeight="1">
      <c r="A148" s="172"/>
      <c r="B148" s="95"/>
      <c r="C148" s="72" t="s">
        <v>56</v>
      </c>
      <c r="D148" s="70"/>
      <c r="E148" s="458">
        <f>VLOOKUP($I146,'Option Tables'!$B$3:$N$19,2,FALSE)*E147</f>
        <v>0</v>
      </c>
      <c r="F148" s="458">
        <f>VLOOKUP($I146,'Option Tables'!$B$3:$N$19,3,FALSE)*F147</f>
        <v>0</v>
      </c>
      <c r="G148" s="458">
        <f>VLOOKUP($I146,'Option Tables'!$B$3:$N$19,4,FALSE)*G147</f>
        <v>0</v>
      </c>
      <c r="H148" s="458">
        <f>VLOOKUP($I146,'Option Tables'!$B$3:$N$19,5,FALSE)*H147</f>
        <v>0</v>
      </c>
      <c r="I148" s="458">
        <f>VLOOKUP($I146,'Option Tables'!$B$3:$N$19,6,FALSE)*I147</f>
        <v>120.94087499999999</v>
      </c>
      <c r="J148" s="458">
        <f>VLOOKUP($I146,'Option Tables'!$B$3:$N$19,7,FALSE)*J147</f>
        <v>275.90970000000004</v>
      </c>
      <c r="K148" s="458">
        <f>VLOOKUP($I146,'Option Tables'!$B$3:$N$19,8,FALSE)*K147</f>
        <v>222.51817500000001</v>
      </c>
      <c r="L148" s="458">
        <f>VLOOKUP($I146,'Option Tables'!$B$3:$N$19,9,FALSE)*L147</f>
        <v>77.028599999999997</v>
      </c>
      <c r="M148" s="458">
        <f>VLOOKUP($I146,'Option Tables'!$B$3:$N$19,10,FALSE)*M147</f>
        <v>33.506549999999997</v>
      </c>
      <c r="N148" s="458">
        <f>VLOOKUP($I146,'Option Tables'!$B$3:$N$19,11,FALSE)*N147</f>
        <v>0</v>
      </c>
      <c r="O148" s="458">
        <f>VLOOKUP($I146,'Option Tables'!$B$3:$N$19,12,FALSE)*O147</f>
        <v>0</v>
      </c>
      <c r="P148" s="459">
        <f>VLOOKUP($I146,'Option Tables'!$B$3:$N$19,13,FALSE)*P147</f>
        <v>0</v>
      </c>
      <c r="Q148" s="96"/>
    </row>
    <row r="149" spans="1:18" ht="15.75" customHeight="1" thickBot="1">
      <c r="A149" s="172"/>
      <c r="B149" s="95"/>
      <c r="C149" s="66"/>
      <c r="D149" s="62"/>
      <c r="E149" s="355"/>
      <c r="F149" s="355"/>
      <c r="G149" s="355"/>
      <c r="H149" s="355"/>
      <c r="I149" s="355"/>
      <c r="J149" s="355"/>
      <c r="K149" s="355"/>
      <c r="L149" s="355"/>
      <c r="M149" s="460"/>
      <c r="N149" s="460"/>
      <c r="O149" s="460"/>
      <c r="P149" s="461"/>
      <c r="Q149" s="96"/>
    </row>
    <row r="150" spans="1:18" ht="15.75" customHeight="1" thickBot="1">
      <c r="A150" s="172"/>
      <c r="B150" s="254" t="s">
        <v>73</v>
      </c>
      <c r="C150" s="105" t="s">
        <v>73</v>
      </c>
      <c r="D150" s="105" t="s">
        <v>74</v>
      </c>
      <c r="E150" s="462"/>
      <c r="F150" s="463"/>
      <c r="G150" s="464"/>
      <c r="H150" s="464" t="s">
        <v>55</v>
      </c>
      <c r="I150" s="68">
        <v>2</v>
      </c>
      <c r="J150" s="460"/>
      <c r="K150" s="460"/>
      <c r="L150" s="460"/>
      <c r="M150" s="460"/>
      <c r="N150" s="460"/>
      <c r="O150" s="460"/>
      <c r="P150" s="461"/>
      <c r="Q150" s="96"/>
    </row>
    <row r="151" spans="1:18" ht="15.75" customHeight="1">
      <c r="A151" s="172"/>
      <c r="B151" s="671" t="str">
        <f>"("&amp;VLOOKUP(C151,NodeList!$D$5:$E$68,2,FALSE)&amp;")"</f>
        <v>(Confluence Sulphur Creek / Bear River)</v>
      </c>
      <c r="C151" s="256" t="s">
        <v>79</v>
      </c>
      <c r="D151" s="388">
        <v>1</v>
      </c>
      <c r="E151" s="355">
        <f>$D151*((E148*(VLOOKUP(I150,'Option Tables'!$B$23:$F$26,2)))+(P148*(VLOOKUP(I150,'Option Tables'!$B$23:$F$26,3)))+(O148*(VLOOKUP(I150,'Option Tables'!$B$23:$F$26,4))+(N148*(VLOOKUP(I150,'Option Tables'!$B$23:$F$26,5)))))</f>
        <v>0</v>
      </c>
      <c r="F151" s="355">
        <f>$D151*((F148*(VLOOKUP(I150,'Option Tables'!$B$23:$F$26,2)))+(E148*(VLOOKUP(I150,'Option Tables'!$B$23:$F$26,3)))+(P148*(VLOOKUP(I150,'Option Tables'!$B$23:$F$26,4))+(O148*(VLOOKUP(I150,'Option Tables'!$B$23:$F$26,5)))))</f>
        <v>0</v>
      </c>
      <c r="G151" s="355">
        <f>$D151*((G148*(VLOOKUP(I150,'Option Tables'!$B$23:$F$26,2)))+(F148*(VLOOKUP(I150,'Option Tables'!$B$23:$F$26,3)))+(E148*(VLOOKUP(I150,'Option Tables'!$B$23:$F$26,4))+(P148*(VLOOKUP(I150,'Option Tables'!$B$23:$F$26,5)))))</f>
        <v>0</v>
      </c>
      <c r="H151" s="355">
        <f>$D151*((H148*(VLOOKUP(I150,'Option Tables'!$B$23:$F$26,2)))+(G148*(VLOOKUP(I150,'Option Tables'!$B$23:$F$26,3)))+(F148*(VLOOKUP(I150,'Option Tables'!$B$23:$F$26,4))+(E148*(VLOOKUP(I150,'Option Tables'!$B$23:$F$26,5)))))</f>
        <v>0</v>
      </c>
      <c r="I151" s="355">
        <f>$D151*((I148*(VLOOKUP(I150,'Option Tables'!$B$23:$F$26,2)))+(H148*(VLOOKUP(I150,'Option Tables'!$B$23:$F$26,3)))+(G148*(VLOOKUP(I150,'Option Tables'!$B$23:$F$26,4))+(F148*(VLOOKUP(I150,'Option Tables'!$B$23:$F$26,5)))))</f>
        <v>84.65861249999999</v>
      </c>
      <c r="J151" s="355">
        <f>$D151*((J148*(VLOOKUP(I150,'Option Tables'!$B$23:$F$26,2)))+(I148*(VLOOKUP(I150,'Option Tables'!$B$23:$F$26,3)))+(H148*(VLOOKUP(I150,'Option Tables'!$B$23:$F$26,4))+(G148*(VLOOKUP(I150,'Option Tables'!$B$23:$F$26,5)))))</f>
        <v>217.32496500000002</v>
      </c>
      <c r="K151" s="355">
        <f>$D151*((K148*(VLOOKUP(I150,'Option Tables'!$B$23:$F$26,2)))+(J148*(VLOOKUP(I150,'Option Tables'!$B$23:$F$26,3)))+(I148*(VLOOKUP(I150,'Option Tables'!$B$23:$F$26,4))+(H148*(VLOOKUP(I150,'Option Tables'!$B$23:$F$26,5)))))</f>
        <v>223.03874999999999</v>
      </c>
      <c r="L151" s="355">
        <f>$D151*((L148*(VLOOKUP(I150,'Option Tables'!$B$23:$F$26,2)))+(K148*(VLOOKUP(I150,'Option Tables'!$B$23:$F$26,3)))+(J148*(VLOOKUP(I150,'Option Tables'!$B$23:$F$26,4))+(I148*(VLOOKUP(I150,'Option Tables'!$B$23:$F$26,5)))))</f>
        <v>126.014625</v>
      </c>
      <c r="M151" s="355">
        <f>$D151*((M148*(VLOOKUP(I150,'Option Tables'!$B$23:$F$26,2)))+(L148*(VLOOKUP(I150,'Option Tables'!$B$23:$F$26,3)))+(K148*(VLOOKUP(I150,'Option Tables'!$B$23:$F$26,4))+(J148*(VLOOKUP(I150,'Option Tables'!$B$23:$F$26,5)))))</f>
        <v>61.112122499999998</v>
      </c>
      <c r="N151" s="355">
        <f>$D151*((N148*(VLOOKUP(I150,'Option Tables'!$B$23:$F$26,2)))+(M148*(VLOOKUP(I150,'Option Tables'!$B$23:$F$26,3)))+(L148*(VLOOKUP(I150,'Option Tables'!$B$23:$F$26,4))+(K148*(VLOOKUP(I150,'Option Tables'!$B$23:$F$26,5)))))</f>
        <v>14.404170000000001</v>
      </c>
      <c r="O151" s="355">
        <f>$D151*((O148*(VLOOKUP(I150,'Option Tables'!$B$23:$F$26,2)))+(N148*(VLOOKUP(I150,'Option Tables'!$B$23:$F$26,3)))+(M148*(VLOOKUP(I150,'Option Tables'!$B$23:$F$26,4))+(L148*(VLOOKUP(I150,'Option Tables'!$B$23:$F$26,5)))))</f>
        <v>3.3506549999999997</v>
      </c>
      <c r="P151" s="465">
        <f>$D151*((P148*(VLOOKUP(I150,'Option Tables'!$B$23:$F$26,2)))+(O148*(VLOOKUP(I150,'Option Tables'!$B$23:$F$26,3)))+(N148*(VLOOKUP(I150,'Option Tables'!$B$23:$F$26,4))+(M148*(VLOOKUP(I150,'Option Tables'!$B$23:$F$26,5)))))</f>
        <v>0</v>
      </c>
      <c r="Q151" s="96"/>
    </row>
    <row r="152" spans="1:18" ht="15.75" customHeight="1">
      <c r="A152" s="172"/>
      <c r="B152" s="671"/>
      <c r="C152" s="256"/>
      <c r="D152" s="388">
        <v>0</v>
      </c>
      <c r="E152" s="355">
        <f>$D152*((E148*(VLOOKUP(I150,'Option Tables'!$B$23:$F$26,2)))+(P148*(VLOOKUP(I150,'Option Tables'!$B$23:$F$26,3)))+(O148*(VLOOKUP(I150,'Option Tables'!$B$23:$F$26,4))+(N148*(VLOOKUP(I150,'Option Tables'!$B$23:$F$26,5)))))</f>
        <v>0</v>
      </c>
      <c r="F152" s="355">
        <f>$D152*((F148*(VLOOKUP(I150,'Option Tables'!$B$23:$F$26,2)))+(E148*(VLOOKUP(I150,'Option Tables'!$B$23:$F$26,3)))+(P148*(VLOOKUP(I150,'Option Tables'!$B$23:$F$26,4))+(O148*(VLOOKUP(I150,'Option Tables'!$B$23:$F$26,5)))))</f>
        <v>0</v>
      </c>
      <c r="G152" s="355">
        <f>$D152*((G148*(VLOOKUP(I150,'Option Tables'!$B$23:$F$26,2)))+(F148*(VLOOKUP(I150,'Option Tables'!$B$23:$F$26,3)))+(E148*(VLOOKUP(I150,'Option Tables'!$B$23:$F$26,4))+(P148*(VLOOKUP(I150,'Option Tables'!$B$23:$F$26,5)))))</f>
        <v>0</v>
      </c>
      <c r="H152" s="355">
        <f>$D152*((H148*(VLOOKUP(I150,'Option Tables'!$B$23:$F$26,2)))+(G148*(VLOOKUP(I150,'Option Tables'!$B$23:$F$26,3)))+(F148*(VLOOKUP(I150,'Option Tables'!$B$23:$F$26,4))+(E148*(VLOOKUP(I150,'Option Tables'!$B$23:$F$26,5)))))</f>
        <v>0</v>
      </c>
      <c r="I152" s="355">
        <f>$D152*((I148*(VLOOKUP(I150,'Option Tables'!$B$23:$F$26,2)))+(H148*(VLOOKUP(I150,'Option Tables'!$B$23:$F$26,3)))+(G148*(VLOOKUP(I150,'Option Tables'!$B$23:$F$26,4))+(F148*(VLOOKUP(I150,'Option Tables'!$B$23:$F$26,5)))))</f>
        <v>0</v>
      </c>
      <c r="J152" s="355">
        <f>$D152*((J148*(VLOOKUP(I150,'Option Tables'!$B$23:$F$26,2)))+(I148*(VLOOKUP(I150,'Option Tables'!$B$23:$F$26,3)))+(H148*(VLOOKUP(I150,'Option Tables'!$B$23:$F$26,4))+(G148*(VLOOKUP(I150,'Option Tables'!$B$23:$F$26,5)))))</f>
        <v>0</v>
      </c>
      <c r="K152" s="355">
        <f>$D152*((K148*(VLOOKUP(I150,'Option Tables'!$B$23:$F$26,2)))+(J148*(VLOOKUP(I150,'Option Tables'!$B$23:$F$26,3)))+(I148*(VLOOKUP(I150,'Option Tables'!$B$23:$F$26,4))+(H148*(VLOOKUP(I150,'Option Tables'!$B$23:$F$26,5)))))</f>
        <v>0</v>
      </c>
      <c r="L152" s="355">
        <f>$D152*((L148*(VLOOKUP(I150,'Option Tables'!$B$23:$F$26,2)))+(K148*(VLOOKUP(I150,'Option Tables'!$B$23:$F$26,3)))+(J148*(VLOOKUP(I150,'Option Tables'!$B$23:$F$26,4))+(I148*(VLOOKUP(I150,'Option Tables'!$B$23:$F$26,5)))))</f>
        <v>0</v>
      </c>
      <c r="M152" s="355">
        <f>$D152*((M148*(VLOOKUP(I150,'Option Tables'!$B$23:$F$26,2)))+(L148*(VLOOKUP(I150,'Option Tables'!$B$23:$F$26,3)))+(K148*(VLOOKUP(I150,'Option Tables'!$B$23:$F$26,4))+(J148*(VLOOKUP(I150,'Option Tables'!$B$23:$F$26,5)))))</f>
        <v>0</v>
      </c>
      <c r="N152" s="355">
        <f>$D152*((N148*(VLOOKUP(I150,'Option Tables'!$B$23:$F$26,2)))+(M148*(VLOOKUP(I150,'Option Tables'!$B$23:$F$26,3)))+(L148*(VLOOKUP(I150,'Option Tables'!$B$23:$F$26,4))+(K148*(VLOOKUP(I150,'Option Tables'!$B$23:$F$26,5)))))</f>
        <v>0</v>
      </c>
      <c r="O152" s="355">
        <f>$D152*((O148*(VLOOKUP(I150,'Option Tables'!$B$23:$F$26,2)))+(N148*(VLOOKUP(I150,'Option Tables'!$B$23:$F$26,3)))+(M148*(VLOOKUP(I150,'Option Tables'!$B$23:$F$26,4))+(L148*(VLOOKUP(I150,'Option Tables'!$B$23:$F$26,5)))))</f>
        <v>0</v>
      </c>
      <c r="P152" s="465">
        <f>$D152*((P148*(VLOOKUP(I150,'Option Tables'!$B$23:$F$26,2)))+(O148*(VLOOKUP(I150,'Option Tables'!$B$23:$F$26,3)))+(N148*(VLOOKUP(I150,'Option Tables'!$B$23:$F$26,4))+(M148*(VLOOKUP(I150,'Option Tables'!$B$23:$F$26,5)))))</f>
        <v>0</v>
      </c>
      <c r="Q152" s="96"/>
    </row>
    <row r="153" spans="1:18" ht="15.75" customHeight="1">
      <c r="A153" s="172"/>
      <c r="B153" s="95"/>
      <c r="C153" s="256"/>
      <c r="D153" s="388">
        <v>0</v>
      </c>
      <c r="E153" s="355">
        <f>$D153*((E148*(VLOOKUP(I150,'Option Tables'!$B$23:$F$26,2)))+(P148*(VLOOKUP(I150,'Option Tables'!$B$23:$F$26,3)))+(O148*(VLOOKUP(I150,'Option Tables'!$B$23:$F$26,4))+(N148*(VLOOKUP(I150,'Option Tables'!$B$23:$F$26,5)))))</f>
        <v>0</v>
      </c>
      <c r="F153" s="355">
        <f>$D153*((F148*(VLOOKUP(I150,'Option Tables'!$B$23:$F$26,2)))+(E148*(VLOOKUP(I150,'Option Tables'!$B$23:$F$26,3)))+(P148*(VLOOKUP(I150,'Option Tables'!$B$23:$F$26,4))+(O148*(VLOOKUP(I150,'Option Tables'!$B$23:$F$26,5)))))</f>
        <v>0</v>
      </c>
      <c r="G153" s="355">
        <f>$D153*((G148*(VLOOKUP(I150,'Option Tables'!$B$23:$F$26,2)))+(F148*(VLOOKUP(I150,'Option Tables'!$B$23:$F$26,3)))+(E148*(VLOOKUP(I150,'Option Tables'!$B$23:$F$26,4))+(P148*(VLOOKUP(I150,'Option Tables'!$B$23:$F$26,5)))))</f>
        <v>0</v>
      </c>
      <c r="H153" s="355">
        <f>$D153*((H148*(VLOOKUP(I150,'Option Tables'!$B$23:$F$26,2)))+(G148*(VLOOKUP(I150,'Option Tables'!$B$23:$F$26,3)))+(F148*(VLOOKUP(I150,'Option Tables'!$B$23:$F$26,4))+(E148*(VLOOKUP(I150,'Option Tables'!$B$23:$F$26,5)))))</f>
        <v>0</v>
      </c>
      <c r="I153" s="355">
        <f>$D153*((I148*(VLOOKUP(I150,'Option Tables'!$B$23:$F$26,2)))+(H148*(VLOOKUP(I150,'Option Tables'!$B$23:$F$26,3)))+(G148*(VLOOKUP(I150,'Option Tables'!$B$23:$F$26,4))+(F148*(VLOOKUP(I150,'Option Tables'!$B$23:$F$26,5)))))</f>
        <v>0</v>
      </c>
      <c r="J153" s="355">
        <f>$D153*((J148*(VLOOKUP(I150,'Option Tables'!$B$23:$F$26,2)))+(I148*(VLOOKUP(I150,'Option Tables'!$B$23:$F$26,3)))+(H148*(VLOOKUP(I150,'Option Tables'!$B$23:$F$26,4))+(G148*(VLOOKUP(I150,'Option Tables'!$B$23:$F$26,5)))))</f>
        <v>0</v>
      </c>
      <c r="K153" s="355">
        <f>$D153*((K148*(VLOOKUP(I150,'Option Tables'!$B$23:$F$26,2)))+(J148*(VLOOKUP(I150,'Option Tables'!$B$23:$F$26,3)))+(I148*(VLOOKUP(I150,'Option Tables'!$B$23:$F$26,4))+(H148*(VLOOKUP(I150,'Option Tables'!$B$23:$F$26,5)))))</f>
        <v>0</v>
      </c>
      <c r="L153" s="355">
        <f>$D153*((L148*(VLOOKUP(I150,'Option Tables'!$B$23:$F$26,2)))+(K148*(VLOOKUP(I150,'Option Tables'!$B$23:$F$26,3)))+(J148*(VLOOKUP(I150,'Option Tables'!$B$23:$F$26,4))+(I148*(VLOOKUP(I150,'Option Tables'!$B$23:$F$26,5)))))</f>
        <v>0</v>
      </c>
      <c r="M153" s="355">
        <f>$D153*((M148*(VLOOKUP(I150,'Option Tables'!$B$23:$F$26,2)))+(L148*(VLOOKUP(I150,'Option Tables'!$B$23:$F$26,3)))+(K148*(VLOOKUP(I150,'Option Tables'!$B$23:$F$26,4))+(J148*(VLOOKUP(I150,'Option Tables'!$B$23:$F$26,5)))))</f>
        <v>0</v>
      </c>
      <c r="N153" s="355">
        <f>$D153*((N148*(VLOOKUP(I150,'Option Tables'!$B$23:$F$26,2)))+(M148*(VLOOKUP(I150,'Option Tables'!$B$23:$F$26,3)))+(L148*(VLOOKUP(I150,'Option Tables'!$B$23:$F$26,4))+(K148*(VLOOKUP(I150,'Option Tables'!$B$23:$F$26,5)))))</f>
        <v>0</v>
      </c>
      <c r="O153" s="355">
        <f>$D153*((O148*(VLOOKUP(I150,'Option Tables'!$B$23:$F$26,2)))+(N148*(VLOOKUP(I150,'Option Tables'!$B$23:$F$26,3)))+(M148*(VLOOKUP(I150,'Option Tables'!$B$23:$F$26,4))+(L148*(VLOOKUP(I150,'Option Tables'!$B$23:$F$26,5)))))</f>
        <v>0</v>
      </c>
      <c r="P153" s="465">
        <f>$D153*((P148*(VLOOKUP(I150,'Option Tables'!$B$23:$F$26,2)))+(O148*(VLOOKUP(I150,'Option Tables'!$B$23:$F$26,3)))+(N148*(VLOOKUP(I150,'Option Tables'!$B$23:$F$26,4))+(M148*(VLOOKUP(I150,'Option Tables'!$B$23:$F$26,5)))))</f>
        <v>0</v>
      </c>
      <c r="Q153" s="96"/>
    </row>
    <row r="154" spans="1:18" ht="15.75" customHeight="1">
      <c r="A154" s="172"/>
      <c r="B154" s="95"/>
      <c r="C154" s="256"/>
      <c r="D154" s="388">
        <v>0</v>
      </c>
      <c r="E154" s="355">
        <f>$D154*((E148*(VLOOKUP(I150,'Option Tables'!$B$23:$F$26,2)))+(P148*(VLOOKUP(I150,'Option Tables'!$B$23:$F$26,3)))+(O148*(VLOOKUP(I150,'Option Tables'!$B$23:$F$26,4))+(N148*(VLOOKUP(I150,'Option Tables'!$B$23:$F$26,5)))))</f>
        <v>0</v>
      </c>
      <c r="F154" s="355">
        <f>$D154*((F148*(VLOOKUP(I150,'Option Tables'!$B$23:$F$26,2)))+(E148*(VLOOKUP(I150,'Option Tables'!$B$23:$F$26,3)))+(P148*(VLOOKUP(I150,'Option Tables'!$B$23:$F$26,4))+(O148*(VLOOKUP(I150,'Option Tables'!$B$23:$F$26,5)))))</f>
        <v>0</v>
      </c>
      <c r="G154" s="355">
        <f>$D154*((G148*(VLOOKUP(I150,'Option Tables'!$B$23:$F$26,2)))+(F148*(VLOOKUP(I150,'Option Tables'!$B$23:$F$26,3)))+(E148*(VLOOKUP(I150,'Option Tables'!$B$23:$F$26,4))+(P148*(VLOOKUP(I150,'Option Tables'!$B$23:$F$26,5)))))</f>
        <v>0</v>
      </c>
      <c r="H154" s="355">
        <f>$D154*((H148*(VLOOKUP(I150,'Option Tables'!$B$23:$F$26,2)))+(G148*(VLOOKUP(I150,'Option Tables'!$B$23:$F$26,3)))+(F148*(VLOOKUP(I150,'Option Tables'!$B$23:$F$26,4))+(E148*(VLOOKUP(I150,'Option Tables'!$B$23:$F$26,5)))))</f>
        <v>0</v>
      </c>
      <c r="I154" s="355">
        <f>$D154*((I148*(VLOOKUP(I150,'Option Tables'!$B$23:$F$26,2)))+(H148*(VLOOKUP(I150,'Option Tables'!$B$23:$F$26,3)))+(G148*(VLOOKUP(I150,'Option Tables'!$B$23:$F$26,4))+(F148*(VLOOKUP(I150,'Option Tables'!$B$23:$F$26,5)))))</f>
        <v>0</v>
      </c>
      <c r="J154" s="355">
        <f>$D154*((J148*(VLOOKUP(I150,'Option Tables'!$B$23:$F$26,2)))+(I148*(VLOOKUP(I150,'Option Tables'!$B$23:$F$26,3)))+(H148*(VLOOKUP(I150,'Option Tables'!$B$23:$F$26,4))+(G148*(VLOOKUP(I150,'Option Tables'!$B$23:$F$26,5)))))</f>
        <v>0</v>
      </c>
      <c r="K154" s="355">
        <f>$D154*((K148*(VLOOKUP(I150,'Option Tables'!$B$23:$F$26,2)))+(J148*(VLOOKUP(I150,'Option Tables'!$B$23:$F$26,3)))+(I148*(VLOOKUP(I150,'Option Tables'!$B$23:$F$26,4))+(H148*(VLOOKUP(I150,'Option Tables'!$B$23:$F$26,5)))))</f>
        <v>0</v>
      </c>
      <c r="L154" s="355">
        <f>$D154*((L148*(VLOOKUP(I150,'Option Tables'!$B$23:$F$26,2)))+(K148*(VLOOKUP(I150,'Option Tables'!$B$23:$F$26,3)))+(J148*(VLOOKUP(I150,'Option Tables'!$B$23:$F$26,4))+(I148*(VLOOKUP(I150,'Option Tables'!$B$23:$F$26,5)))))</f>
        <v>0</v>
      </c>
      <c r="M154" s="355">
        <f>$D154*((M148*(VLOOKUP(I150,'Option Tables'!$B$23:$F$26,2)))+(L148*(VLOOKUP(I150,'Option Tables'!$B$23:$F$26,3)))+(K148*(VLOOKUP(I150,'Option Tables'!$B$23:$F$26,4))+(J148*(VLOOKUP(I150,'Option Tables'!$B$23:$F$26,5)))))</f>
        <v>0</v>
      </c>
      <c r="N154" s="355">
        <f>$D154*((N148*(VLOOKUP(I150,'Option Tables'!$B$23:$F$26,2)))+(M148*(VLOOKUP(I150,'Option Tables'!$B$23:$F$26,3)))+(L148*(VLOOKUP(I150,'Option Tables'!$B$23:$F$26,4))+(K148*(VLOOKUP(I150,'Option Tables'!$B$23:$F$26,5)))))</f>
        <v>0</v>
      </c>
      <c r="O154" s="355">
        <f>$D154*((O148*(VLOOKUP(I150,'Option Tables'!$B$23:$F$26,2)))+(N148*(VLOOKUP(I150,'Option Tables'!$B$23:$F$26,3)))+(M148*(VLOOKUP(I150,'Option Tables'!$B$23:$F$26,4))+(L148*(VLOOKUP(I150,'Option Tables'!$B$23:$F$26,5)))))</f>
        <v>0</v>
      </c>
      <c r="P154" s="465">
        <f>$D154*((P148*(VLOOKUP(I150,'Option Tables'!$B$23:$F$26,2)))+(O148*(VLOOKUP(I150,'Option Tables'!$B$23:$F$26,3)))+(N148*(VLOOKUP(I150,'Option Tables'!$B$23:$F$26,4))+(M148*(VLOOKUP(I150,'Option Tables'!$B$23:$F$26,5)))))</f>
        <v>0</v>
      </c>
      <c r="Q154" s="96"/>
    </row>
    <row r="155" spans="1:18" ht="15.75" customHeight="1" thickBot="1">
      <c r="A155" s="172"/>
      <c r="B155" s="97"/>
      <c r="C155" s="144" t="str">
        <f>IF(D155&lt;&gt;1,"Must equal %100","")</f>
        <v/>
      </c>
      <c r="D155" s="71">
        <f t="shared" ref="D155:P155" si="14">SUM(D151:D154)</f>
        <v>1</v>
      </c>
      <c r="E155" s="466">
        <f t="shared" si="14"/>
        <v>0</v>
      </c>
      <c r="F155" s="466">
        <f t="shared" si="14"/>
        <v>0</v>
      </c>
      <c r="G155" s="466">
        <f t="shared" si="14"/>
        <v>0</v>
      </c>
      <c r="H155" s="466">
        <f t="shared" si="14"/>
        <v>0</v>
      </c>
      <c r="I155" s="466">
        <f t="shared" si="14"/>
        <v>84.65861249999999</v>
      </c>
      <c r="J155" s="466">
        <f t="shared" si="14"/>
        <v>217.32496500000002</v>
      </c>
      <c r="K155" s="466">
        <f t="shared" si="14"/>
        <v>223.03874999999999</v>
      </c>
      <c r="L155" s="466">
        <f t="shared" si="14"/>
        <v>126.014625</v>
      </c>
      <c r="M155" s="466">
        <f t="shared" si="14"/>
        <v>61.112122499999998</v>
      </c>
      <c r="N155" s="466">
        <f t="shared" si="14"/>
        <v>14.404170000000001</v>
      </c>
      <c r="O155" s="466">
        <f t="shared" si="14"/>
        <v>3.3506549999999997</v>
      </c>
      <c r="P155" s="467">
        <f t="shared" si="14"/>
        <v>0</v>
      </c>
      <c r="Q155" s="96"/>
      <c r="R155" s="140"/>
    </row>
    <row r="156" spans="1:18" ht="15.75" customHeight="1" thickBot="1">
      <c r="A156" s="142" t="s">
        <v>256</v>
      </c>
      <c r="B156" s="95"/>
      <c r="C156" s="205"/>
      <c r="D156" s="98"/>
      <c r="E156" s="355"/>
      <c r="F156" s="358"/>
      <c r="G156" s="358"/>
      <c r="H156" s="358"/>
      <c r="I156" s="358"/>
      <c r="J156" s="355"/>
      <c r="K156" s="355"/>
      <c r="L156" s="355"/>
      <c r="M156" s="355"/>
      <c r="N156" s="355"/>
      <c r="O156" s="355"/>
      <c r="P156" s="465"/>
      <c r="Q156" s="96"/>
      <c r="R156"/>
    </row>
    <row r="157" spans="1:18" ht="15.75" customHeight="1" thickBot="1">
      <c r="B157" s="85" t="s">
        <v>77</v>
      </c>
      <c r="C157" s="284" t="str">
        <f>VLOOKUP(B157,NodeList!$D$5:$E$73,2,FALSE)</f>
        <v>USGS 10015700:  Sulphur Cr. ab Res.Bl.La Chapelle Cr.Nr.Evanston,WY</v>
      </c>
      <c r="D157" s="91"/>
      <c r="E157" s="450"/>
      <c r="F157" s="451"/>
      <c r="G157" s="452"/>
      <c r="H157" s="453" t="s">
        <v>54</v>
      </c>
      <c r="I157" s="68">
        <v>20</v>
      </c>
      <c r="J157" s="454"/>
      <c r="K157" s="454"/>
      <c r="L157" s="454"/>
      <c r="M157" s="454"/>
      <c r="N157" s="454"/>
      <c r="O157" s="454"/>
      <c r="P157" s="455"/>
      <c r="Q157" s="96"/>
      <c r="R157"/>
    </row>
    <row r="158" spans="1:18" ht="15.75" customHeight="1">
      <c r="B158" s="94"/>
      <c r="C158" s="66" t="s">
        <v>57</v>
      </c>
      <c r="D158" s="69"/>
      <c r="E158" s="456">
        <f>VLOOKUP($B157,'Diversion Data'!$B$3:$O$227,3,FALSE)</f>
        <v>0</v>
      </c>
      <c r="F158" s="456">
        <f>VLOOKUP($B157,'Diversion Data'!$B$3:$O$227,4,FALSE)</f>
        <v>0</v>
      </c>
      <c r="G158" s="456">
        <f>VLOOKUP($B157,'Diversion Data'!$B$3:$O$227,5,FALSE)</f>
        <v>0</v>
      </c>
      <c r="H158" s="456">
        <f>VLOOKUP($B157,'Diversion Data'!$B$3:$O$227,6,FALSE)</f>
        <v>0</v>
      </c>
      <c r="I158" s="456">
        <f>VLOOKUP($B157,'Diversion Data'!$B$3:$O$227,7,FALSE)</f>
        <v>0</v>
      </c>
      <c r="J158" s="456">
        <f>VLOOKUP($B157,'Diversion Data'!$B$3:$O$227,8,FALSE)</f>
        <v>0</v>
      </c>
      <c r="K158" s="456">
        <f>VLOOKUP($B157,'Diversion Data'!$B$3:$O$227,9,FALSE)</f>
        <v>0</v>
      </c>
      <c r="L158" s="456">
        <f>VLOOKUP($B157,'Diversion Data'!$B$3:$O$227,10,FALSE)</f>
        <v>0</v>
      </c>
      <c r="M158" s="456">
        <f>VLOOKUP($B157,'Diversion Data'!$B$3:$O$227,11,FALSE)</f>
        <v>0</v>
      </c>
      <c r="N158" s="456">
        <f>VLOOKUP($B157,'Diversion Data'!$B$3:$O$227,12,FALSE)</f>
        <v>0</v>
      </c>
      <c r="O158" s="456">
        <f>VLOOKUP($B157,'Diversion Data'!$B$3:$O$227,13,FALSE)</f>
        <v>0</v>
      </c>
      <c r="P158" s="457">
        <f>VLOOKUP($B157,'Diversion Data'!$B$3:$O$227,14,FALSE)</f>
        <v>0</v>
      </c>
      <c r="Q158" s="96"/>
      <c r="R158"/>
    </row>
    <row r="159" spans="1:18" ht="15.75" customHeight="1">
      <c r="B159" s="95"/>
      <c r="C159" s="72" t="s">
        <v>56</v>
      </c>
      <c r="D159" s="70"/>
      <c r="E159" s="458">
        <f>VLOOKUP($I157,'Option Tables'!$B$3:$N$19,2,FALSE)*E158</f>
        <v>0</v>
      </c>
      <c r="F159" s="458">
        <f>VLOOKUP($I157,'Option Tables'!$B$3:$N$19,3,FALSE)*F158</f>
        <v>0</v>
      </c>
      <c r="G159" s="458">
        <f>VLOOKUP($I157,'Option Tables'!$B$3:$N$19,4,FALSE)*G158</f>
        <v>0</v>
      </c>
      <c r="H159" s="458">
        <f>VLOOKUP($I157,'Option Tables'!$B$3:$N$19,5,FALSE)*H158</f>
        <v>0</v>
      </c>
      <c r="I159" s="458">
        <f>VLOOKUP($I157,'Option Tables'!$B$3:$N$19,6,FALSE)*I158</f>
        <v>0</v>
      </c>
      <c r="J159" s="458">
        <f>VLOOKUP($I157,'Option Tables'!$B$3:$N$19,7,FALSE)*J158</f>
        <v>0</v>
      </c>
      <c r="K159" s="458">
        <f>VLOOKUP($I157,'Option Tables'!$B$3:$N$19,8,FALSE)*K158</f>
        <v>0</v>
      </c>
      <c r="L159" s="458">
        <f>VLOOKUP($I157,'Option Tables'!$B$3:$N$19,9,FALSE)*L158</f>
        <v>0</v>
      </c>
      <c r="M159" s="458">
        <f>VLOOKUP($I157,'Option Tables'!$B$3:$N$19,10,FALSE)*M158</f>
        <v>0</v>
      </c>
      <c r="N159" s="458">
        <f>VLOOKUP($I157,'Option Tables'!$B$3:$N$19,11,FALSE)*N158</f>
        <v>0</v>
      </c>
      <c r="O159" s="458">
        <f>VLOOKUP($I157,'Option Tables'!$B$3:$N$19,12,FALSE)*O158</f>
        <v>0</v>
      </c>
      <c r="P159" s="459">
        <f>VLOOKUP($I157,'Option Tables'!$B$3:$N$19,13,FALSE)*P158</f>
        <v>0</v>
      </c>
      <c r="Q159" s="96"/>
      <c r="R159"/>
    </row>
    <row r="160" spans="1:18" ht="15.75" customHeight="1" thickBot="1">
      <c r="B160" s="95"/>
      <c r="C160" s="66"/>
      <c r="D160" s="62"/>
      <c r="E160" s="355"/>
      <c r="F160" s="355"/>
      <c r="G160" s="355"/>
      <c r="H160" s="355"/>
      <c r="I160" s="355"/>
      <c r="J160" s="355"/>
      <c r="K160" s="355"/>
      <c r="L160" s="355"/>
      <c r="M160" s="460"/>
      <c r="N160" s="460"/>
      <c r="O160" s="460"/>
      <c r="P160" s="461"/>
      <c r="Q160" s="96"/>
      <c r="R160"/>
    </row>
    <row r="161" spans="2:18" ht="15.75" customHeight="1" thickBot="1">
      <c r="B161" s="258" t="s">
        <v>73</v>
      </c>
      <c r="C161" s="105" t="s">
        <v>73</v>
      </c>
      <c r="D161" s="105" t="s">
        <v>74</v>
      </c>
      <c r="E161" s="462"/>
      <c r="F161" s="463"/>
      <c r="G161" s="464"/>
      <c r="H161" s="464" t="s">
        <v>55</v>
      </c>
      <c r="I161" s="68">
        <v>3</v>
      </c>
      <c r="J161" s="460"/>
      <c r="K161" s="460"/>
      <c r="L161" s="460"/>
      <c r="M161" s="460"/>
      <c r="N161" s="460"/>
      <c r="O161" s="460"/>
      <c r="P161" s="461"/>
      <c r="Q161" s="96"/>
      <c r="R161"/>
    </row>
    <row r="162" spans="2:18" ht="15.75" customHeight="1">
      <c r="B162" s="255" t="str">
        <f>"("&amp;VLOOKUP(C162,NodeList!$D$5:$E$68,2,FALSE)&amp;")"</f>
        <v>(Sulphur Creek Reservoir)</v>
      </c>
      <c r="C162" s="256" t="s">
        <v>161</v>
      </c>
      <c r="D162" s="388">
        <v>1</v>
      </c>
      <c r="E162" s="355">
        <f>$D162*((E159*(VLOOKUP(I161,'Option Tables'!$B$23:$F$26,2)))+(P159*(VLOOKUP(I161,'Option Tables'!$B$23:$F$26,3)))+(O159*(VLOOKUP(I161,'Option Tables'!$B$23:$F$26,4))+(N159*(VLOOKUP(I161,'Option Tables'!$B$23:$F$26,5)))))</f>
        <v>0</v>
      </c>
      <c r="F162" s="355">
        <f>$D162*((F159*(VLOOKUP(I161,'Option Tables'!$B$23:$F$26,2)))+(E159*(VLOOKUP(I161,'Option Tables'!$B$23:$F$26,3)))+(P159*(VLOOKUP(I161,'Option Tables'!$B$23:$F$26,4))+(O159*(VLOOKUP(I161,'Option Tables'!$B$23:$F$26,5)))))</f>
        <v>0</v>
      </c>
      <c r="G162" s="355">
        <f>$D162*((G159*(VLOOKUP(I161,'Option Tables'!$B$23:$F$26,2)))+(F159*(VLOOKUP(I161,'Option Tables'!$B$23:$F$26,3)))+(E159*(VLOOKUP(I161,'Option Tables'!$B$23:$F$26,4))+(P159*(VLOOKUP(I161,'Option Tables'!$B$23:$F$26,5)))))</f>
        <v>0</v>
      </c>
      <c r="H162" s="355">
        <f>$D162*((H159*(VLOOKUP(I161,'Option Tables'!$B$23:$F$26,2)))+(G159*(VLOOKUP(I161,'Option Tables'!$B$23:$F$26,3)))+(F159*(VLOOKUP(I161,'Option Tables'!$B$23:$F$26,4))+(E159*(VLOOKUP(I161,'Option Tables'!$B$23:$F$26,5)))))</f>
        <v>0</v>
      </c>
      <c r="I162" s="355">
        <f>$D162*((I159*(VLOOKUP(I161,'Option Tables'!$B$23:$F$26,2)))+(H159*(VLOOKUP(I161,'Option Tables'!$B$23:$F$26,3)))+(G159*(VLOOKUP(I161,'Option Tables'!$B$23:$F$26,4))+(F159*(VLOOKUP(I161,'Option Tables'!$B$23:$F$26,5)))))</f>
        <v>0</v>
      </c>
      <c r="J162" s="355">
        <f>$D162*((J159*(VLOOKUP(I161,'Option Tables'!$B$23:$F$26,2)))+(I159*(VLOOKUP(I161,'Option Tables'!$B$23:$F$26,3)))+(H159*(VLOOKUP(I161,'Option Tables'!$B$23:$F$26,4))+(G159*(VLOOKUP(I161,'Option Tables'!$B$23:$F$26,5)))))</f>
        <v>0</v>
      </c>
      <c r="K162" s="355">
        <f>$D162*((K159*(VLOOKUP(I161,'Option Tables'!$B$23:$F$26,2)))+(J159*(VLOOKUP(I161,'Option Tables'!$B$23:$F$26,3)))+(I159*(VLOOKUP(I161,'Option Tables'!$B$23:$F$26,4))+(H159*(VLOOKUP(I161,'Option Tables'!$B$23:$F$26,5)))))</f>
        <v>0</v>
      </c>
      <c r="L162" s="355">
        <f>$D162*((L159*(VLOOKUP(I161,'Option Tables'!$B$23:$F$26,2)))+(K159*(VLOOKUP(I161,'Option Tables'!$B$23:$F$26,3)))+(J159*(VLOOKUP(I161,'Option Tables'!$B$23:$F$26,4))+(I159*(VLOOKUP(I161,'Option Tables'!$B$23:$F$26,5)))))</f>
        <v>0</v>
      </c>
      <c r="M162" s="355">
        <f>$D162*((M159*(VLOOKUP(I161,'Option Tables'!$B$23:$F$26,2)))+(L159*(VLOOKUP(I161,'Option Tables'!$B$23:$F$26,3)))+(K159*(VLOOKUP(I161,'Option Tables'!$B$23:$F$26,4))+(J159*(VLOOKUP(I161,'Option Tables'!$B$23:$F$26,5)))))</f>
        <v>0</v>
      </c>
      <c r="N162" s="355">
        <f>$D162*((N159*(VLOOKUP(I161,'Option Tables'!$B$23:$F$26,2)))+(M159*(VLOOKUP(I161,'Option Tables'!$B$23:$F$26,3)))+(L159*(VLOOKUP(I161,'Option Tables'!$B$23:$F$26,4))+(K159*(VLOOKUP(I161,'Option Tables'!$B$23:$F$26,5)))))</f>
        <v>0</v>
      </c>
      <c r="O162" s="355">
        <f>$D162*((O159*(VLOOKUP(I161,'Option Tables'!$B$23:$F$26,2)))+(N159*(VLOOKUP(I161,'Option Tables'!$B$23:$F$26,3)))+(M159*(VLOOKUP(I161,'Option Tables'!$B$23:$F$26,4))+(L159*(VLOOKUP(I161,'Option Tables'!$B$23:$F$26,5)))))</f>
        <v>0</v>
      </c>
      <c r="P162" s="465">
        <f>$D162*((P159*(VLOOKUP(I161,'Option Tables'!$B$23:$F$26,2)))+(O159*(VLOOKUP(I161,'Option Tables'!$B$23:$F$26,3)))+(N159*(VLOOKUP(I161,'Option Tables'!$B$23:$F$26,4))+(M159*(VLOOKUP(I161,'Option Tables'!$B$23:$F$26,5)))))</f>
        <v>0</v>
      </c>
      <c r="Q162" s="96"/>
      <c r="R162"/>
    </row>
    <row r="163" spans="2:18" ht="15.75" customHeight="1">
      <c r="B163" s="95"/>
      <c r="C163" s="256"/>
      <c r="D163" s="388">
        <v>0</v>
      </c>
      <c r="E163" s="355">
        <f>$D163*((E159*(VLOOKUP(I161,'Option Tables'!$B$23:$F$26,2)))+(P159*(VLOOKUP(I161,'Option Tables'!$B$23:$F$26,3)))+(O159*(VLOOKUP(I161,'Option Tables'!$B$23:$F$26,4))+(N159*(VLOOKUP(I161,'Option Tables'!$B$23:$F$26,5)))))</f>
        <v>0</v>
      </c>
      <c r="F163" s="355">
        <f>$D163*((F159*(VLOOKUP(I161,'Option Tables'!$B$23:$F$26,2)))+(E159*(VLOOKUP(I161,'Option Tables'!$B$23:$F$26,3)))+(P159*(VLOOKUP(I161,'Option Tables'!$B$23:$F$26,4))+(O159*(VLOOKUP(I161,'Option Tables'!$B$23:$F$26,5)))))</f>
        <v>0</v>
      </c>
      <c r="G163" s="355">
        <f>$D163*((G159*(VLOOKUP(I161,'Option Tables'!$B$23:$F$26,2)))+(F159*(VLOOKUP(I161,'Option Tables'!$B$23:$F$26,3)))+(E159*(VLOOKUP(I161,'Option Tables'!$B$23:$F$26,4))+(P159*(VLOOKUP(I161,'Option Tables'!$B$23:$F$26,5)))))</f>
        <v>0</v>
      </c>
      <c r="H163" s="355">
        <f>$D163*((H159*(VLOOKUP(I161,'Option Tables'!$B$23:$F$26,2)))+(G159*(VLOOKUP(I161,'Option Tables'!$B$23:$F$26,3)))+(F159*(VLOOKUP(I161,'Option Tables'!$B$23:$F$26,4))+(E159*(VLOOKUP(I161,'Option Tables'!$B$23:$F$26,5)))))</f>
        <v>0</v>
      </c>
      <c r="I163" s="355">
        <f>$D163*((I159*(VLOOKUP(I161,'Option Tables'!$B$23:$F$26,2)))+(H159*(VLOOKUP(I161,'Option Tables'!$B$23:$F$26,3)))+(G159*(VLOOKUP(I161,'Option Tables'!$B$23:$F$26,4))+(F159*(VLOOKUP(I161,'Option Tables'!$B$23:$F$26,5)))))</f>
        <v>0</v>
      </c>
      <c r="J163" s="355">
        <f>$D163*((J159*(VLOOKUP(I161,'Option Tables'!$B$23:$F$26,2)))+(I159*(VLOOKUP(I161,'Option Tables'!$B$23:$F$26,3)))+(H159*(VLOOKUP(I161,'Option Tables'!$B$23:$F$26,4))+(G159*(VLOOKUP(I161,'Option Tables'!$B$23:$F$26,5)))))</f>
        <v>0</v>
      </c>
      <c r="K163" s="355">
        <f>$D163*((K159*(VLOOKUP(I161,'Option Tables'!$B$23:$F$26,2)))+(J159*(VLOOKUP(I161,'Option Tables'!$B$23:$F$26,3)))+(I159*(VLOOKUP(I161,'Option Tables'!$B$23:$F$26,4))+(H159*(VLOOKUP(I161,'Option Tables'!$B$23:$F$26,5)))))</f>
        <v>0</v>
      </c>
      <c r="L163" s="355">
        <f>$D163*((L159*(VLOOKUP(I161,'Option Tables'!$B$23:$F$26,2)))+(K159*(VLOOKUP(I161,'Option Tables'!$B$23:$F$26,3)))+(J159*(VLOOKUP(I161,'Option Tables'!$B$23:$F$26,4))+(I159*(VLOOKUP(I161,'Option Tables'!$B$23:$F$26,5)))))</f>
        <v>0</v>
      </c>
      <c r="M163" s="355">
        <f>$D163*((M159*(VLOOKUP(I161,'Option Tables'!$B$23:$F$26,2)))+(L159*(VLOOKUP(I161,'Option Tables'!$B$23:$F$26,3)))+(K159*(VLOOKUP(I161,'Option Tables'!$B$23:$F$26,4))+(J159*(VLOOKUP(I161,'Option Tables'!$B$23:$F$26,5)))))</f>
        <v>0</v>
      </c>
      <c r="N163" s="355">
        <f>$D163*((N159*(VLOOKUP(I161,'Option Tables'!$B$23:$F$26,2)))+(M159*(VLOOKUP(I161,'Option Tables'!$B$23:$F$26,3)))+(L159*(VLOOKUP(I161,'Option Tables'!$B$23:$F$26,4))+(K159*(VLOOKUP(I161,'Option Tables'!$B$23:$F$26,5)))))</f>
        <v>0</v>
      </c>
      <c r="O163" s="355">
        <f>$D163*((O159*(VLOOKUP(I161,'Option Tables'!$B$23:$F$26,2)))+(N159*(VLOOKUP(I161,'Option Tables'!$B$23:$F$26,3)))+(M159*(VLOOKUP(I161,'Option Tables'!$B$23:$F$26,4))+(L159*(VLOOKUP(I161,'Option Tables'!$B$23:$F$26,5)))))</f>
        <v>0</v>
      </c>
      <c r="P163" s="465">
        <f>$D163*((P159*(VLOOKUP(I161,'Option Tables'!$B$23:$F$26,2)))+(O159*(VLOOKUP(I161,'Option Tables'!$B$23:$F$26,3)))+(N159*(VLOOKUP(I161,'Option Tables'!$B$23:$F$26,4))+(M159*(VLOOKUP(I161,'Option Tables'!$B$23:$F$26,5)))))</f>
        <v>0</v>
      </c>
      <c r="Q163" s="96"/>
      <c r="R163"/>
    </row>
    <row r="164" spans="2:18" ht="15.75" customHeight="1">
      <c r="B164" s="95"/>
      <c r="C164" s="256"/>
      <c r="D164" s="388">
        <v>0</v>
      </c>
      <c r="E164" s="355">
        <f>$D164*((E159*(VLOOKUP(I161,'Option Tables'!$B$23:$F$26,2)))+(P159*(VLOOKUP(I161,'Option Tables'!$B$23:$F$26,3)))+(O159*(VLOOKUP(I161,'Option Tables'!$B$23:$F$26,4))+(N159*(VLOOKUP(I161,'Option Tables'!$B$23:$F$26,5)))))</f>
        <v>0</v>
      </c>
      <c r="F164" s="355">
        <f>$D164*((F159*(VLOOKUP(I161,'Option Tables'!$B$23:$F$26,2)))+(E159*(VLOOKUP(I161,'Option Tables'!$B$23:$F$26,3)))+(P159*(VLOOKUP(I161,'Option Tables'!$B$23:$F$26,4))+(O159*(VLOOKUP(I161,'Option Tables'!$B$23:$F$26,5)))))</f>
        <v>0</v>
      </c>
      <c r="G164" s="355">
        <f>$D164*((G159*(VLOOKUP(I161,'Option Tables'!$B$23:$F$26,2)))+(F159*(VLOOKUP(I161,'Option Tables'!$B$23:$F$26,3)))+(E159*(VLOOKUP(I161,'Option Tables'!$B$23:$F$26,4))+(P159*(VLOOKUP(I161,'Option Tables'!$B$23:$F$26,5)))))</f>
        <v>0</v>
      </c>
      <c r="H164" s="355">
        <f>$D164*((H159*(VLOOKUP(I161,'Option Tables'!$B$23:$F$26,2)))+(G159*(VLOOKUP(I161,'Option Tables'!$B$23:$F$26,3)))+(F159*(VLOOKUP(I161,'Option Tables'!$B$23:$F$26,4))+(E159*(VLOOKUP(I161,'Option Tables'!$B$23:$F$26,5)))))</f>
        <v>0</v>
      </c>
      <c r="I164" s="355">
        <f>$D164*((I159*(VLOOKUP(I161,'Option Tables'!$B$23:$F$26,2)))+(H159*(VLOOKUP(I161,'Option Tables'!$B$23:$F$26,3)))+(G159*(VLOOKUP(I161,'Option Tables'!$B$23:$F$26,4))+(F159*(VLOOKUP(I161,'Option Tables'!$B$23:$F$26,5)))))</f>
        <v>0</v>
      </c>
      <c r="J164" s="355">
        <f>$D164*((J159*(VLOOKUP(I161,'Option Tables'!$B$23:$F$26,2)))+(I159*(VLOOKUP(I161,'Option Tables'!$B$23:$F$26,3)))+(H159*(VLOOKUP(I161,'Option Tables'!$B$23:$F$26,4))+(G159*(VLOOKUP(I161,'Option Tables'!$B$23:$F$26,5)))))</f>
        <v>0</v>
      </c>
      <c r="K164" s="355">
        <f>$D164*((K159*(VLOOKUP(I161,'Option Tables'!$B$23:$F$26,2)))+(J159*(VLOOKUP(I161,'Option Tables'!$B$23:$F$26,3)))+(I159*(VLOOKUP(I161,'Option Tables'!$B$23:$F$26,4))+(H159*(VLOOKUP(I161,'Option Tables'!$B$23:$F$26,5)))))</f>
        <v>0</v>
      </c>
      <c r="L164" s="355">
        <f>$D164*((L159*(VLOOKUP(I161,'Option Tables'!$B$23:$F$26,2)))+(K159*(VLOOKUP(I161,'Option Tables'!$B$23:$F$26,3)))+(J159*(VLOOKUP(I161,'Option Tables'!$B$23:$F$26,4))+(I159*(VLOOKUP(I161,'Option Tables'!$B$23:$F$26,5)))))</f>
        <v>0</v>
      </c>
      <c r="M164" s="355">
        <f>$D164*((M159*(VLOOKUP(I161,'Option Tables'!$B$23:$F$26,2)))+(L159*(VLOOKUP(I161,'Option Tables'!$B$23:$F$26,3)))+(K159*(VLOOKUP(I161,'Option Tables'!$B$23:$F$26,4))+(J159*(VLOOKUP(I161,'Option Tables'!$B$23:$F$26,5)))))</f>
        <v>0</v>
      </c>
      <c r="N164" s="355">
        <f>$D164*((N159*(VLOOKUP(I161,'Option Tables'!$B$23:$F$26,2)))+(M159*(VLOOKUP(I161,'Option Tables'!$B$23:$F$26,3)))+(L159*(VLOOKUP(I161,'Option Tables'!$B$23:$F$26,4))+(K159*(VLOOKUP(I161,'Option Tables'!$B$23:$F$26,5)))))</f>
        <v>0</v>
      </c>
      <c r="O164" s="355">
        <f>$D164*((O159*(VLOOKUP(I161,'Option Tables'!$B$23:$F$26,2)))+(N159*(VLOOKUP(I161,'Option Tables'!$B$23:$F$26,3)))+(M159*(VLOOKUP(I161,'Option Tables'!$B$23:$F$26,4))+(L159*(VLOOKUP(I161,'Option Tables'!$B$23:$F$26,5)))))</f>
        <v>0</v>
      </c>
      <c r="P164" s="465">
        <f>$D164*((P159*(VLOOKUP(I161,'Option Tables'!$B$23:$F$26,2)))+(O159*(VLOOKUP(I161,'Option Tables'!$B$23:$F$26,3)))+(N159*(VLOOKUP(I161,'Option Tables'!$B$23:$F$26,4))+(M159*(VLOOKUP(I161,'Option Tables'!$B$23:$F$26,5)))))</f>
        <v>0</v>
      </c>
      <c r="Q164" s="96"/>
      <c r="R164"/>
    </row>
    <row r="165" spans="2:18" ht="15.75" customHeight="1">
      <c r="B165" s="95"/>
      <c r="C165" s="256"/>
      <c r="D165" s="388">
        <v>0</v>
      </c>
      <c r="E165" s="355">
        <f>$D165*((E159*(VLOOKUP(I161,'Option Tables'!$B$23:$F$26,2)))+(P159*(VLOOKUP(I161,'Option Tables'!$B$23:$F$26,3)))+(O159*(VLOOKUP(I161,'Option Tables'!$B$23:$F$26,4))+(N159*(VLOOKUP(I161,'Option Tables'!$B$23:$F$26,5)))))</f>
        <v>0</v>
      </c>
      <c r="F165" s="355">
        <f>$D165*((F159*(VLOOKUP(I161,'Option Tables'!$B$23:$F$26,2)))+(E159*(VLOOKUP(I161,'Option Tables'!$B$23:$F$26,3)))+(P159*(VLOOKUP(I161,'Option Tables'!$B$23:$F$26,4))+(O159*(VLOOKUP(I161,'Option Tables'!$B$23:$F$26,5)))))</f>
        <v>0</v>
      </c>
      <c r="G165" s="355">
        <f>$D165*((G159*(VLOOKUP(I161,'Option Tables'!$B$23:$F$26,2)))+(F159*(VLOOKUP(I161,'Option Tables'!$B$23:$F$26,3)))+(E159*(VLOOKUP(I161,'Option Tables'!$B$23:$F$26,4))+(P159*(VLOOKUP(I161,'Option Tables'!$B$23:$F$26,5)))))</f>
        <v>0</v>
      </c>
      <c r="H165" s="355">
        <f>$D165*((H159*(VLOOKUP(I161,'Option Tables'!$B$23:$F$26,2)))+(G159*(VLOOKUP(I161,'Option Tables'!$B$23:$F$26,3)))+(F159*(VLOOKUP(I161,'Option Tables'!$B$23:$F$26,4))+(E159*(VLOOKUP(I161,'Option Tables'!$B$23:$F$26,5)))))</f>
        <v>0</v>
      </c>
      <c r="I165" s="355">
        <f>$D165*((I159*(VLOOKUP(I161,'Option Tables'!$B$23:$F$26,2)))+(H159*(VLOOKUP(I161,'Option Tables'!$B$23:$F$26,3)))+(G159*(VLOOKUP(I161,'Option Tables'!$B$23:$F$26,4))+(F159*(VLOOKUP(I161,'Option Tables'!$B$23:$F$26,5)))))</f>
        <v>0</v>
      </c>
      <c r="J165" s="355">
        <f>$D165*((J159*(VLOOKUP(I161,'Option Tables'!$B$23:$F$26,2)))+(I159*(VLOOKUP(I161,'Option Tables'!$B$23:$F$26,3)))+(H159*(VLOOKUP(I161,'Option Tables'!$B$23:$F$26,4))+(G159*(VLOOKUP(I161,'Option Tables'!$B$23:$F$26,5)))))</f>
        <v>0</v>
      </c>
      <c r="K165" s="355">
        <f>$D165*((K159*(VLOOKUP(I161,'Option Tables'!$B$23:$F$26,2)))+(J159*(VLOOKUP(I161,'Option Tables'!$B$23:$F$26,3)))+(I159*(VLOOKUP(I161,'Option Tables'!$B$23:$F$26,4))+(H159*(VLOOKUP(I161,'Option Tables'!$B$23:$F$26,5)))))</f>
        <v>0</v>
      </c>
      <c r="L165" s="355">
        <f>$D165*((L159*(VLOOKUP(I161,'Option Tables'!$B$23:$F$26,2)))+(K159*(VLOOKUP(I161,'Option Tables'!$B$23:$F$26,3)))+(J159*(VLOOKUP(I161,'Option Tables'!$B$23:$F$26,4))+(I159*(VLOOKUP(I161,'Option Tables'!$B$23:$F$26,5)))))</f>
        <v>0</v>
      </c>
      <c r="M165" s="355">
        <f>$D165*((M159*(VLOOKUP(I161,'Option Tables'!$B$23:$F$26,2)))+(L159*(VLOOKUP(I161,'Option Tables'!$B$23:$F$26,3)))+(K159*(VLOOKUP(I161,'Option Tables'!$B$23:$F$26,4))+(J159*(VLOOKUP(I161,'Option Tables'!$B$23:$F$26,5)))))</f>
        <v>0</v>
      </c>
      <c r="N165" s="355">
        <f>$D165*((N159*(VLOOKUP(I161,'Option Tables'!$B$23:$F$26,2)))+(M159*(VLOOKUP(I161,'Option Tables'!$B$23:$F$26,3)))+(L159*(VLOOKUP(I161,'Option Tables'!$B$23:$F$26,4))+(K159*(VLOOKUP(I161,'Option Tables'!$B$23:$F$26,5)))))</f>
        <v>0</v>
      </c>
      <c r="O165" s="355">
        <f>$D165*((O159*(VLOOKUP(I161,'Option Tables'!$B$23:$F$26,2)))+(N159*(VLOOKUP(I161,'Option Tables'!$B$23:$F$26,3)))+(M159*(VLOOKUP(I161,'Option Tables'!$B$23:$F$26,4))+(L159*(VLOOKUP(I161,'Option Tables'!$B$23:$F$26,5)))))</f>
        <v>0</v>
      </c>
      <c r="P165" s="465">
        <f>$D165*((P159*(VLOOKUP(I161,'Option Tables'!$B$23:$F$26,2)))+(O159*(VLOOKUP(I161,'Option Tables'!$B$23:$F$26,3)))+(N159*(VLOOKUP(I161,'Option Tables'!$B$23:$F$26,4))+(M159*(VLOOKUP(I161,'Option Tables'!$B$23:$F$26,5)))))</f>
        <v>0</v>
      </c>
      <c r="Q165" s="96"/>
      <c r="R165" s="140"/>
    </row>
    <row r="166" spans="2:18" ht="15.75" customHeight="1" thickBot="1">
      <c r="B166" s="97"/>
      <c r="C166" s="144" t="str">
        <f>IF(D166&lt;&gt;1,"Must equal %100","")</f>
        <v/>
      </c>
      <c r="D166" s="71">
        <f t="shared" ref="D166:P166" si="15">SUM(D162:D165)</f>
        <v>1</v>
      </c>
      <c r="E166" s="466">
        <f t="shared" si="15"/>
        <v>0</v>
      </c>
      <c r="F166" s="466">
        <f t="shared" si="15"/>
        <v>0</v>
      </c>
      <c r="G166" s="466">
        <f t="shared" si="15"/>
        <v>0</v>
      </c>
      <c r="H166" s="466">
        <f t="shared" si="15"/>
        <v>0</v>
      </c>
      <c r="I166" s="466">
        <f t="shared" si="15"/>
        <v>0</v>
      </c>
      <c r="J166" s="466">
        <f t="shared" si="15"/>
        <v>0</v>
      </c>
      <c r="K166" s="466">
        <f t="shared" si="15"/>
        <v>0</v>
      </c>
      <c r="L166" s="466">
        <f t="shared" si="15"/>
        <v>0</v>
      </c>
      <c r="M166" s="466">
        <f t="shared" si="15"/>
        <v>0</v>
      </c>
      <c r="N166" s="466">
        <f t="shared" si="15"/>
        <v>0</v>
      </c>
      <c r="O166" s="466">
        <f t="shared" si="15"/>
        <v>0</v>
      </c>
      <c r="P166" s="467">
        <f t="shared" si="15"/>
        <v>0</v>
      </c>
      <c r="Q166" s="96"/>
      <c r="R166" s="140"/>
    </row>
    <row r="167" spans="2:18" ht="15.75" customHeight="1" thickBot="1">
      <c r="B167" s="85" t="s">
        <v>78</v>
      </c>
      <c r="C167" s="257" t="str">
        <f>VLOOKUP(B167,NodeList!$D$5:$E$73,2,FALSE)</f>
        <v>AggDiv SC-1/Broadbent</v>
      </c>
      <c r="D167" s="91"/>
      <c r="E167" s="450"/>
      <c r="F167" s="451"/>
      <c r="G167" s="452"/>
      <c r="H167" s="453" t="s">
        <v>54</v>
      </c>
      <c r="I167" s="68">
        <v>33</v>
      </c>
      <c r="J167" s="454"/>
      <c r="K167" s="454"/>
      <c r="L167" s="454"/>
      <c r="M167" s="454"/>
      <c r="N167" s="454"/>
      <c r="O167" s="454"/>
      <c r="P167" s="455"/>
      <c r="Q167" s="96"/>
    </row>
    <row r="168" spans="2:18" ht="15.75" customHeight="1">
      <c r="B168" s="94"/>
      <c r="C168" s="66" t="s">
        <v>57</v>
      </c>
      <c r="D168" s="69"/>
      <c r="E168" s="456">
        <f>VLOOKUP($B167,'Diversion Data'!$B$3:$O$227,3,FALSE)</f>
        <v>0</v>
      </c>
      <c r="F168" s="456">
        <f>VLOOKUP($B167,'Diversion Data'!$B$3:$O$227,4,FALSE)</f>
        <v>0</v>
      </c>
      <c r="G168" s="456">
        <f>VLOOKUP($B167,'Diversion Data'!$B$3:$O$227,5,FALSE)</f>
        <v>0</v>
      </c>
      <c r="H168" s="456">
        <f>VLOOKUP($B167,'Diversion Data'!$B$3:$O$227,6,FALSE)</f>
        <v>0</v>
      </c>
      <c r="I168" s="456">
        <f>VLOOKUP($B167,'Diversion Data'!$B$3:$O$227,7,FALSE)</f>
        <v>0</v>
      </c>
      <c r="J168" s="456">
        <f>VLOOKUP($B167,'Diversion Data'!$B$3:$O$227,8,FALSE)</f>
        <v>0</v>
      </c>
      <c r="K168" s="456">
        <f>VLOOKUP($B167,'Diversion Data'!$B$3:$O$227,9,FALSE)</f>
        <v>0</v>
      </c>
      <c r="L168" s="456">
        <f>VLOOKUP($B167,'Diversion Data'!$B$3:$O$227,10,FALSE)</f>
        <v>0</v>
      </c>
      <c r="M168" s="456">
        <f>VLOOKUP($B167,'Diversion Data'!$B$3:$O$227,11,FALSE)</f>
        <v>0</v>
      </c>
      <c r="N168" s="456">
        <f>VLOOKUP($B167,'Diversion Data'!$B$3:$O$227,12,FALSE)</f>
        <v>0</v>
      </c>
      <c r="O168" s="456">
        <f>VLOOKUP($B167,'Diversion Data'!$B$3:$O$227,13,FALSE)</f>
        <v>0</v>
      </c>
      <c r="P168" s="457">
        <f>VLOOKUP($B167,'Diversion Data'!$B$3:$O$227,14,FALSE)</f>
        <v>0</v>
      </c>
      <c r="Q168" s="96"/>
    </row>
    <row r="169" spans="2:18" ht="15.75" customHeight="1">
      <c r="B169" s="95"/>
      <c r="C169" s="72" t="s">
        <v>56</v>
      </c>
      <c r="D169" s="70"/>
      <c r="E169" s="458">
        <f>VLOOKUP($I167,'Option Tables'!$B$3:$N$19,2,FALSE)*E168</f>
        <v>0</v>
      </c>
      <c r="F169" s="458">
        <f>VLOOKUP($I167,'Option Tables'!$B$3:$N$19,3,FALSE)*F168</f>
        <v>0</v>
      </c>
      <c r="G169" s="458">
        <f>VLOOKUP($I167,'Option Tables'!$B$3:$N$19,4,FALSE)*G168</f>
        <v>0</v>
      </c>
      <c r="H169" s="458">
        <f>VLOOKUP($I167,'Option Tables'!$B$3:$N$19,5,FALSE)*H168</f>
        <v>0</v>
      </c>
      <c r="I169" s="458">
        <f>VLOOKUP($I167,'Option Tables'!$B$3:$N$19,6,FALSE)*I168</f>
        <v>0</v>
      </c>
      <c r="J169" s="458">
        <f>VLOOKUP($I167,'Option Tables'!$B$3:$N$19,7,FALSE)*J168</f>
        <v>0</v>
      </c>
      <c r="K169" s="458">
        <f>VLOOKUP($I167,'Option Tables'!$B$3:$N$19,8,FALSE)*K168</f>
        <v>0</v>
      </c>
      <c r="L169" s="458">
        <f>VLOOKUP($I167,'Option Tables'!$B$3:$N$19,9,FALSE)*L168</f>
        <v>0</v>
      </c>
      <c r="M169" s="458">
        <f>VLOOKUP($I167,'Option Tables'!$B$3:$N$19,10,FALSE)*M168</f>
        <v>0</v>
      </c>
      <c r="N169" s="458">
        <f>VLOOKUP($I167,'Option Tables'!$B$3:$N$19,11,FALSE)*N168</f>
        <v>0</v>
      </c>
      <c r="O169" s="458">
        <f>VLOOKUP($I167,'Option Tables'!$B$3:$N$19,12,FALSE)*O168</f>
        <v>0</v>
      </c>
      <c r="P169" s="459">
        <f>VLOOKUP($I167,'Option Tables'!$B$3:$N$19,13,FALSE)*P168</f>
        <v>0</v>
      </c>
      <c r="Q169" s="96"/>
    </row>
    <row r="170" spans="2:18" ht="15.75" customHeight="1" thickBot="1">
      <c r="B170" s="95"/>
      <c r="C170" s="66"/>
      <c r="D170" s="62"/>
      <c r="E170" s="355"/>
      <c r="F170" s="355"/>
      <c r="G170" s="355"/>
      <c r="H170" s="355"/>
      <c r="I170" s="355"/>
      <c r="J170" s="355"/>
      <c r="K170" s="355"/>
      <c r="L170" s="355"/>
      <c r="M170" s="460"/>
      <c r="N170" s="460"/>
      <c r="O170" s="460"/>
      <c r="P170" s="461"/>
      <c r="Q170" s="96"/>
    </row>
    <row r="171" spans="2:18" ht="15.75" customHeight="1" thickBot="1">
      <c r="B171" s="254" t="s">
        <v>73</v>
      </c>
      <c r="C171" s="105" t="s">
        <v>73</v>
      </c>
      <c r="D171" s="105" t="s">
        <v>74</v>
      </c>
      <c r="E171" s="462"/>
      <c r="F171" s="463"/>
      <c r="G171" s="464"/>
      <c r="H171" s="464" t="s">
        <v>55</v>
      </c>
      <c r="I171" s="68">
        <v>2</v>
      </c>
      <c r="J171" s="460"/>
      <c r="K171" s="460"/>
      <c r="L171" s="460"/>
      <c r="M171" s="460"/>
      <c r="N171" s="460"/>
      <c r="O171" s="460"/>
      <c r="P171" s="461"/>
      <c r="Q171" s="96"/>
    </row>
    <row r="172" spans="2:18" ht="15.75" customHeight="1">
      <c r="B172" s="671" t="str">
        <f>"("&amp;VLOOKUP(C172,NodeList!$D$5:$E$68,2,FALSE)&amp;")"</f>
        <v>(Sulphur Creek Reservoir)</v>
      </c>
      <c r="C172" s="256" t="s">
        <v>161</v>
      </c>
      <c r="D172" s="388">
        <v>1</v>
      </c>
      <c r="E172" s="355">
        <f>$D172*((E169*(VLOOKUP(I171,'Option Tables'!$B$23:$F$26,2)))+(P169*(VLOOKUP(I171,'Option Tables'!$B$23:$F$26,3)))+(O169*(VLOOKUP(I171,'Option Tables'!$B$23:$F$26,4))+(N169*(VLOOKUP(I171,'Option Tables'!$B$23:$F$26,5)))))</f>
        <v>0</v>
      </c>
      <c r="F172" s="355">
        <f>$D172*((F169*(VLOOKUP(I171,'Option Tables'!$B$23:$F$26,2)))+(E169*(VLOOKUP(I171,'Option Tables'!$B$23:$F$26,3)))+(P169*(VLOOKUP(I171,'Option Tables'!$B$23:$F$26,4))+(O169*(VLOOKUP(I171,'Option Tables'!$B$23:$F$26,5)))))</f>
        <v>0</v>
      </c>
      <c r="G172" s="355">
        <f>$D172*((G169*(VLOOKUP(I171,'Option Tables'!$B$23:$F$26,2)))+(F169*(VLOOKUP(I171,'Option Tables'!$B$23:$F$26,3)))+(E169*(VLOOKUP(I171,'Option Tables'!$B$23:$F$26,4))+(P169*(VLOOKUP(I171,'Option Tables'!$B$23:$F$26,5)))))</f>
        <v>0</v>
      </c>
      <c r="H172" s="355">
        <f>$D172*((H169*(VLOOKUP(I171,'Option Tables'!$B$23:$F$26,2)))+(G169*(VLOOKUP(I171,'Option Tables'!$B$23:$F$26,3)))+(F169*(VLOOKUP(I171,'Option Tables'!$B$23:$F$26,4))+(E169*(VLOOKUP(I171,'Option Tables'!$B$23:$F$26,5)))))</f>
        <v>0</v>
      </c>
      <c r="I172" s="355">
        <f>$D172*((I169*(VLOOKUP(I171,'Option Tables'!$B$23:$F$26,2)))+(H169*(VLOOKUP(I171,'Option Tables'!$B$23:$F$26,3)))+(G169*(VLOOKUP(I171,'Option Tables'!$B$23:$F$26,4))+(F169*(VLOOKUP(I171,'Option Tables'!$B$23:$F$26,5)))))</f>
        <v>0</v>
      </c>
      <c r="J172" s="355">
        <f>$D172*((J169*(VLOOKUP(I171,'Option Tables'!$B$23:$F$26,2)))+(I169*(VLOOKUP(I171,'Option Tables'!$B$23:$F$26,3)))+(H169*(VLOOKUP(I171,'Option Tables'!$B$23:$F$26,4))+(G169*(VLOOKUP(I171,'Option Tables'!$B$23:$F$26,5)))))</f>
        <v>0</v>
      </c>
      <c r="K172" s="355">
        <f>$D172*((K169*(VLOOKUP(I171,'Option Tables'!$B$23:$F$26,2)))+(J169*(VLOOKUP(I171,'Option Tables'!$B$23:$F$26,3)))+(I169*(VLOOKUP(I171,'Option Tables'!$B$23:$F$26,4))+(H169*(VLOOKUP(I171,'Option Tables'!$B$23:$F$26,5)))))</f>
        <v>0</v>
      </c>
      <c r="L172" s="355">
        <f>$D172*((L169*(VLOOKUP(I171,'Option Tables'!$B$23:$F$26,2)))+(K169*(VLOOKUP(I171,'Option Tables'!$B$23:$F$26,3)))+(J169*(VLOOKUP(I171,'Option Tables'!$B$23:$F$26,4))+(I169*(VLOOKUP(I171,'Option Tables'!$B$23:$F$26,5)))))</f>
        <v>0</v>
      </c>
      <c r="M172" s="355">
        <f>$D172*((M169*(VLOOKUP(I171,'Option Tables'!$B$23:$F$26,2)))+(L169*(VLOOKUP(I171,'Option Tables'!$B$23:$F$26,3)))+(K169*(VLOOKUP(I171,'Option Tables'!$B$23:$F$26,4))+(J169*(VLOOKUP(I171,'Option Tables'!$B$23:$F$26,5)))))</f>
        <v>0</v>
      </c>
      <c r="N172" s="355">
        <f>$D172*((N169*(VLOOKUP(I171,'Option Tables'!$B$23:$F$26,2)))+(M169*(VLOOKUP(I171,'Option Tables'!$B$23:$F$26,3)))+(L169*(VLOOKUP(I171,'Option Tables'!$B$23:$F$26,4))+(K169*(VLOOKUP(I171,'Option Tables'!$B$23:$F$26,5)))))</f>
        <v>0</v>
      </c>
      <c r="O172" s="355">
        <f>$D172*((O169*(VLOOKUP(I171,'Option Tables'!$B$23:$F$26,2)))+(N169*(VLOOKUP(I171,'Option Tables'!$B$23:$F$26,3)))+(M169*(VLOOKUP(I171,'Option Tables'!$B$23:$F$26,4))+(L169*(VLOOKUP(I171,'Option Tables'!$B$23:$F$26,5)))))</f>
        <v>0</v>
      </c>
      <c r="P172" s="465">
        <f>$D172*((P169*(VLOOKUP(I171,'Option Tables'!$B$23:$F$26,2)))+(O169*(VLOOKUP(I171,'Option Tables'!$B$23:$F$26,3)))+(N169*(VLOOKUP(I171,'Option Tables'!$B$23:$F$26,4))+(M169*(VLOOKUP(I171,'Option Tables'!$B$23:$F$26,5)))))</f>
        <v>0</v>
      </c>
      <c r="Q172" s="96"/>
    </row>
    <row r="173" spans="2:18" ht="15.75" customHeight="1">
      <c r="B173" s="671"/>
      <c r="C173" s="256"/>
      <c r="D173" s="388">
        <v>0</v>
      </c>
      <c r="E173" s="355">
        <f>$D173*((E169*(VLOOKUP(I171,'Option Tables'!$B$23:$F$26,2)))+(P169*(VLOOKUP(I171,'Option Tables'!$B$23:$F$26,3)))+(O169*(VLOOKUP(I171,'Option Tables'!$B$23:$F$26,4))+(N169*(VLOOKUP(I171,'Option Tables'!$B$23:$F$26,5)))))</f>
        <v>0</v>
      </c>
      <c r="F173" s="355">
        <f>$D173*((F169*(VLOOKUP(I171,'Option Tables'!$B$23:$F$26,2)))+(E169*(VLOOKUP(I171,'Option Tables'!$B$23:$F$26,3)))+(P169*(VLOOKUP(I171,'Option Tables'!$B$23:$F$26,4))+(O169*(VLOOKUP(I171,'Option Tables'!$B$23:$F$26,5)))))</f>
        <v>0</v>
      </c>
      <c r="G173" s="355">
        <f>$D173*((G169*(VLOOKUP(I171,'Option Tables'!$B$23:$F$26,2)))+(F169*(VLOOKUP(I171,'Option Tables'!$B$23:$F$26,3)))+(E169*(VLOOKUP(I171,'Option Tables'!$B$23:$F$26,4))+(P169*(VLOOKUP(I171,'Option Tables'!$B$23:$F$26,5)))))</f>
        <v>0</v>
      </c>
      <c r="H173" s="355">
        <f>$D173*((H169*(VLOOKUP(I171,'Option Tables'!$B$23:$F$26,2)))+(G169*(VLOOKUP(I171,'Option Tables'!$B$23:$F$26,3)))+(F169*(VLOOKUP(I171,'Option Tables'!$B$23:$F$26,4))+(E169*(VLOOKUP(I171,'Option Tables'!$B$23:$F$26,5)))))</f>
        <v>0</v>
      </c>
      <c r="I173" s="355">
        <f>$D173*((I169*(VLOOKUP(I171,'Option Tables'!$B$23:$F$26,2)))+(H169*(VLOOKUP(I171,'Option Tables'!$B$23:$F$26,3)))+(G169*(VLOOKUP(I171,'Option Tables'!$B$23:$F$26,4))+(F169*(VLOOKUP(I171,'Option Tables'!$B$23:$F$26,5)))))</f>
        <v>0</v>
      </c>
      <c r="J173" s="355">
        <f>$D173*((J169*(VLOOKUP(I171,'Option Tables'!$B$23:$F$26,2)))+(I169*(VLOOKUP(I171,'Option Tables'!$B$23:$F$26,3)))+(H169*(VLOOKUP(I171,'Option Tables'!$B$23:$F$26,4))+(G169*(VLOOKUP(I171,'Option Tables'!$B$23:$F$26,5)))))</f>
        <v>0</v>
      </c>
      <c r="K173" s="355">
        <f>$D173*((K169*(VLOOKUP(I171,'Option Tables'!$B$23:$F$26,2)))+(J169*(VLOOKUP(I171,'Option Tables'!$B$23:$F$26,3)))+(I169*(VLOOKUP(I171,'Option Tables'!$B$23:$F$26,4))+(H169*(VLOOKUP(I171,'Option Tables'!$B$23:$F$26,5)))))</f>
        <v>0</v>
      </c>
      <c r="L173" s="355">
        <f>$D173*((L169*(VLOOKUP(I171,'Option Tables'!$B$23:$F$26,2)))+(K169*(VLOOKUP(I171,'Option Tables'!$B$23:$F$26,3)))+(J169*(VLOOKUP(I171,'Option Tables'!$B$23:$F$26,4))+(I169*(VLOOKUP(I171,'Option Tables'!$B$23:$F$26,5)))))</f>
        <v>0</v>
      </c>
      <c r="M173" s="355">
        <f>$D173*((M169*(VLOOKUP(I171,'Option Tables'!$B$23:$F$26,2)))+(L169*(VLOOKUP(I171,'Option Tables'!$B$23:$F$26,3)))+(K169*(VLOOKUP(I171,'Option Tables'!$B$23:$F$26,4))+(J169*(VLOOKUP(I171,'Option Tables'!$B$23:$F$26,5)))))</f>
        <v>0</v>
      </c>
      <c r="N173" s="355">
        <f>$D173*((N169*(VLOOKUP(I171,'Option Tables'!$B$23:$F$26,2)))+(M169*(VLOOKUP(I171,'Option Tables'!$B$23:$F$26,3)))+(L169*(VLOOKUP(I171,'Option Tables'!$B$23:$F$26,4))+(K169*(VLOOKUP(I171,'Option Tables'!$B$23:$F$26,5)))))</f>
        <v>0</v>
      </c>
      <c r="O173" s="355">
        <f>$D173*((O169*(VLOOKUP(I171,'Option Tables'!$B$23:$F$26,2)))+(N169*(VLOOKUP(I171,'Option Tables'!$B$23:$F$26,3)))+(M169*(VLOOKUP(I171,'Option Tables'!$B$23:$F$26,4))+(L169*(VLOOKUP(I171,'Option Tables'!$B$23:$F$26,5)))))</f>
        <v>0</v>
      </c>
      <c r="P173" s="465">
        <f>$D173*((P169*(VLOOKUP(I171,'Option Tables'!$B$23:$F$26,2)))+(O169*(VLOOKUP(I171,'Option Tables'!$B$23:$F$26,3)))+(N169*(VLOOKUP(I171,'Option Tables'!$B$23:$F$26,4))+(M169*(VLOOKUP(I171,'Option Tables'!$B$23:$F$26,5)))))</f>
        <v>0</v>
      </c>
      <c r="Q173" s="96"/>
    </row>
    <row r="174" spans="2:18" ht="15.75" customHeight="1">
      <c r="B174" s="95"/>
      <c r="C174" s="256"/>
      <c r="D174" s="388">
        <v>0</v>
      </c>
      <c r="E174" s="355">
        <f>$D174*((E169*(VLOOKUP(I171,'Option Tables'!$B$23:$F$26,2)))+(P169*(VLOOKUP(I171,'Option Tables'!$B$23:$F$26,3)))+(O169*(VLOOKUP(I171,'Option Tables'!$B$23:$F$26,4))+(N169*(VLOOKUP(I171,'Option Tables'!$B$23:$F$26,5)))))</f>
        <v>0</v>
      </c>
      <c r="F174" s="355">
        <f>$D174*((F169*(VLOOKUP(I171,'Option Tables'!$B$23:$F$26,2)))+(E169*(VLOOKUP(I171,'Option Tables'!$B$23:$F$26,3)))+(P169*(VLOOKUP(I171,'Option Tables'!$B$23:$F$26,4))+(O169*(VLOOKUP(I171,'Option Tables'!$B$23:$F$26,5)))))</f>
        <v>0</v>
      </c>
      <c r="G174" s="355">
        <f>$D174*((G169*(VLOOKUP(I171,'Option Tables'!$B$23:$F$26,2)))+(F169*(VLOOKUP(I171,'Option Tables'!$B$23:$F$26,3)))+(E169*(VLOOKUP(I171,'Option Tables'!$B$23:$F$26,4))+(P169*(VLOOKUP(I171,'Option Tables'!$B$23:$F$26,5)))))</f>
        <v>0</v>
      </c>
      <c r="H174" s="355">
        <f>$D174*((H169*(VLOOKUP(I171,'Option Tables'!$B$23:$F$26,2)))+(G169*(VLOOKUP(I171,'Option Tables'!$B$23:$F$26,3)))+(F169*(VLOOKUP(I171,'Option Tables'!$B$23:$F$26,4))+(E169*(VLOOKUP(I171,'Option Tables'!$B$23:$F$26,5)))))</f>
        <v>0</v>
      </c>
      <c r="I174" s="355">
        <f>$D174*((I169*(VLOOKUP(I171,'Option Tables'!$B$23:$F$26,2)))+(H169*(VLOOKUP(I171,'Option Tables'!$B$23:$F$26,3)))+(G169*(VLOOKUP(I171,'Option Tables'!$B$23:$F$26,4))+(F169*(VLOOKUP(I171,'Option Tables'!$B$23:$F$26,5)))))</f>
        <v>0</v>
      </c>
      <c r="J174" s="355">
        <f>$D174*((J169*(VLOOKUP(I171,'Option Tables'!$B$23:$F$26,2)))+(I169*(VLOOKUP(I171,'Option Tables'!$B$23:$F$26,3)))+(H169*(VLOOKUP(I171,'Option Tables'!$B$23:$F$26,4))+(G169*(VLOOKUP(I171,'Option Tables'!$B$23:$F$26,5)))))</f>
        <v>0</v>
      </c>
      <c r="K174" s="355">
        <f>$D174*((K169*(VLOOKUP(I171,'Option Tables'!$B$23:$F$26,2)))+(J169*(VLOOKUP(I171,'Option Tables'!$B$23:$F$26,3)))+(I169*(VLOOKUP(I171,'Option Tables'!$B$23:$F$26,4))+(H169*(VLOOKUP(I171,'Option Tables'!$B$23:$F$26,5)))))</f>
        <v>0</v>
      </c>
      <c r="L174" s="355">
        <f>$D174*((L169*(VLOOKUP(I171,'Option Tables'!$B$23:$F$26,2)))+(K169*(VLOOKUP(I171,'Option Tables'!$B$23:$F$26,3)))+(J169*(VLOOKUP(I171,'Option Tables'!$B$23:$F$26,4))+(I169*(VLOOKUP(I171,'Option Tables'!$B$23:$F$26,5)))))</f>
        <v>0</v>
      </c>
      <c r="M174" s="355">
        <f>$D174*((M169*(VLOOKUP(I171,'Option Tables'!$B$23:$F$26,2)))+(L169*(VLOOKUP(I171,'Option Tables'!$B$23:$F$26,3)))+(K169*(VLOOKUP(I171,'Option Tables'!$B$23:$F$26,4))+(J169*(VLOOKUP(I171,'Option Tables'!$B$23:$F$26,5)))))</f>
        <v>0</v>
      </c>
      <c r="N174" s="355">
        <f>$D174*((N169*(VLOOKUP(I171,'Option Tables'!$B$23:$F$26,2)))+(M169*(VLOOKUP(I171,'Option Tables'!$B$23:$F$26,3)))+(L169*(VLOOKUP(I171,'Option Tables'!$B$23:$F$26,4))+(K169*(VLOOKUP(I171,'Option Tables'!$B$23:$F$26,5)))))</f>
        <v>0</v>
      </c>
      <c r="O174" s="355">
        <f>$D174*((O169*(VLOOKUP(I171,'Option Tables'!$B$23:$F$26,2)))+(N169*(VLOOKUP(I171,'Option Tables'!$B$23:$F$26,3)))+(M169*(VLOOKUP(I171,'Option Tables'!$B$23:$F$26,4))+(L169*(VLOOKUP(I171,'Option Tables'!$B$23:$F$26,5)))))</f>
        <v>0</v>
      </c>
      <c r="P174" s="465">
        <f>$D174*((P169*(VLOOKUP(I171,'Option Tables'!$B$23:$F$26,2)))+(O169*(VLOOKUP(I171,'Option Tables'!$B$23:$F$26,3)))+(N169*(VLOOKUP(I171,'Option Tables'!$B$23:$F$26,4))+(M169*(VLOOKUP(I171,'Option Tables'!$B$23:$F$26,5)))))</f>
        <v>0</v>
      </c>
      <c r="Q174" s="96"/>
    </row>
    <row r="175" spans="2:18" ht="15.75" customHeight="1">
      <c r="B175" s="95"/>
      <c r="C175" s="256"/>
      <c r="D175" s="388">
        <v>0</v>
      </c>
      <c r="E175" s="355">
        <f>$D175*((E169*(VLOOKUP(I171,'Option Tables'!$B$23:$F$26,2)))+(P169*(VLOOKUP(I171,'Option Tables'!$B$23:$F$26,3)))+(O169*(VLOOKUP(I171,'Option Tables'!$B$23:$F$26,4))+(N169*(VLOOKUP(I171,'Option Tables'!$B$23:$F$26,5)))))</f>
        <v>0</v>
      </c>
      <c r="F175" s="355">
        <f>$D175*((F169*(VLOOKUP(I171,'Option Tables'!$B$23:$F$26,2)))+(E169*(VLOOKUP(I171,'Option Tables'!$B$23:$F$26,3)))+(P169*(VLOOKUP(I171,'Option Tables'!$B$23:$F$26,4))+(O169*(VLOOKUP(I171,'Option Tables'!$B$23:$F$26,5)))))</f>
        <v>0</v>
      </c>
      <c r="G175" s="355">
        <f>$D175*((G169*(VLOOKUP(I171,'Option Tables'!$B$23:$F$26,2)))+(F169*(VLOOKUP(I171,'Option Tables'!$B$23:$F$26,3)))+(E169*(VLOOKUP(I171,'Option Tables'!$B$23:$F$26,4))+(P169*(VLOOKUP(I171,'Option Tables'!$B$23:$F$26,5)))))</f>
        <v>0</v>
      </c>
      <c r="H175" s="355">
        <f>$D175*((H169*(VLOOKUP(I171,'Option Tables'!$B$23:$F$26,2)))+(G169*(VLOOKUP(I171,'Option Tables'!$B$23:$F$26,3)))+(F169*(VLOOKUP(I171,'Option Tables'!$B$23:$F$26,4))+(E169*(VLOOKUP(I171,'Option Tables'!$B$23:$F$26,5)))))</f>
        <v>0</v>
      </c>
      <c r="I175" s="355">
        <f>$D175*((I169*(VLOOKUP(I171,'Option Tables'!$B$23:$F$26,2)))+(H169*(VLOOKUP(I171,'Option Tables'!$B$23:$F$26,3)))+(G169*(VLOOKUP(I171,'Option Tables'!$B$23:$F$26,4))+(F169*(VLOOKUP(I171,'Option Tables'!$B$23:$F$26,5)))))</f>
        <v>0</v>
      </c>
      <c r="J175" s="355">
        <f>$D175*((J169*(VLOOKUP(I171,'Option Tables'!$B$23:$F$26,2)))+(I169*(VLOOKUP(I171,'Option Tables'!$B$23:$F$26,3)))+(H169*(VLOOKUP(I171,'Option Tables'!$B$23:$F$26,4))+(G169*(VLOOKUP(I171,'Option Tables'!$B$23:$F$26,5)))))</f>
        <v>0</v>
      </c>
      <c r="K175" s="355">
        <f>$D175*((K169*(VLOOKUP(I171,'Option Tables'!$B$23:$F$26,2)))+(J169*(VLOOKUP(I171,'Option Tables'!$B$23:$F$26,3)))+(I169*(VLOOKUP(I171,'Option Tables'!$B$23:$F$26,4))+(H169*(VLOOKUP(I171,'Option Tables'!$B$23:$F$26,5)))))</f>
        <v>0</v>
      </c>
      <c r="L175" s="355">
        <f>$D175*((L169*(VLOOKUP(I171,'Option Tables'!$B$23:$F$26,2)))+(K169*(VLOOKUP(I171,'Option Tables'!$B$23:$F$26,3)))+(J169*(VLOOKUP(I171,'Option Tables'!$B$23:$F$26,4))+(I169*(VLOOKUP(I171,'Option Tables'!$B$23:$F$26,5)))))</f>
        <v>0</v>
      </c>
      <c r="M175" s="355">
        <f>$D175*((M169*(VLOOKUP(I171,'Option Tables'!$B$23:$F$26,2)))+(L169*(VLOOKUP(I171,'Option Tables'!$B$23:$F$26,3)))+(K169*(VLOOKUP(I171,'Option Tables'!$B$23:$F$26,4))+(J169*(VLOOKUP(I171,'Option Tables'!$B$23:$F$26,5)))))</f>
        <v>0</v>
      </c>
      <c r="N175" s="355">
        <f>$D175*((N169*(VLOOKUP(I171,'Option Tables'!$B$23:$F$26,2)))+(M169*(VLOOKUP(I171,'Option Tables'!$B$23:$F$26,3)))+(L169*(VLOOKUP(I171,'Option Tables'!$B$23:$F$26,4))+(K169*(VLOOKUP(I171,'Option Tables'!$B$23:$F$26,5)))))</f>
        <v>0</v>
      </c>
      <c r="O175" s="355">
        <f>$D175*((O169*(VLOOKUP(I171,'Option Tables'!$B$23:$F$26,2)))+(N169*(VLOOKUP(I171,'Option Tables'!$B$23:$F$26,3)))+(M169*(VLOOKUP(I171,'Option Tables'!$B$23:$F$26,4))+(L169*(VLOOKUP(I171,'Option Tables'!$B$23:$F$26,5)))))</f>
        <v>0</v>
      </c>
      <c r="P175" s="465">
        <f>$D175*((P169*(VLOOKUP(I171,'Option Tables'!$B$23:$F$26,2)))+(O169*(VLOOKUP(I171,'Option Tables'!$B$23:$F$26,3)))+(N169*(VLOOKUP(I171,'Option Tables'!$B$23:$F$26,4))+(M169*(VLOOKUP(I171,'Option Tables'!$B$23:$F$26,5)))))</f>
        <v>0</v>
      </c>
      <c r="Q175" s="96"/>
    </row>
    <row r="176" spans="2:18" ht="15.75" customHeight="1" thickBot="1">
      <c r="B176" s="97"/>
      <c r="C176" s="144" t="str">
        <f>IF(D176&lt;&gt;1,"Must equal %100","")</f>
        <v/>
      </c>
      <c r="D176" s="71">
        <f t="shared" ref="D176:P176" si="16">SUM(D172:D175)</f>
        <v>1</v>
      </c>
      <c r="E176" s="466">
        <f t="shared" si="16"/>
        <v>0</v>
      </c>
      <c r="F176" s="466">
        <f t="shared" si="16"/>
        <v>0</v>
      </c>
      <c r="G176" s="466">
        <f t="shared" si="16"/>
        <v>0</v>
      </c>
      <c r="H176" s="466">
        <f t="shared" si="16"/>
        <v>0</v>
      </c>
      <c r="I176" s="466">
        <f t="shared" si="16"/>
        <v>0</v>
      </c>
      <c r="J176" s="466">
        <f t="shared" si="16"/>
        <v>0</v>
      </c>
      <c r="K176" s="466">
        <f t="shared" si="16"/>
        <v>0</v>
      </c>
      <c r="L176" s="466">
        <f t="shared" si="16"/>
        <v>0</v>
      </c>
      <c r="M176" s="466">
        <f t="shared" si="16"/>
        <v>0</v>
      </c>
      <c r="N176" s="466">
        <f t="shared" si="16"/>
        <v>0</v>
      </c>
      <c r="O176" s="466">
        <f t="shared" si="16"/>
        <v>0</v>
      </c>
      <c r="P176" s="467">
        <f t="shared" si="16"/>
        <v>0</v>
      </c>
      <c r="Q176" s="96"/>
      <c r="R176" s="140"/>
    </row>
    <row r="177" spans="1:18" ht="15.75" customHeight="1" thickBot="1">
      <c r="B177" s="85" t="s">
        <v>161</v>
      </c>
      <c r="C177" s="257" t="str">
        <f>VLOOKUP(B177,NodeList!$D$5:$E$73,2,FALSE)</f>
        <v>Sulphur Creek Reservoir</v>
      </c>
      <c r="D177" s="91"/>
      <c r="E177" s="450"/>
      <c r="F177" s="451"/>
      <c r="G177" s="452"/>
      <c r="H177" s="453" t="s">
        <v>54</v>
      </c>
      <c r="I177" s="68">
        <v>15</v>
      </c>
      <c r="J177" s="454"/>
      <c r="K177" s="454"/>
      <c r="L177" s="454"/>
      <c r="M177" s="454"/>
      <c r="N177" s="454"/>
      <c r="O177" s="454"/>
      <c r="P177" s="455"/>
      <c r="Q177" s="96"/>
    </row>
    <row r="178" spans="1:18" ht="15.75" customHeight="1">
      <c r="B178" s="94"/>
      <c r="C178" s="66" t="s">
        <v>57</v>
      </c>
      <c r="D178" s="69"/>
      <c r="E178" s="456">
        <f>VLOOKUP($B177,'Diversion Data'!$B$3:$O$227,3,FALSE)</f>
        <v>0</v>
      </c>
      <c r="F178" s="456">
        <f>VLOOKUP($B177,'Diversion Data'!$B$3:$O$227,4,FALSE)</f>
        <v>0</v>
      </c>
      <c r="G178" s="456">
        <f>VLOOKUP($B177,'Diversion Data'!$B$3:$O$227,5,FALSE)</f>
        <v>0</v>
      </c>
      <c r="H178" s="456">
        <f>VLOOKUP($B177,'Diversion Data'!$B$3:$O$227,6,FALSE)</f>
        <v>0</v>
      </c>
      <c r="I178" s="456">
        <f>VLOOKUP($B177,'Diversion Data'!$B$3:$O$227,7,FALSE)</f>
        <v>0</v>
      </c>
      <c r="J178" s="456">
        <f>VLOOKUP($B177,'Diversion Data'!$B$3:$O$227,8,FALSE)</f>
        <v>0</v>
      </c>
      <c r="K178" s="456">
        <f>VLOOKUP($B177,'Diversion Data'!$B$3:$O$227,9,FALSE)</f>
        <v>0</v>
      </c>
      <c r="L178" s="456">
        <f>VLOOKUP($B177,'Diversion Data'!$B$3:$O$227,10,FALSE)</f>
        <v>0</v>
      </c>
      <c r="M178" s="456">
        <f>VLOOKUP($B177,'Diversion Data'!$B$3:$O$227,11,FALSE)</f>
        <v>0</v>
      </c>
      <c r="N178" s="456">
        <f>VLOOKUP($B177,'Diversion Data'!$B$3:$O$227,12,FALSE)</f>
        <v>0</v>
      </c>
      <c r="O178" s="456">
        <f>VLOOKUP($B177,'Diversion Data'!$B$3:$O$227,13,FALSE)</f>
        <v>0</v>
      </c>
      <c r="P178" s="457">
        <f>VLOOKUP($B177,'Diversion Data'!$B$3:$O$227,14,FALSE)</f>
        <v>0</v>
      </c>
      <c r="Q178" s="96"/>
    </row>
    <row r="179" spans="1:18" ht="15.75" customHeight="1">
      <c r="B179" s="95"/>
      <c r="C179" s="72" t="s">
        <v>56</v>
      </c>
      <c r="D179" s="70"/>
      <c r="E179" s="458">
        <f>VLOOKUP($I177,'Option Tables'!$B$3:$N$19,2,FALSE)*E178</f>
        <v>0</v>
      </c>
      <c r="F179" s="458">
        <f>VLOOKUP($I177,'Option Tables'!$B$3:$N$19,3,FALSE)*F178</f>
        <v>0</v>
      </c>
      <c r="G179" s="458">
        <f>VLOOKUP($I177,'Option Tables'!$B$3:$N$19,4,FALSE)*G178</f>
        <v>0</v>
      </c>
      <c r="H179" s="458">
        <f>VLOOKUP($I177,'Option Tables'!$B$3:$N$19,5,FALSE)*H178</f>
        <v>0</v>
      </c>
      <c r="I179" s="458">
        <f>VLOOKUP($I177,'Option Tables'!$B$3:$N$19,6,FALSE)*I178</f>
        <v>0</v>
      </c>
      <c r="J179" s="458">
        <f>VLOOKUP($I177,'Option Tables'!$B$3:$N$19,7,FALSE)*J178</f>
        <v>0</v>
      </c>
      <c r="K179" s="458">
        <f>VLOOKUP($I177,'Option Tables'!$B$3:$N$19,8,FALSE)*K178</f>
        <v>0</v>
      </c>
      <c r="L179" s="458">
        <f>VLOOKUP($I177,'Option Tables'!$B$3:$N$19,9,FALSE)*L178</f>
        <v>0</v>
      </c>
      <c r="M179" s="458">
        <f>VLOOKUP($I177,'Option Tables'!$B$3:$N$19,10,FALSE)*M178</f>
        <v>0</v>
      </c>
      <c r="N179" s="458">
        <f>VLOOKUP($I177,'Option Tables'!$B$3:$N$19,11,FALSE)*N178</f>
        <v>0</v>
      </c>
      <c r="O179" s="458">
        <f>VLOOKUP($I177,'Option Tables'!$B$3:$N$19,12,FALSE)*O178</f>
        <v>0</v>
      </c>
      <c r="P179" s="459">
        <f>VLOOKUP($I177,'Option Tables'!$B$3:$N$19,13,FALSE)*P178</f>
        <v>0</v>
      </c>
      <c r="Q179" s="96"/>
    </row>
    <row r="180" spans="1:18" ht="15.75" customHeight="1" thickBot="1">
      <c r="B180" s="95"/>
      <c r="C180" s="66"/>
      <c r="D180" s="62"/>
      <c r="E180" s="355"/>
      <c r="F180" s="355"/>
      <c r="G180" s="355"/>
      <c r="H180" s="355"/>
      <c r="I180" s="355"/>
      <c r="J180" s="355"/>
      <c r="K180" s="355"/>
      <c r="L180" s="355"/>
      <c r="M180" s="460"/>
      <c r="N180" s="460"/>
      <c r="O180" s="460"/>
      <c r="P180" s="461"/>
      <c r="Q180" s="96"/>
    </row>
    <row r="181" spans="1:18" ht="15.75" customHeight="1" thickBot="1">
      <c r="B181" s="254" t="s">
        <v>73</v>
      </c>
      <c r="C181" s="105" t="s">
        <v>73</v>
      </c>
      <c r="D181" s="105" t="s">
        <v>74</v>
      </c>
      <c r="E181" s="462"/>
      <c r="F181" s="463"/>
      <c r="G181" s="464"/>
      <c r="H181" s="464" t="s">
        <v>55</v>
      </c>
      <c r="I181" s="68">
        <v>3</v>
      </c>
      <c r="J181" s="460"/>
      <c r="K181" s="460"/>
      <c r="L181" s="460"/>
      <c r="M181" s="460"/>
      <c r="N181" s="460"/>
      <c r="O181" s="460"/>
      <c r="P181" s="461"/>
      <c r="Q181" s="96"/>
    </row>
    <row r="182" spans="1:18" ht="15.75" customHeight="1">
      <c r="B182" s="671" t="e">
        <f>"("&amp;VLOOKUP(C182,NodeList!$D$5:$E$68,2,FALSE)&amp;")"</f>
        <v>#N/A</v>
      </c>
      <c r="C182" s="287"/>
      <c r="D182" s="388">
        <v>1</v>
      </c>
      <c r="E182" s="355">
        <f>$D182*((E179*(VLOOKUP(I181,'Option Tables'!$B$23:$F$26,2)))+(P179*(VLOOKUP(I181,'Option Tables'!$B$23:$F$26,3)))+(O179*(VLOOKUP(I181,'Option Tables'!$B$23:$F$26,4))+(N179*(VLOOKUP(I181,'Option Tables'!$B$23:$F$26,5)))))</f>
        <v>0</v>
      </c>
      <c r="F182" s="355">
        <f>$D182*((F179*(VLOOKUP(I181,'Option Tables'!$B$23:$F$26,2)))+(E179*(VLOOKUP(I181,'Option Tables'!$B$23:$F$26,3)))+(P179*(VLOOKUP(I181,'Option Tables'!$B$23:$F$26,4))+(O179*(VLOOKUP(I181,'Option Tables'!$B$23:$F$26,5)))))</f>
        <v>0</v>
      </c>
      <c r="G182" s="355">
        <f>$D182*((G179*(VLOOKUP(I181,'Option Tables'!$B$23:$F$26,2)))+(F179*(VLOOKUP(I181,'Option Tables'!$B$23:$F$26,3)))+(E179*(VLOOKUP(I181,'Option Tables'!$B$23:$F$26,4))+(P179*(VLOOKUP(I181,'Option Tables'!$B$23:$F$26,5)))))</f>
        <v>0</v>
      </c>
      <c r="H182" s="355">
        <f>$D182*((H179*(VLOOKUP(I181,'Option Tables'!$B$23:$F$26,2)))+(G179*(VLOOKUP(I181,'Option Tables'!$B$23:$F$26,3)))+(F179*(VLOOKUP(I181,'Option Tables'!$B$23:$F$26,4))+(E179*(VLOOKUP(I181,'Option Tables'!$B$23:$F$26,5)))))</f>
        <v>0</v>
      </c>
      <c r="I182" s="355">
        <f>$D182*((I179*(VLOOKUP(I181,'Option Tables'!$B$23:$F$26,2)))+(H179*(VLOOKUP(I181,'Option Tables'!$B$23:$F$26,3)))+(G179*(VLOOKUP(I181,'Option Tables'!$B$23:$F$26,4))+(F179*(VLOOKUP(I181,'Option Tables'!$B$23:$F$26,5)))))</f>
        <v>0</v>
      </c>
      <c r="J182" s="355">
        <f>$D182*((J179*(VLOOKUP(I181,'Option Tables'!$B$23:$F$26,2)))+(I179*(VLOOKUP(I181,'Option Tables'!$B$23:$F$26,3)))+(H179*(VLOOKUP(I181,'Option Tables'!$B$23:$F$26,4))+(G179*(VLOOKUP(I181,'Option Tables'!$B$23:$F$26,5)))))</f>
        <v>0</v>
      </c>
      <c r="K182" s="355">
        <f>$D182*((K179*(VLOOKUP(I181,'Option Tables'!$B$23:$F$26,2)))+(J179*(VLOOKUP(I181,'Option Tables'!$B$23:$F$26,3)))+(I179*(VLOOKUP(I181,'Option Tables'!$B$23:$F$26,4))+(H179*(VLOOKUP(I181,'Option Tables'!$B$23:$F$26,5)))))</f>
        <v>0</v>
      </c>
      <c r="L182" s="355">
        <f>$D182*((L179*(VLOOKUP(I181,'Option Tables'!$B$23:$F$26,2)))+(K179*(VLOOKUP(I181,'Option Tables'!$B$23:$F$26,3)))+(J179*(VLOOKUP(I181,'Option Tables'!$B$23:$F$26,4))+(I179*(VLOOKUP(I181,'Option Tables'!$B$23:$F$26,5)))))</f>
        <v>0</v>
      </c>
      <c r="M182" s="355">
        <f>$D182*((M179*(VLOOKUP(I181,'Option Tables'!$B$23:$F$26,2)))+(L179*(VLOOKUP(I181,'Option Tables'!$B$23:$F$26,3)))+(K179*(VLOOKUP(I181,'Option Tables'!$B$23:$F$26,4))+(J179*(VLOOKUP(I181,'Option Tables'!$B$23:$F$26,5)))))</f>
        <v>0</v>
      </c>
      <c r="N182" s="355">
        <f>$D182*((N179*(VLOOKUP(I181,'Option Tables'!$B$23:$F$26,2)))+(M179*(VLOOKUP(I181,'Option Tables'!$B$23:$F$26,3)))+(L179*(VLOOKUP(I181,'Option Tables'!$B$23:$F$26,4))+(K179*(VLOOKUP(I181,'Option Tables'!$B$23:$F$26,5)))))</f>
        <v>0</v>
      </c>
      <c r="O182" s="355">
        <f>$D182*((O179*(VLOOKUP(I181,'Option Tables'!$B$23:$F$26,2)))+(N179*(VLOOKUP(I181,'Option Tables'!$B$23:$F$26,3)))+(M179*(VLOOKUP(I181,'Option Tables'!$B$23:$F$26,4))+(L179*(VLOOKUP(I181,'Option Tables'!$B$23:$F$26,5)))))</f>
        <v>0</v>
      </c>
      <c r="P182" s="465">
        <f>$D182*((P179*(VLOOKUP(I181,'Option Tables'!$B$23:$F$26,2)))+(O179*(VLOOKUP(I181,'Option Tables'!$B$23:$F$26,3)))+(N179*(VLOOKUP(I181,'Option Tables'!$B$23:$F$26,4))+(M179*(VLOOKUP(I181,'Option Tables'!$B$23:$F$26,5)))))</f>
        <v>0</v>
      </c>
      <c r="Q182" s="96"/>
    </row>
    <row r="183" spans="1:18" ht="15.75" customHeight="1">
      <c r="B183" s="671"/>
      <c r="C183" s="256"/>
      <c r="D183" s="388">
        <v>0</v>
      </c>
      <c r="E183" s="355">
        <f>$D183*((E179*(VLOOKUP(I181,'Option Tables'!$B$23:$F$26,2)))+(P179*(VLOOKUP(I181,'Option Tables'!$B$23:$F$26,3)))+(O179*(VLOOKUP(I181,'Option Tables'!$B$23:$F$26,4))+(N179*(VLOOKUP(I181,'Option Tables'!$B$23:$F$26,5)))))</f>
        <v>0</v>
      </c>
      <c r="F183" s="355">
        <f>$D183*((F179*(VLOOKUP(I181,'Option Tables'!$B$23:$F$26,2)))+(E179*(VLOOKUP(I181,'Option Tables'!$B$23:$F$26,3)))+(P179*(VLOOKUP(I181,'Option Tables'!$B$23:$F$26,4))+(O179*(VLOOKUP(I181,'Option Tables'!$B$23:$F$26,5)))))</f>
        <v>0</v>
      </c>
      <c r="G183" s="355">
        <f>$D183*((G179*(VLOOKUP(I181,'Option Tables'!$B$23:$F$26,2)))+(F179*(VLOOKUP(I181,'Option Tables'!$B$23:$F$26,3)))+(E179*(VLOOKUP(I181,'Option Tables'!$B$23:$F$26,4))+(P179*(VLOOKUP(I181,'Option Tables'!$B$23:$F$26,5)))))</f>
        <v>0</v>
      </c>
      <c r="H183" s="355">
        <f>$D183*((H179*(VLOOKUP(I181,'Option Tables'!$B$23:$F$26,2)))+(G179*(VLOOKUP(I181,'Option Tables'!$B$23:$F$26,3)))+(F179*(VLOOKUP(I181,'Option Tables'!$B$23:$F$26,4))+(E179*(VLOOKUP(I181,'Option Tables'!$B$23:$F$26,5)))))</f>
        <v>0</v>
      </c>
      <c r="I183" s="355">
        <f>$D183*((I179*(VLOOKUP(I181,'Option Tables'!$B$23:$F$26,2)))+(H179*(VLOOKUP(I181,'Option Tables'!$B$23:$F$26,3)))+(G179*(VLOOKUP(I181,'Option Tables'!$B$23:$F$26,4))+(F179*(VLOOKUP(I181,'Option Tables'!$B$23:$F$26,5)))))</f>
        <v>0</v>
      </c>
      <c r="J183" s="355">
        <f>$D183*((J179*(VLOOKUP(I181,'Option Tables'!$B$23:$F$26,2)))+(I179*(VLOOKUP(I181,'Option Tables'!$B$23:$F$26,3)))+(H179*(VLOOKUP(I181,'Option Tables'!$B$23:$F$26,4))+(G179*(VLOOKUP(I181,'Option Tables'!$B$23:$F$26,5)))))</f>
        <v>0</v>
      </c>
      <c r="K183" s="355">
        <f>$D183*((K179*(VLOOKUP(I181,'Option Tables'!$B$23:$F$26,2)))+(J179*(VLOOKUP(I181,'Option Tables'!$B$23:$F$26,3)))+(I179*(VLOOKUP(I181,'Option Tables'!$B$23:$F$26,4))+(H179*(VLOOKUP(I181,'Option Tables'!$B$23:$F$26,5)))))</f>
        <v>0</v>
      </c>
      <c r="L183" s="355">
        <f>$D183*((L179*(VLOOKUP(I181,'Option Tables'!$B$23:$F$26,2)))+(K179*(VLOOKUP(I181,'Option Tables'!$B$23:$F$26,3)))+(J179*(VLOOKUP(I181,'Option Tables'!$B$23:$F$26,4))+(I179*(VLOOKUP(I181,'Option Tables'!$B$23:$F$26,5)))))</f>
        <v>0</v>
      </c>
      <c r="M183" s="355">
        <f>$D183*((M179*(VLOOKUP(I181,'Option Tables'!$B$23:$F$26,2)))+(L179*(VLOOKUP(I181,'Option Tables'!$B$23:$F$26,3)))+(K179*(VLOOKUP(I181,'Option Tables'!$B$23:$F$26,4))+(J179*(VLOOKUP(I181,'Option Tables'!$B$23:$F$26,5)))))</f>
        <v>0</v>
      </c>
      <c r="N183" s="355">
        <f>$D183*((N179*(VLOOKUP(I181,'Option Tables'!$B$23:$F$26,2)))+(M179*(VLOOKUP(I181,'Option Tables'!$B$23:$F$26,3)))+(L179*(VLOOKUP(I181,'Option Tables'!$B$23:$F$26,4))+(K179*(VLOOKUP(I181,'Option Tables'!$B$23:$F$26,5)))))</f>
        <v>0</v>
      </c>
      <c r="O183" s="355">
        <f>$D183*((O179*(VLOOKUP(I181,'Option Tables'!$B$23:$F$26,2)))+(N179*(VLOOKUP(I181,'Option Tables'!$B$23:$F$26,3)))+(M179*(VLOOKUP(I181,'Option Tables'!$B$23:$F$26,4))+(L179*(VLOOKUP(I181,'Option Tables'!$B$23:$F$26,5)))))</f>
        <v>0</v>
      </c>
      <c r="P183" s="465">
        <f>$D183*((P179*(VLOOKUP(I181,'Option Tables'!$B$23:$F$26,2)))+(O179*(VLOOKUP(I181,'Option Tables'!$B$23:$F$26,3)))+(N179*(VLOOKUP(I181,'Option Tables'!$B$23:$F$26,4))+(M179*(VLOOKUP(I181,'Option Tables'!$B$23:$F$26,5)))))</f>
        <v>0</v>
      </c>
      <c r="Q183" s="96"/>
    </row>
    <row r="184" spans="1:18" ht="15.75" customHeight="1">
      <c r="B184" s="95"/>
      <c r="C184" s="256"/>
      <c r="D184" s="388">
        <v>0</v>
      </c>
      <c r="E184" s="355">
        <f>$D184*((E179*(VLOOKUP(I181,'Option Tables'!$B$23:$F$26,2)))+(P179*(VLOOKUP(I181,'Option Tables'!$B$23:$F$26,3)))+(O179*(VLOOKUP(I181,'Option Tables'!$B$23:$F$26,4))+(N179*(VLOOKUP(I181,'Option Tables'!$B$23:$F$26,5)))))</f>
        <v>0</v>
      </c>
      <c r="F184" s="355">
        <f>$D184*((F179*(VLOOKUP(I181,'Option Tables'!$B$23:$F$26,2)))+(E179*(VLOOKUP(I181,'Option Tables'!$B$23:$F$26,3)))+(P179*(VLOOKUP(I181,'Option Tables'!$B$23:$F$26,4))+(O179*(VLOOKUP(I181,'Option Tables'!$B$23:$F$26,5)))))</f>
        <v>0</v>
      </c>
      <c r="G184" s="355">
        <f>$D184*((G179*(VLOOKUP(I181,'Option Tables'!$B$23:$F$26,2)))+(F179*(VLOOKUP(I181,'Option Tables'!$B$23:$F$26,3)))+(E179*(VLOOKUP(I181,'Option Tables'!$B$23:$F$26,4))+(P179*(VLOOKUP(I181,'Option Tables'!$B$23:$F$26,5)))))</f>
        <v>0</v>
      </c>
      <c r="H184" s="355">
        <f>$D184*((H179*(VLOOKUP(I181,'Option Tables'!$B$23:$F$26,2)))+(G179*(VLOOKUP(I181,'Option Tables'!$B$23:$F$26,3)))+(F179*(VLOOKUP(I181,'Option Tables'!$B$23:$F$26,4))+(E179*(VLOOKUP(I181,'Option Tables'!$B$23:$F$26,5)))))</f>
        <v>0</v>
      </c>
      <c r="I184" s="355">
        <f>$D184*((I179*(VLOOKUP(I181,'Option Tables'!$B$23:$F$26,2)))+(H179*(VLOOKUP(I181,'Option Tables'!$B$23:$F$26,3)))+(G179*(VLOOKUP(I181,'Option Tables'!$B$23:$F$26,4))+(F179*(VLOOKUP(I181,'Option Tables'!$B$23:$F$26,5)))))</f>
        <v>0</v>
      </c>
      <c r="J184" s="355">
        <f>$D184*((J179*(VLOOKUP(I181,'Option Tables'!$B$23:$F$26,2)))+(I179*(VLOOKUP(I181,'Option Tables'!$B$23:$F$26,3)))+(H179*(VLOOKUP(I181,'Option Tables'!$B$23:$F$26,4))+(G179*(VLOOKUP(I181,'Option Tables'!$B$23:$F$26,5)))))</f>
        <v>0</v>
      </c>
      <c r="K184" s="355">
        <f>$D184*((K179*(VLOOKUP(I181,'Option Tables'!$B$23:$F$26,2)))+(J179*(VLOOKUP(I181,'Option Tables'!$B$23:$F$26,3)))+(I179*(VLOOKUP(I181,'Option Tables'!$B$23:$F$26,4))+(H179*(VLOOKUP(I181,'Option Tables'!$B$23:$F$26,5)))))</f>
        <v>0</v>
      </c>
      <c r="L184" s="355">
        <f>$D184*((L179*(VLOOKUP(I181,'Option Tables'!$B$23:$F$26,2)))+(K179*(VLOOKUP(I181,'Option Tables'!$B$23:$F$26,3)))+(J179*(VLOOKUP(I181,'Option Tables'!$B$23:$F$26,4))+(I179*(VLOOKUP(I181,'Option Tables'!$B$23:$F$26,5)))))</f>
        <v>0</v>
      </c>
      <c r="M184" s="355">
        <f>$D184*((M179*(VLOOKUP(I181,'Option Tables'!$B$23:$F$26,2)))+(L179*(VLOOKUP(I181,'Option Tables'!$B$23:$F$26,3)))+(K179*(VLOOKUP(I181,'Option Tables'!$B$23:$F$26,4))+(J179*(VLOOKUP(I181,'Option Tables'!$B$23:$F$26,5)))))</f>
        <v>0</v>
      </c>
      <c r="N184" s="355">
        <f>$D184*((N179*(VLOOKUP(I181,'Option Tables'!$B$23:$F$26,2)))+(M179*(VLOOKUP(I181,'Option Tables'!$B$23:$F$26,3)))+(L179*(VLOOKUP(I181,'Option Tables'!$B$23:$F$26,4))+(K179*(VLOOKUP(I181,'Option Tables'!$B$23:$F$26,5)))))</f>
        <v>0</v>
      </c>
      <c r="O184" s="355">
        <f>$D184*((O179*(VLOOKUP(I181,'Option Tables'!$B$23:$F$26,2)))+(N179*(VLOOKUP(I181,'Option Tables'!$B$23:$F$26,3)))+(M179*(VLOOKUP(I181,'Option Tables'!$B$23:$F$26,4))+(L179*(VLOOKUP(I181,'Option Tables'!$B$23:$F$26,5)))))</f>
        <v>0</v>
      </c>
      <c r="P184" s="465">
        <f>$D184*((P179*(VLOOKUP(I181,'Option Tables'!$B$23:$F$26,2)))+(O179*(VLOOKUP(I181,'Option Tables'!$B$23:$F$26,3)))+(N179*(VLOOKUP(I181,'Option Tables'!$B$23:$F$26,4))+(M179*(VLOOKUP(I181,'Option Tables'!$B$23:$F$26,5)))))</f>
        <v>0</v>
      </c>
      <c r="Q184" s="96"/>
    </row>
    <row r="185" spans="1:18" ht="15.75" customHeight="1">
      <c r="B185" s="95"/>
      <c r="C185" s="256"/>
      <c r="D185" s="388">
        <v>0</v>
      </c>
      <c r="E185" s="355">
        <f>$D185*((E179*(VLOOKUP(I181,'Option Tables'!$B$23:$F$26,2)))+(P179*(VLOOKUP(I181,'Option Tables'!$B$23:$F$26,3)))+(O179*(VLOOKUP(I181,'Option Tables'!$B$23:$F$26,4))+(N179*(VLOOKUP(I181,'Option Tables'!$B$23:$F$26,5)))))</f>
        <v>0</v>
      </c>
      <c r="F185" s="355">
        <f>$D185*((F179*(VLOOKUP(I181,'Option Tables'!$B$23:$F$26,2)))+(E179*(VLOOKUP(I181,'Option Tables'!$B$23:$F$26,3)))+(P179*(VLOOKUP(I181,'Option Tables'!$B$23:$F$26,4))+(O179*(VLOOKUP(I181,'Option Tables'!$B$23:$F$26,5)))))</f>
        <v>0</v>
      </c>
      <c r="G185" s="355">
        <f>$D185*((G179*(VLOOKUP(I181,'Option Tables'!$B$23:$F$26,2)))+(F179*(VLOOKUP(I181,'Option Tables'!$B$23:$F$26,3)))+(E179*(VLOOKUP(I181,'Option Tables'!$B$23:$F$26,4))+(P179*(VLOOKUP(I181,'Option Tables'!$B$23:$F$26,5)))))</f>
        <v>0</v>
      </c>
      <c r="H185" s="355">
        <f>$D185*((H179*(VLOOKUP(I181,'Option Tables'!$B$23:$F$26,2)))+(G179*(VLOOKUP(I181,'Option Tables'!$B$23:$F$26,3)))+(F179*(VLOOKUP(I181,'Option Tables'!$B$23:$F$26,4))+(E179*(VLOOKUP(I181,'Option Tables'!$B$23:$F$26,5)))))</f>
        <v>0</v>
      </c>
      <c r="I185" s="355">
        <f>$D185*((I179*(VLOOKUP(I181,'Option Tables'!$B$23:$F$26,2)))+(H179*(VLOOKUP(I181,'Option Tables'!$B$23:$F$26,3)))+(G179*(VLOOKUP(I181,'Option Tables'!$B$23:$F$26,4))+(F179*(VLOOKUP(I181,'Option Tables'!$B$23:$F$26,5)))))</f>
        <v>0</v>
      </c>
      <c r="J185" s="355">
        <f>$D185*((J179*(VLOOKUP(I181,'Option Tables'!$B$23:$F$26,2)))+(I179*(VLOOKUP(I181,'Option Tables'!$B$23:$F$26,3)))+(H179*(VLOOKUP(I181,'Option Tables'!$B$23:$F$26,4))+(G179*(VLOOKUP(I181,'Option Tables'!$B$23:$F$26,5)))))</f>
        <v>0</v>
      </c>
      <c r="K185" s="355">
        <f>$D185*((K179*(VLOOKUP(I181,'Option Tables'!$B$23:$F$26,2)))+(J179*(VLOOKUP(I181,'Option Tables'!$B$23:$F$26,3)))+(I179*(VLOOKUP(I181,'Option Tables'!$B$23:$F$26,4))+(H179*(VLOOKUP(I181,'Option Tables'!$B$23:$F$26,5)))))</f>
        <v>0</v>
      </c>
      <c r="L185" s="355">
        <f>$D185*((L179*(VLOOKUP(I181,'Option Tables'!$B$23:$F$26,2)))+(K179*(VLOOKUP(I181,'Option Tables'!$B$23:$F$26,3)))+(J179*(VLOOKUP(I181,'Option Tables'!$B$23:$F$26,4))+(I179*(VLOOKUP(I181,'Option Tables'!$B$23:$F$26,5)))))</f>
        <v>0</v>
      </c>
      <c r="M185" s="355">
        <f>$D185*((M179*(VLOOKUP(I181,'Option Tables'!$B$23:$F$26,2)))+(L179*(VLOOKUP(I181,'Option Tables'!$B$23:$F$26,3)))+(K179*(VLOOKUP(I181,'Option Tables'!$B$23:$F$26,4))+(J179*(VLOOKUP(I181,'Option Tables'!$B$23:$F$26,5)))))</f>
        <v>0</v>
      </c>
      <c r="N185" s="355">
        <f>$D185*((N179*(VLOOKUP(I181,'Option Tables'!$B$23:$F$26,2)))+(M179*(VLOOKUP(I181,'Option Tables'!$B$23:$F$26,3)))+(L179*(VLOOKUP(I181,'Option Tables'!$B$23:$F$26,4))+(K179*(VLOOKUP(I181,'Option Tables'!$B$23:$F$26,5)))))</f>
        <v>0</v>
      </c>
      <c r="O185" s="355">
        <f>$D185*((O179*(VLOOKUP(I181,'Option Tables'!$B$23:$F$26,2)))+(N179*(VLOOKUP(I181,'Option Tables'!$B$23:$F$26,3)))+(M179*(VLOOKUP(I181,'Option Tables'!$B$23:$F$26,4))+(L179*(VLOOKUP(I181,'Option Tables'!$B$23:$F$26,5)))))</f>
        <v>0</v>
      </c>
      <c r="P185" s="465">
        <f>$D185*((P179*(VLOOKUP(I181,'Option Tables'!$B$23:$F$26,2)))+(O179*(VLOOKUP(I181,'Option Tables'!$B$23:$F$26,3)))+(N179*(VLOOKUP(I181,'Option Tables'!$B$23:$F$26,4))+(M179*(VLOOKUP(I181,'Option Tables'!$B$23:$F$26,5)))))</f>
        <v>0</v>
      </c>
      <c r="Q185" s="96"/>
    </row>
    <row r="186" spans="1:18" ht="15.75" customHeight="1" thickBot="1">
      <c r="B186" s="97"/>
      <c r="C186" s="144" t="str">
        <f>IF(D186&lt;&gt;1,"Must equal %100","")</f>
        <v/>
      </c>
      <c r="D186" s="71">
        <f t="shared" ref="D186:P186" si="17">SUM(D182:D185)</f>
        <v>1</v>
      </c>
      <c r="E186" s="466">
        <f t="shared" si="17"/>
        <v>0</v>
      </c>
      <c r="F186" s="466">
        <f t="shared" si="17"/>
        <v>0</v>
      </c>
      <c r="G186" s="466">
        <f t="shared" si="17"/>
        <v>0</v>
      </c>
      <c r="H186" s="466">
        <f t="shared" si="17"/>
        <v>0</v>
      </c>
      <c r="I186" s="466">
        <f t="shared" si="17"/>
        <v>0</v>
      </c>
      <c r="J186" s="466">
        <f t="shared" si="17"/>
        <v>0</v>
      </c>
      <c r="K186" s="466">
        <f t="shared" si="17"/>
        <v>0</v>
      </c>
      <c r="L186" s="466">
        <f t="shared" si="17"/>
        <v>0</v>
      </c>
      <c r="M186" s="466">
        <f t="shared" si="17"/>
        <v>0</v>
      </c>
      <c r="N186" s="466">
        <f t="shared" si="17"/>
        <v>0</v>
      </c>
      <c r="O186" s="466">
        <f t="shared" si="17"/>
        <v>0</v>
      </c>
      <c r="P186" s="467">
        <f t="shared" si="17"/>
        <v>0</v>
      </c>
      <c r="Q186" s="96"/>
      <c r="R186" s="140"/>
    </row>
    <row r="187" spans="1:18" ht="15.75" customHeight="1" thickBot="1">
      <c r="B187" s="85" t="s">
        <v>189</v>
      </c>
      <c r="C187" s="257" t="str">
        <f>VLOOKUP(B187,NodeList!$D$5:$E$73,2,FALSE)</f>
        <v>AggDiv SC-2</v>
      </c>
      <c r="D187" s="91"/>
      <c r="E187" s="450"/>
      <c r="F187" s="451"/>
      <c r="G187" s="452"/>
      <c r="H187" s="453" t="s">
        <v>54</v>
      </c>
      <c r="I187" s="68">
        <v>33</v>
      </c>
      <c r="J187" s="454"/>
      <c r="K187" s="454"/>
      <c r="L187" s="454"/>
      <c r="M187" s="454"/>
      <c r="N187" s="454"/>
      <c r="O187" s="454"/>
      <c r="P187" s="455"/>
      <c r="Q187" s="96"/>
    </row>
    <row r="188" spans="1:18" ht="15.75" customHeight="1">
      <c r="A188" s="172"/>
      <c r="B188" s="94"/>
      <c r="C188" s="66" t="s">
        <v>57</v>
      </c>
      <c r="D188" s="69"/>
      <c r="E188" s="456">
        <f>VLOOKUP($B187,'Diversion Data'!$B$3:$O$227,3,FALSE)</f>
        <v>0</v>
      </c>
      <c r="F188" s="456">
        <f>VLOOKUP($B187,'Diversion Data'!$B$3:$O$227,4,FALSE)</f>
        <v>0</v>
      </c>
      <c r="G188" s="456">
        <f>VLOOKUP($B187,'Diversion Data'!$B$3:$O$227,5,FALSE)</f>
        <v>0</v>
      </c>
      <c r="H188" s="456">
        <f>VLOOKUP($B187,'Diversion Data'!$B$3:$O$227,6,FALSE)</f>
        <v>0</v>
      </c>
      <c r="I188" s="456">
        <f>VLOOKUP($B187,'Diversion Data'!$B$3:$O$227,7,FALSE)</f>
        <v>40.125</v>
      </c>
      <c r="J188" s="456">
        <f>VLOOKUP($B187,'Diversion Data'!$B$3:$O$227,8,FALSE)</f>
        <v>154.125</v>
      </c>
      <c r="K188" s="456">
        <f>VLOOKUP($B187,'Diversion Data'!$B$3:$O$227,9,FALSE)</f>
        <v>269.375</v>
      </c>
      <c r="L188" s="456">
        <f>VLOOKUP($B187,'Diversion Data'!$B$3:$O$227,10,FALSE)</f>
        <v>125.875</v>
      </c>
      <c r="M188" s="456">
        <f>VLOOKUP($B187,'Diversion Data'!$B$3:$O$227,11,FALSE)</f>
        <v>34.125</v>
      </c>
      <c r="N188" s="456">
        <f>VLOOKUP($B187,'Diversion Data'!$B$3:$O$227,12,FALSE)</f>
        <v>0</v>
      </c>
      <c r="O188" s="456">
        <f>VLOOKUP($B187,'Diversion Data'!$B$3:$O$227,13,FALSE)</f>
        <v>0</v>
      </c>
      <c r="P188" s="457">
        <f>VLOOKUP($B187,'Diversion Data'!$B$3:$O$227,14,FALSE)</f>
        <v>0</v>
      </c>
      <c r="Q188" s="96"/>
    </row>
    <row r="189" spans="1:18" ht="15.75" customHeight="1">
      <c r="A189" s="172"/>
      <c r="B189" s="95"/>
      <c r="C189" s="72" t="s">
        <v>56</v>
      </c>
      <c r="D189" s="70"/>
      <c r="E189" s="458">
        <f>VLOOKUP($I187,'Option Tables'!$B$3:$N$19,2,FALSE)*E188</f>
        <v>0</v>
      </c>
      <c r="F189" s="458">
        <f>VLOOKUP($I187,'Option Tables'!$B$3:$N$19,3,FALSE)*F188</f>
        <v>0</v>
      </c>
      <c r="G189" s="458">
        <f>VLOOKUP($I187,'Option Tables'!$B$3:$N$19,4,FALSE)*G188</f>
        <v>0</v>
      </c>
      <c r="H189" s="458">
        <f>VLOOKUP($I187,'Option Tables'!$B$3:$N$19,5,FALSE)*H188</f>
        <v>0</v>
      </c>
      <c r="I189" s="458">
        <f>VLOOKUP($I187,'Option Tables'!$B$3:$N$19,6,FALSE)*I188</f>
        <v>26.482500000000002</v>
      </c>
      <c r="J189" s="458">
        <f>VLOOKUP($I187,'Option Tables'!$B$3:$N$19,7,FALSE)*J188</f>
        <v>101.72250000000001</v>
      </c>
      <c r="K189" s="458">
        <f>VLOOKUP($I187,'Option Tables'!$B$3:$N$19,8,FALSE)*K188</f>
        <v>177.78749999999999</v>
      </c>
      <c r="L189" s="458">
        <f>VLOOKUP($I187,'Option Tables'!$B$3:$N$19,9,FALSE)*L188</f>
        <v>83.077500000000001</v>
      </c>
      <c r="M189" s="458">
        <f>VLOOKUP($I187,'Option Tables'!$B$3:$N$19,10,FALSE)*M188</f>
        <v>22.522500000000001</v>
      </c>
      <c r="N189" s="458">
        <f>VLOOKUP($I187,'Option Tables'!$B$3:$N$19,11,FALSE)*N188</f>
        <v>0</v>
      </c>
      <c r="O189" s="458">
        <f>VLOOKUP($I187,'Option Tables'!$B$3:$N$19,12,FALSE)*O188</f>
        <v>0</v>
      </c>
      <c r="P189" s="459">
        <f>VLOOKUP($I187,'Option Tables'!$B$3:$N$19,13,FALSE)*P188</f>
        <v>0</v>
      </c>
      <c r="Q189" s="96"/>
    </row>
    <row r="190" spans="1:18" ht="15.75" customHeight="1" thickBot="1">
      <c r="A190" s="172"/>
      <c r="B190" s="95"/>
      <c r="C190" s="66"/>
      <c r="D190" s="62"/>
      <c r="E190" s="355"/>
      <c r="F190" s="355"/>
      <c r="G190" s="355"/>
      <c r="H190" s="355"/>
      <c r="I190" s="355"/>
      <c r="J190" s="355"/>
      <c r="K190" s="355"/>
      <c r="L190" s="355"/>
      <c r="M190" s="460"/>
      <c r="N190" s="460"/>
      <c r="O190" s="460"/>
      <c r="P190" s="461"/>
      <c r="Q190" s="96"/>
    </row>
    <row r="191" spans="1:18" ht="15.75" customHeight="1" thickBot="1">
      <c r="A191" s="172"/>
      <c r="B191" s="254" t="s">
        <v>73</v>
      </c>
      <c r="C191" s="105" t="s">
        <v>73</v>
      </c>
      <c r="D191" s="105" t="s">
        <v>74</v>
      </c>
      <c r="E191" s="462"/>
      <c r="F191" s="463"/>
      <c r="G191" s="464"/>
      <c r="H191" s="464" t="s">
        <v>55</v>
      </c>
      <c r="I191" s="68">
        <v>2</v>
      </c>
      <c r="J191" s="460"/>
      <c r="K191" s="460"/>
      <c r="L191" s="460"/>
      <c r="M191" s="460"/>
      <c r="N191" s="460"/>
      <c r="O191" s="460"/>
      <c r="P191" s="461"/>
      <c r="Q191" s="96"/>
    </row>
    <row r="192" spans="1:18" ht="15.75" customHeight="1">
      <c r="A192" s="172"/>
      <c r="B192" s="679" t="str">
        <f>"("&amp;VLOOKUP(C192,NodeList!$D$5:$E$68,2,FALSE)&amp;")"</f>
        <v>(Confluence Sulphur Creek / Bear River)</v>
      </c>
      <c r="C192" s="256" t="s">
        <v>79</v>
      </c>
      <c r="D192" s="388">
        <v>1</v>
      </c>
      <c r="E192" s="355">
        <f>$D192*((E189*(VLOOKUP(I191,'Option Tables'!$B$23:$F$26,2)))+(P189*(VLOOKUP(I191,'Option Tables'!$B$23:$F$26,3)))+(O189*(VLOOKUP(I191,'Option Tables'!$B$23:$F$26,4))+(N189*(VLOOKUP(I191,'Option Tables'!$B$23:$F$26,5)))))</f>
        <v>0</v>
      </c>
      <c r="F192" s="355">
        <f>$D192*((F189*(VLOOKUP(I191,'Option Tables'!$B$23:$F$26,2)))+(E189*(VLOOKUP(I191,'Option Tables'!$B$23:$F$26,3)))+(P189*(VLOOKUP(I191,'Option Tables'!$B$23:$F$26,4))+(O189*(VLOOKUP(I191,'Option Tables'!$B$23:$F$26,5)))))</f>
        <v>0</v>
      </c>
      <c r="G192" s="355">
        <f>$D192*((G189*(VLOOKUP(I191,'Option Tables'!$B$23:$F$26,2)))+(F189*(VLOOKUP(I191,'Option Tables'!$B$23:$F$26,3)))+(E189*(VLOOKUP(I191,'Option Tables'!$B$23:$F$26,4))+(P189*(VLOOKUP(I191,'Option Tables'!$B$23:$F$26,5)))))</f>
        <v>0</v>
      </c>
      <c r="H192" s="355">
        <f>$D192*((H189*(VLOOKUP(I191,'Option Tables'!$B$23:$F$26,2)))+(G189*(VLOOKUP(I191,'Option Tables'!$B$23:$F$26,3)))+(F189*(VLOOKUP(I191,'Option Tables'!$B$23:$F$26,4))+(E189*(VLOOKUP(I191,'Option Tables'!$B$23:$F$26,5)))))</f>
        <v>0</v>
      </c>
      <c r="I192" s="355">
        <f>$D192*((I189*(VLOOKUP(I191,'Option Tables'!$B$23:$F$26,2)))+(H189*(VLOOKUP(I191,'Option Tables'!$B$23:$F$26,3)))+(G189*(VLOOKUP(I191,'Option Tables'!$B$23:$F$26,4))+(F189*(VLOOKUP(I191,'Option Tables'!$B$23:$F$26,5)))))</f>
        <v>18.537749999999999</v>
      </c>
      <c r="J192" s="355">
        <f>$D192*((J189*(VLOOKUP(I191,'Option Tables'!$B$23:$F$26,2)))+(I189*(VLOOKUP(I191,'Option Tables'!$B$23:$F$26,3)))+(H189*(VLOOKUP(I191,'Option Tables'!$B$23:$F$26,4))+(G189*(VLOOKUP(I191,'Option Tables'!$B$23:$F$26,5)))))</f>
        <v>76.502250000000004</v>
      </c>
      <c r="K192" s="355">
        <f>$D192*((K189*(VLOOKUP(I191,'Option Tables'!$B$23:$F$26,2)))+(J189*(VLOOKUP(I191,'Option Tables'!$B$23:$F$26,3)))+(I189*(VLOOKUP(I191,'Option Tables'!$B$23:$F$26,4))+(H189*(VLOOKUP(I191,'Option Tables'!$B$23:$F$26,5)))))</f>
        <v>147.44399999999999</v>
      </c>
      <c r="L192" s="355">
        <f>$D192*((L189*(VLOOKUP(I191,'Option Tables'!$B$23:$F$26,2)))+(K189*(VLOOKUP(I191,'Option Tables'!$B$23:$F$26,3)))+(J189*(VLOOKUP(I191,'Option Tables'!$B$23:$F$26,4))+(I189*(VLOOKUP(I191,'Option Tables'!$B$23:$F$26,5)))))</f>
        <v>103.884</v>
      </c>
      <c r="M192" s="355">
        <f>$D192*((M189*(VLOOKUP(I191,'Option Tables'!$B$23:$F$26,2)))+(L189*(VLOOKUP(I191,'Option Tables'!$B$23:$F$26,3)))+(K189*(VLOOKUP(I191,'Option Tables'!$B$23:$F$26,4))+(J189*(VLOOKUP(I191,'Option Tables'!$B$23:$F$26,5)))))</f>
        <v>50.16</v>
      </c>
      <c r="N192" s="355">
        <f>$D192*((N189*(VLOOKUP(I191,'Option Tables'!$B$23:$F$26,2)))+(M189*(VLOOKUP(I191,'Option Tables'!$B$23:$F$26,3)))+(L189*(VLOOKUP(I191,'Option Tables'!$B$23:$F$26,4))+(K189*(VLOOKUP(I191,'Option Tables'!$B$23:$F$26,5)))))</f>
        <v>12.812250000000001</v>
      </c>
      <c r="O192" s="355">
        <f>$D192*((O189*(VLOOKUP(I191,'Option Tables'!$B$23:$F$26,2)))+(N189*(VLOOKUP(I191,'Option Tables'!$B$23:$F$26,3)))+(M189*(VLOOKUP(I191,'Option Tables'!$B$23:$F$26,4))+(L189*(VLOOKUP(I191,'Option Tables'!$B$23:$F$26,5)))))</f>
        <v>2.2522500000000001</v>
      </c>
      <c r="P192" s="465">
        <f>$D192*((P189*(VLOOKUP(I191,'Option Tables'!$B$23:$F$26,2)))+(O189*(VLOOKUP(I191,'Option Tables'!$B$23:$F$26,3)))+(N189*(VLOOKUP(I191,'Option Tables'!$B$23:$F$26,4))+(M189*(VLOOKUP(I191,'Option Tables'!$B$23:$F$26,5)))))</f>
        <v>0</v>
      </c>
      <c r="Q192" s="96"/>
    </row>
    <row r="193" spans="1:18" ht="15.75" customHeight="1">
      <c r="A193" s="172"/>
      <c r="B193" s="679"/>
      <c r="C193" s="256"/>
      <c r="D193" s="388">
        <v>0</v>
      </c>
      <c r="E193" s="355">
        <f>$D193*((E189*(VLOOKUP(I191,'Option Tables'!$B$23:$F$26,2)))+(P189*(VLOOKUP(I191,'Option Tables'!$B$23:$F$26,3)))+(O189*(VLOOKUP(I191,'Option Tables'!$B$23:$F$26,4))+(N189*(VLOOKUP(I191,'Option Tables'!$B$23:$F$26,5)))))</f>
        <v>0</v>
      </c>
      <c r="F193" s="355">
        <f>$D193*((F189*(VLOOKUP(I191,'Option Tables'!$B$23:$F$26,2)))+(E189*(VLOOKUP(I191,'Option Tables'!$B$23:$F$26,3)))+(P189*(VLOOKUP(I191,'Option Tables'!$B$23:$F$26,4))+(O189*(VLOOKUP(I191,'Option Tables'!$B$23:$F$26,5)))))</f>
        <v>0</v>
      </c>
      <c r="G193" s="355">
        <f>$D193*((G189*(VLOOKUP(I191,'Option Tables'!$B$23:$F$26,2)))+(F189*(VLOOKUP(I191,'Option Tables'!$B$23:$F$26,3)))+(E189*(VLOOKUP(I191,'Option Tables'!$B$23:$F$26,4))+(P189*(VLOOKUP(I191,'Option Tables'!$B$23:$F$26,5)))))</f>
        <v>0</v>
      </c>
      <c r="H193" s="355">
        <f>$D193*((H189*(VLOOKUP(I191,'Option Tables'!$B$23:$F$26,2)))+(G189*(VLOOKUP(I191,'Option Tables'!$B$23:$F$26,3)))+(F189*(VLOOKUP(I191,'Option Tables'!$B$23:$F$26,4))+(E189*(VLOOKUP(I191,'Option Tables'!$B$23:$F$26,5)))))</f>
        <v>0</v>
      </c>
      <c r="I193" s="355">
        <f>$D193*((I189*(VLOOKUP(I191,'Option Tables'!$B$23:$F$26,2)))+(H189*(VLOOKUP(I191,'Option Tables'!$B$23:$F$26,3)))+(G189*(VLOOKUP(I191,'Option Tables'!$B$23:$F$26,4))+(F189*(VLOOKUP(I191,'Option Tables'!$B$23:$F$26,5)))))</f>
        <v>0</v>
      </c>
      <c r="J193" s="355">
        <f>$D193*((J189*(VLOOKUP(I191,'Option Tables'!$B$23:$F$26,2)))+(I189*(VLOOKUP(I191,'Option Tables'!$B$23:$F$26,3)))+(H189*(VLOOKUP(I191,'Option Tables'!$B$23:$F$26,4))+(G189*(VLOOKUP(I191,'Option Tables'!$B$23:$F$26,5)))))</f>
        <v>0</v>
      </c>
      <c r="K193" s="355">
        <f>$D193*((K189*(VLOOKUP(I191,'Option Tables'!$B$23:$F$26,2)))+(J189*(VLOOKUP(I191,'Option Tables'!$B$23:$F$26,3)))+(I189*(VLOOKUP(I191,'Option Tables'!$B$23:$F$26,4))+(H189*(VLOOKUP(I191,'Option Tables'!$B$23:$F$26,5)))))</f>
        <v>0</v>
      </c>
      <c r="L193" s="355">
        <f>$D193*((L189*(VLOOKUP(I191,'Option Tables'!$B$23:$F$26,2)))+(K189*(VLOOKUP(I191,'Option Tables'!$B$23:$F$26,3)))+(J189*(VLOOKUP(I191,'Option Tables'!$B$23:$F$26,4))+(I189*(VLOOKUP(I191,'Option Tables'!$B$23:$F$26,5)))))</f>
        <v>0</v>
      </c>
      <c r="M193" s="355">
        <f>$D193*((M189*(VLOOKUP(I191,'Option Tables'!$B$23:$F$26,2)))+(L189*(VLOOKUP(I191,'Option Tables'!$B$23:$F$26,3)))+(K189*(VLOOKUP(I191,'Option Tables'!$B$23:$F$26,4))+(J189*(VLOOKUP(I191,'Option Tables'!$B$23:$F$26,5)))))</f>
        <v>0</v>
      </c>
      <c r="N193" s="355">
        <f>$D193*((N189*(VLOOKUP(I191,'Option Tables'!$B$23:$F$26,2)))+(M189*(VLOOKUP(I191,'Option Tables'!$B$23:$F$26,3)))+(L189*(VLOOKUP(I191,'Option Tables'!$B$23:$F$26,4))+(K189*(VLOOKUP(I191,'Option Tables'!$B$23:$F$26,5)))))</f>
        <v>0</v>
      </c>
      <c r="O193" s="355">
        <f>$D193*((O189*(VLOOKUP(I191,'Option Tables'!$B$23:$F$26,2)))+(N189*(VLOOKUP(I191,'Option Tables'!$B$23:$F$26,3)))+(M189*(VLOOKUP(I191,'Option Tables'!$B$23:$F$26,4))+(L189*(VLOOKUP(I191,'Option Tables'!$B$23:$F$26,5)))))</f>
        <v>0</v>
      </c>
      <c r="P193" s="465">
        <f>$D193*((P189*(VLOOKUP(I191,'Option Tables'!$B$23:$F$26,2)))+(O189*(VLOOKUP(I191,'Option Tables'!$B$23:$F$26,3)))+(N189*(VLOOKUP(I191,'Option Tables'!$B$23:$F$26,4))+(M189*(VLOOKUP(I191,'Option Tables'!$B$23:$F$26,5)))))</f>
        <v>0</v>
      </c>
      <c r="Q193" s="96"/>
    </row>
    <row r="194" spans="1:18" ht="15.75" customHeight="1">
      <c r="A194" s="172"/>
      <c r="B194" s="95"/>
      <c r="C194" s="256"/>
      <c r="D194" s="388">
        <v>0</v>
      </c>
      <c r="E194" s="355">
        <f>$D194*((E189*(VLOOKUP(I191,'Option Tables'!$B$23:$F$26,2)))+(P189*(VLOOKUP(I191,'Option Tables'!$B$23:$F$26,3)))+(O189*(VLOOKUP(I191,'Option Tables'!$B$23:$F$26,4))+(N189*(VLOOKUP(I191,'Option Tables'!$B$23:$F$26,5)))))</f>
        <v>0</v>
      </c>
      <c r="F194" s="355">
        <f>$D194*((F189*(VLOOKUP(I191,'Option Tables'!$B$23:$F$26,2)))+(E189*(VLOOKUP(I191,'Option Tables'!$B$23:$F$26,3)))+(P189*(VLOOKUP(I191,'Option Tables'!$B$23:$F$26,4))+(O189*(VLOOKUP(I191,'Option Tables'!$B$23:$F$26,5)))))</f>
        <v>0</v>
      </c>
      <c r="G194" s="355">
        <f>$D194*((G189*(VLOOKUP(I191,'Option Tables'!$B$23:$F$26,2)))+(F189*(VLOOKUP(I191,'Option Tables'!$B$23:$F$26,3)))+(E189*(VLOOKUP(I191,'Option Tables'!$B$23:$F$26,4))+(P189*(VLOOKUP(I191,'Option Tables'!$B$23:$F$26,5)))))</f>
        <v>0</v>
      </c>
      <c r="H194" s="355">
        <f>$D194*((H189*(VLOOKUP(I191,'Option Tables'!$B$23:$F$26,2)))+(G189*(VLOOKUP(I191,'Option Tables'!$B$23:$F$26,3)))+(F189*(VLOOKUP(I191,'Option Tables'!$B$23:$F$26,4))+(E189*(VLOOKUP(I191,'Option Tables'!$B$23:$F$26,5)))))</f>
        <v>0</v>
      </c>
      <c r="I194" s="355">
        <f>$D194*((I189*(VLOOKUP(I191,'Option Tables'!$B$23:$F$26,2)))+(H189*(VLOOKUP(I191,'Option Tables'!$B$23:$F$26,3)))+(G189*(VLOOKUP(I191,'Option Tables'!$B$23:$F$26,4))+(F189*(VLOOKUP(I191,'Option Tables'!$B$23:$F$26,5)))))</f>
        <v>0</v>
      </c>
      <c r="J194" s="355">
        <f>$D194*((J189*(VLOOKUP(I191,'Option Tables'!$B$23:$F$26,2)))+(I189*(VLOOKUP(I191,'Option Tables'!$B$23:$F$26,3)))+(H189*(VLOOKUP(I191,'Option Tables'!$B$23:$F$26,4))+(G189*(VLOOKUP(I191,'Option Tables'!$B$23:$F$26,5)))))</f>
        <v>0</v>
      </c>
      <c r="K194" s="355">
        <f>$D194*((K189*(VLOOKUP(I191,'Option Tables'!$B$23:$F$26,2)))+(J189*(VLOOKUP(I191,'Option Tables'!$B$23:$F$26,3)))+(I189*(VLOOKUP(I191,'Option Tables'!$B$23:$F$26,4))+(H189*(VLOOKUP(I191,'Option Tables'!$B$23:$F$26,5)))))</f>
        <v>0</v>
      </c>
      <c r="L194" s="355">
        <f>$D194*((L189*(VLOOKUP(I191,'Option Tables'!$B$23:$F$26,2)))+(K189*(VLOOKUP(I191,'Option Tables'!$B$23:$F$26,3)))+(J189*(VLOOKUP(I191,'Option Tables'!$B$23:$F$26,4))+(I189*(VLOOKUP(I191,'Option Tables'!$B$23:$F$26,5)))))</f>
        <v>0</v>
      </c>
      <c r="M194" s="355">
        <f>$D194*((M189*(VLOOKUP(I191,'Option Tables'!$B$23:$F$26,2)))+(L189*(VLOOKUP(I191,'Option Tables'!$B$23:$F$26,3)))+(K189*(VLOOKUP(I191,'Option Tables'!$B$23:$F$26,4))+(J189*(VLOOKUP(I191,'Option Tables'!$B$23:$F$26,5)))))</f>
        <v>0</v>
      </c>
      <c r="N194" s="355">
        <f>$D194*((N189*(VLOOKUP(I191,'Option Tables'!$B$23:$F$26,2)))+(M189*(VLOOKUP(I191,'Option Tables'!$B$23:$F$26,3)))+(L189*(VLOOKUP(I191,'Option Tables'!$B$23:$F$26,4))+(K189*(VLOOKUP(I191,'Option Tables'!$B$23:$F$26,5)))))</f>
        <v>0</v>
      </c>
      <c r="O194" s="355">
        <f>$D194*((O189*(VLOOKUP(I191,'Option Tables'!$B$23:$F$26,2)))+(N189*(VLOOKUP(I191,'Option Tables'!$B$23:$F$26,3)))+(M189*(VLOOKUP(I191,'Option Tables'!$B$23:$F$26,4))+(L189*(VLOOKUP(I191,'Option Tables'!$B$23:$F$26,5)))))</f>
        <v>0</v>
      </c>
      <c r="P194" s="465">
        <f>$D194*((P189*(VLOOKUP(I191,'Option Tables'!$B$23:$F$26,2)))+(O189*(VLOOKUP(I191,'Option Tables'!$B$23:$F$26,3)))+(N189*(VLOOKUP(I191,'Option Tables'!$B$23:$F$26,4))+(M189*(VLOOKUP(I191,'Option Tables'!$B$23:$F$26,5)))))</f>
        <v>0</v>
      </c>
      <c r="Q194" s="96"/>
    </row>
    <row r="195" spans="1:18" ht="15.75" customHeight="1">
      <c r="A195" s="172"/>
      <c r="B195" s="95"/>
      <c r="C195" s="256"/>
      <c r="D195" s="388">
        <v>0</v>
      </c>
      <c r="E195" s="355">
        <f>$D195*((E189*(VLOOKUP(I191,'Option Tables'!$B$23:$F$26,2)))+(P189*(VLOOKUP(I191,'Option Tables'!$B$23:$F$26,3)))+(O189*(VLOOKUP(I191,'Option Tables'!$B$23:$F$26,4))+(N189*(VLOOKUP(I191,'Option Tables'!$B$23:$F$26,5)))))</f>
        <v>0</v>
      </c>
      <c r="F195" s="355">
        <f>$D195*((F189*(VLOOKUP(I191,'Option Tables'!$B$23:$F$26,2)))+(E189*(VLOOKUP(I191,'Option Tables'!$B$23:$F$26,3)))+(P189*(VLOOKUP(I191,'Option Tables'!$B$23:$F$26,4))+(O189*(VLOOKUP(I191,'Option Tables'!$B$23:$F$26,5)))))</f>
        <v>0</v>
      </c>
      <c r="G195" s="355">
        <f>$D195*((G189*(VLOOKUP(I191,'Option Tables'!$B$23:$F$26,2)))+(F189*(VLOOKUP(I191,'Option Tables'!$B$23:$F$26,3)))+(E189*(VLOOKUP(I191,'Option Tables'!$B$23:$F$26,4))+(P189*(VLOOKUP(I191,'Option Tables'!$B$23:$F$26,5)))))</f>
        <v>0</v>
      </c>
      <c r="H195" s="355">
        <f>$D195*((H189*(VLOOKUP(I191,'Option Tables'!$B$23:$F$26,2)))+(G189*(VLOOKUP(I191,'Option Tables'!$B$23:$F$26,3)))+(F189*(VLOOKUP(I191,'Option Tables'!$B$23:$F$26,4))+(E189*(VLOOKUP(I191,'Option Tables'!$B$23:$F$26,5)))))</f>
        <v>0</v>
      </c>
      <c r="I195" s="355">
        <f>$D195*((I189*(VLOOKUP(I191,'Option Tables'!$B$23:$F$26,2)))+(H189*(VLOOKUP(I191,'Option Tables'!$B$23:$F$26,3)))+(G189*(VLOOKUP(I191,'Option Tables'!$B$23:$F$26,4))+(F189*(VLOOKUP(I191,'Option Tables'!$B$23:$F$26,5)))))</f>
        <v>0</v>
      </c>
      <c r="J195" s="355">
        <f>$D195*((J189*(VLOOKUP(I191,'Option Tables'!$B$23:$F$26,2)))+(I189*(VLOOKUP(I191,'Option Tables'!$B$23:$F$26,3)))+(H189*(VLOOKUP(I191,'Option Tables'!$B$23:$F$26,4))+(G189*(VLOOKUP(I191,'Option Tables'!$B$23:$F$26,5)))))</f>
        <v>0</v>
      </c>
      <c r="K195" s="355">
        <f>$D195*((K189*(VLOOKUP(I191,'Option Tables'!$B$23:$F$26,2)))+(J189*(VLOOKUP(I191,'Option Tables'!$B$23:$F$26,3)))+(I189*(VLOOKUP(I191,'Option Tables'!$B$23:$F$26,4))+(H189*(VLOOKUP(I191,'Option Tables'!$B$23:$F$26,5)))))</f>
        <v>0</v>
      </c>
      <c r="L195" s="355">
        <f>$D195*((L189*(VLOOKUP(I191,'Option Tables'!$B$23:$F$26,2)))+(K189*(VLOOKUP(I191,'Option Tables'!$B$23:$F$26,3)))+(J189*(VLOOKUP(I191,'Option Tables'!$B$23:$F$26,4))+(I189*(VLOOKUP(I191,'Option Tables'!$B$23:$F$26,5)))))</f>
        <v>0</v>
      </c>
      <c r="M195" s="355">
        <f>$D195*((M189*(VLOOKUP(I191,'Option Tables'!$B$23:$F$26,2)))+(L189*(VLOOKUP(I191,'Option Tables'!$B$23:$F$26,3)))+(K189*(VLOOKUP(I191,'Option Tables'!$B$23:$F$26,4))+(J189*(VLOOKUP(I191,'Option Tables'!$B$23:$F$26,5)))))</f>
        <v>0</v>
      </c>
      <c r="N195" s="355">
        <f>$D195*((N189*(VLOOKUP(I191,'Option Tables'!$B$23:$F$26,2)))+(M189*(VLOOKUP(I191,'Option Tables'!$B$23:$F$26,3)))+(L189*(VLOOKUP(I191,'Option Tables'!$B$23:$F$26,4))+(K189*(VLOOKUP(I191,'Option Tables'!$B$23:$F$26,5)))))</f>
        <v>0</v>
      </c>
      <c r="O195" s="355">
        <f>$D195*((O189*(VLOOKUP(I191,'Option Tables'!$B$23:$F$26,2)))+(N189*(VLOOKUP(I191,'Option Tables'!$B$23:$F$26,3)))+(M189*(VLOOKUP(I191,'Option Tables'!$B$23:$F$26,4))+(L189*(VLOOKUP(I191,'Option Tables'!$B$23:$F$26,5)))))</f>
        <v>0</v>
      </c>
      <c r="P195" s="465">
        <f>$D195*((P189*(VLOOKUP(I191,'Option Tables'!$B$23:$F$26,2)))+(O189*(VLOOKUP(I191,'Option Tables'!$B$23:$F$26,3)))+(N189*(VLOOKUP(I191,'Option Tables'!$B$23:$F$26,4))+(M189*(VLOOKUP(I191,'Option Tables'!$B$23:$F$26,5)))))</f>
        <v>0</v>
      </c>
      <c r="Q195" s="96"/>
    </row>
    <row r="196" spans="1:18" ht="15.75" customHeight="1" thickBot="1">
      <c r="A196" s="172"/>
      <c r="B196" s="97"/>
      <c r="C196" s="144" t="str">
        <f>IF(D196&lt;&gt;1,"Must equal %100","")</f>
        <v/>
      </c>
      <c r="D196" s="71">
        <f t="shared" ref="D196:P196" si="18">SUM(D192:D195)</f>
        <v>1</v>
      </c>
      <c r="E196" s="466">
        <f t="shared" si="18"/>
        <v>0</v>
      </c>
      <c r="F196" s="466">
        <f t="shared" si="18"/>
        <v>0</v>
      </c>
      <c r="G196" s="466">
        <f t="shared" si="18"/>
        <v>0</v>
      </c>
      <c r="H196" s="466">
        <f t="shared" si="18"/>
        <v>0</v>
      </c>
      <c r="I196" s="466">
        <f t="shared" si="18"/>
        <v>18.537749999999999</v>
      </c>
      <c r="J196" s="466">
        <f t="shared" si="18"/>
        <v>76.502250000000004</v>
      </c>
      <c r="K196" s="466">
        <f t="shared" si="18"/>
        <v>147.44399999999999</v>
      </c>
      <c r="L196" s="466">
        <f t="shared" si="18"/>
        <v>103.884</v>
      </c>
      <c r="M196" s="466">
        <f t="shared" si="18"/>
        <v>50.16</v>
      </c>
      <c r="N196" s="466">
        <f t="shared" si="18"/>
        <v>12.812250000000001</v>
      </c>
      <c r="O196" s="466">
        <f t="shared" si="18"/>
        <v>2.2522500000000001</v>
      </c>
      <c r="P196" s="467">
        <f t="shared" si="18"/>
        <v>0</v>
      </c>
      <c r="Q196" s="96"/>
      <c r="R196" s="140"/>
    </row>
    <row r="197" spans="1:18" ht="15.75" customHeight="1" thickBot="1">
      <c r="A197" s="257" t="s">
        <v>260</v>
      </c>
      <c r="B197" s="95"/>
      <c r="C197" s="205"/>
      <c r="D197" s="98"/>
      <c r="E197" s="355"/>
      <c r="F197" s="358"/>
      <c r="G197" s="358"/>
      <c r="H197" s="358"/>
      <c r="I197" s="358"/>
      <c r="J197" s="355"/>
      <c r="K197" s="355"/>
      <c r="L197" s="355"/>
      <c r="M197" s="355"/>
      <c r="N197" s="355"/>
      <c r="O197" s="355"/>
      <c r="P197" s="465"/>
      <c r="Q197" s="96"/>
    </row>
    <row r="198" spans="1:18" ht="15.75" customHeight="1" thickBot="1">
      <c r="B198" s="85" t="s">
        <v>79</v>
      </c>
      <c r="C198" s="284" t="str">
        <f>VLOOKUP(B198,NodeList!$D$5:$E$73,2,FALSE)</f>
        <v>Confluence Sulphur Creek / Bear River</v>
      </c>
      <c r="D198" s="91"/>
      <c r="E198" s="450"/>
      <c r="F198" s="451"/>
      <c r="G198" s="452"/>
      <c r="H198" s="453" t="s">
        <v>54</v>
      </c>
      <c r="I198" s="68">
        <v>15</v>
      </c>
      <c r="J198" s="454"/>
      <c r="K198" s="454"/>
      <c r="L198" s="454"/>
      <c r="M198" s="454"/>
      <c r="N198" s="454"/>
      <c r="O198" s="454"/>
      <c r="P198" s="455"/>
      <c r="Q198" s="96"/>
    </row>
    <row r="199" spans="1:18" ht="15.75" customHeight="1">
      <c r="B199" s="94"/>
      <c r="C199" s="66" t="s">
        <v>57</v>
      </c>
      <c r="D199" s="69"/>
      <c r="E199" s="456">
        <f>VLOOKUP($B198,'Diversion Data'!$B$3:$O$227,3,FALSE)</f>
        <v>0</v>
      </c>
      <c r="F199" s="456">
        <f>VLOOKUP($B198,'Diversion Data'!$B$3:$O$227,4,FALSE)</f>
        <v>1</v>
      </c>
      <c r="G199" s="456">
        <f>VLOOKUP($B198,'Diversion Data'!$B$3:$O$227,5,FALSE)</f>
        <v>2</v>
      </c>
      <c r="H199" s="456">
        <f>VLOOKUP($B198,'Diversion Data'!$B$3:$O$227,6,FALSE)</f>
        <v>3</v>
      </c>
      <c r="I199" s="456">
        <f>VLOOKUP($B198,'Diversion Data'!$B$3:$O$227,7,FALSE)</f>
        <v>4</v>
      </c>
      <c r="J199" s="456">
        <f>VLOOKUP($B198,'Diversion Data'!$B$3:$O$227,8,FALSE)</f>
        <v>5</v>
      </c>
      <c r="K199" s="456">
        <f>VLOOKUP($B198,'Diversion Data'!$B$3:$O$227,9,FALSE)</f>
        <v>6</v>
      </c>
      <c r="L199" s="456">
        <f>VLOOKUP($B198,'Diversion Data'!$B$3:$O$227,10,FALSE)</f>
        <v>7</v>
      </c>
      <c r="M199" s="456">
        <f>VLOOKUP($B198,'Diversion Data'!$B$3:$O$227,11,FALSE)</f>
        <v>8</v>
      </c>
      <c r="N199" s="456">
        <f>VLOOKUP($B198,'Diversion Data'!$B$3:$O$227,12,FALSE)</f>
        <v>9</v>
      </c>
      <c r="O199" s="456">
        <f>VLOOKUP($B198,'Diversion Data'!$B$3:$O$227,13,FALSE)</f>
        <v>10</v>
      </c>
      <c r="P199" s="457">
        <f>VLOOKUP($B198,'Diversion Data'!$B$3:$O$227,14,FALSE)</f>
        <v>11</v>
      </c>
      <c r="Q199" s="96"/>
    </row>
    <row r="200" spans="1:18" ht="15.75" customHeight="1">
      <c r="B200" s="95"/>
      <c r="C200" s="72" t="s">
        <v>56</v>
      </c>
      <c r="D200" s="70"/>
      <c r="E200" s="458">
        <f>VLOOKUP($I198,'Option Tables'!$B$3:$N$19,2,FALSE)*E199</f>
        <v>0</v>
      </c>
      <c r="F200" s="458">
        <f>VLOOKUP($I198,'Option Tables'!$B$3:$N$19,3,FALSE)*F199</f>
        <v>0.85</v>
      </c>
      <c r="G200" s="458">
        <f>VLOOKUP($I198,'Option Tables'!$B$3:$N$19,4,FALSE)*G199</f>
        <v>1.7</v>
      </c>
      <c r="H200" s="458">
        <f>VLOOKUP($I198,'Option Tables'!$B$3:$N$19,5,FALSE)*H199</f>
        <v>2.5499999999999998</v>
      </c>
      <c r="I200" s="458">
        <f>VLOOKUP($I198,'Option Tables'!$B$3:$N$19,6,FALSE)*I199</f>
        <v>3.4</v>
      </c>
      <c r="J200" s="458">
        <f>VLOOKUP($I198,'Option Tables'!$B$3:$N$19,7,FALSE)*J199</f>
        <v>4.25</v>
      </c>
      <c r="K200" s="458">
        <f>VLOOKUP($I198,'Option Tables'!$B$3:$N$19,8,FALSE)*K199</f>
        <v>5.0999999999999996</v>
      </c>
      <c r="L200" s="458">
        <f>VLOOKUP($I198,'Option Tables'!$B$3:$N$19,9,FALSE)*L199</f>
        <v>5.95</v>
      </c>
      <c r="M200" s="458">
        <f>VLOOKUP($I198,'Option Tables'!$B$3:$N$19,10,FALSE)*M199</f>
        <v>6.8</v>
      </c>
      <c r="N200" s="458">
        <f>VLOOKUP($I198,'Option Tables'!$B$3:$N$19,11,FALSE)*N199</f>
        <v>7.6499999999999995</v>
      </c>
      <c r="O200" s="458">
        <f>VLOOKUP($I198,'Option Tables'!$B$3:$N$19,12,FALSE)*O199</f>
        <v>8.5</v>
      </c>
      <c r="P200" s="459">
        <f>VLOOKUP($I198,'Option Tables'!$B$3:$N$19,13,FALSE)*P199</f>
        <v>9.35</v>
      </c>
      <c r="Q200" s="96"/>
    </row>
    <row r="201" spans="1:18" ht="15.75" customHeight="1" thickBot="1">
      <c r="B201" s="95"/>
      <c r="C201" s="66"/>
      <c r="D201" s="62"/>
      <c r="E201" s="355"/>
      <c r="F201" s="355"/>
      <c r="G201" s="355"/>
      <c r="H201" s="355"/>
      <c r="I201" s="355"/>
      <c r="J201" s="355"/>
      <c r="K201" s="355"/>
      <c r="L201" s="355"/>
      <c r="M201" s="460"/>
      <c r="N201" s="460"/>
      <c r="O201" s="460"/>
      <c r="P201" s="461"/>
      <c r="Q201" s="96"/>
    </row>
    <row r="202" spans="1:18" ht="15.75" customHeight="1" thickBot="1">
      <c r="B202" s="254" t="s">
        <v>73</v>
      </c>
      <c r="C202" s="105" t="s">
        <v>73</v>
      </c>
      <c r="D202" s="105" t="s">
        <v>74</v>
      </c>
      <c r="E202" s="462"/>
      <c r="F202" s="463"/>
      <c r="G202" s="464"/>
      <c r="H202" s="464" t="s">
        <v>55</v>
      </c>
      <c r="I202" s="68">
        <v>3</v>
      </c>
      <c r="J202" s="460"/>
      <c r="K202" s="460"/>
      <c r="L202" s="460"/>
      <c r="M202" s="460"/>
      <c r="N202" s="460"/>
      <c r="O202" s="460"/>
      <c r="P202" s="461"/>
      <c r="Q202" s="96"/>
    </row>
    <row r="203" spans="1:18" ht="15.75" customHeight="1">
      <c r="B203" s="255" t="e">
        <f>"("&amp;VLOOKUP(C203,NodeList!$D$5:$E$68,2,FALSE)&amp;")"</f>
        <v>#N/A</v>
      </c>
      <c r="C203" s="256"/>
      <c r="D203" s="388">
        <v>1</v>
      </c>
      <c r="E203" s="355">
        <f>$D203*((E200*(VLOOKUP(I202,'Option Tables'!$B$23:$F$26,2)))+(P200*(VLOOKUP(I202,'Option Tables'!$B$23:$F$26,3)))+(O200*(VLOOKUP(I202,'Option Tables'!$B$23:$F$26,4))+(N200*(VLOOKUP(I202,'Option Tables'!$B$23:$F$26,5)))))</f>
        <v>0</v>
      </c>
      <c r="F203" s="355">
        <f>$D203*((F200*(VLOOKUP(I202,'Option Tables'!$B$23:$F$26,2)))+(E200*(VLOOKUP(I202,'Option Tables'!$B$23:$F$26,3)))+(P200*(VLOOKUP(I202,'Option Tables'!$B$23:$F$26,4))+(O200*(VLOOKUP(I202,'Option Tables'!$B$23:$F$26,5)))))</f>
        <v>0.85</v>
      </c>
      <c r="G203" s="355">
        <f>$D203*((G200*(VLOOKUP(I202,'Option Tables'!$B$23:$F$26,2)))+(F200*(VLOOKUP(I202,'Option Tables'!$B$23:$F$26,3)))+(E200*(VLOOKUP(I202,'Option Tables'!$B$23:$F$26,4))+(P200*(VLOOKUP(I202,'Option Tables'!$B$23:$F$26,5)))))</f>
        <v>1.7</v>
      </c>
      <c r="H203" s="355">
        <f>$D203*((H200*(VLOOKUP(I202,'Option Tables'!$B$23:$F$26,2)))+(G200*(VLOOKUP(I202,'Option Tables'!$B$23:$F$26,3)))+(F200*(VLOOKUP(I202,'Option Tables'!$B$23:$F$26,4))+(E200*(VLOOKUP(I202,'Option Tables'!$B$23:$F$26,5)))))</f>
        <v>2.5499999999999998</v>
      </c>
      <c r="I203" s="355">
        <f>$D203*((I200*(VLOOKUP(I202,'Option Tables'!$B$23:$F$26,2)))+(H200*(VLOOKUP(I202,'Option Tables'!$B$23:$F$26,3)))+(G200*(VLOOKUP(I202,'Option Tables'!$B$23:$F$26,4))+(F200*(VLOOKUP(I202,'Option Tables'!$B$23:$F$26,5)))))</f>
        <v>3.4</v>
      </c>
      <c r="J203" s="355">
        <f>$D203*((J200*(VLOOKUP(I202,'Option Tables'!$B$23:$F$26,2)))+(I200*(VLOOKUP(I202,'Option Tables'!$B$23:$F$26,3)))+(H200*(VLOOKUP(I202,'Option Tables'!$B$23:$F$26,4))+(G200*(VLOOKUP(I202,'Option Tables'!$B$23:$F$26,5)))))</f>
        <v>4.25</v>
      </c>
      <c r="K203" s="355">
        <f>$D203*((K200*(VLOOKUP(I202,'Option Tables'!$B$23:$F$26,2)))+(J200*(VLOOKUP(I202,'Option Tables'!$B$23:$F$26,3)))+(I200*(VLOOKUP(I202,'Option Tables'!$B$23:$F$26,4))+(H200*(VLOOKUP(I202,'Option Tables'!$B$23:$F$26,5)))))</f>
        <v>5.0999999999999996</v>
      </c>
      <c r="L203" s="355">
        <f>$D203*((L200*(VLOOKUP(I202,'Option Tables'!$B$23:$F$26,2)))+(K200*(VLOOKUP(I202,'Option Tables'!$B$23:$F$26,3)))+(J200*(VLOOKUP(I202,'Option Tables'!$B$23:$F$26,4))+(I200*(VLOOKUP(I202,'Option Tables'!$B$23:$F$26,5)))))</f>
        <v>5.95</v>
      </c>
      <c r="M203" s="355">
        <f>$D203*((M200*(VLOOKUP(I202,'Option Tables'!$B$23:$F$26,2)))+(L200*(VLOOKUP(I202,'Option Tables'!$B$23:$F$26,3)))+(K200*(VLOOKUP(I202,'Option Tables'!$B$23:$F$26,4))+(J200*(VLOOKUP(I202,'Option Tables'!$B$23:$F$26,5)))))</f>
        <v>6.8</v>
      </c>
      <c r="N203" s="355">
        <f>$D203*((N200*(VLOOKUP(I202,'Option Tables'!$B$23:$F$26,2)))+(M200*(VLOOKUP(I202,'Option Tables'!$B$23:$F$26,3)))+(L200*(VLOOKUP(I202,'Option Tables'!$B$23:$F$26,4))+(K200*(VLOOKUP(I202,'Option Tables'!$B$23:$F$26,5)))))</f>
        <v>7.6499999999999995</v>
      </c>
      <c r="O203" s="355">
        <f>$D203*((O200*(VLOOKUP(I202,'Option Tables'!$B$23:$F$26,2)))+(N200*(VLOOKUP(I202,'Option Tables'!$B$23:$F$26,3)))+(M200*(VLOOKUP(I202,'Option Tables'!$B$23:$F$26,4))+(L200*(VLOOKUP(I202,'Option Tables'!$B$23:$F$26,5)))))</f>
        <v>8.5</v>
      </c>
      <c r="P203" s="465">
        <f>$D203*((P200*(VLOOKUP(I202,'Option Tables'!$B$23:$F$26,2)))+(O200*(VLOOKUP(I202,'Option Tables'!$B$23:$F$26,3)))+(N200*(VLOOKUP(I202,'Option Tables'!$B$23:$F$26,4))+(M200*(VLOOKUP(I202,'Option Tables'!$B$23:$F$26,5)))))</f>
        <v>9.35</v>
      </c>
      <c r="Q203" s="96"/>
    </row>
    <row r="204" spans="1:18" ht="15.75" customHeight="1">
      <c r="B204" s="95"/>
      <c r="C204" s="256"/>
      <c r="D204" s="388">
        <v>0</v>
      </c>
      <c r="E204" s="355">
        <f>$D204*((E200*(VLOOKUP(I202,'Option Tables'!$B$23:$F$26,2)))+(P200*(VLOOKUP(I202,'Option Tables'!$B$23:$F$26,3)))+(O200*(VLOOKUP(I202,'Option Tables'!$B$23:$F$26,4))+(N200*(VLOOKUP(I202,'Option Tables'!$B$23:$F$26,5)))))</f>
        <v>0</v>
      </c>
      <c r="F204" s="355">
        <f>$D204*((F200*(VLOOKUP(I202,'Option Tables'!$B$23:$F$26,2)))+(E200*(VLOOKUP(I202,'Option Tables'!$B$23:$F$26,3)))+(P200*(VLOOKUP(I202,'Option Tables'!$B$23:$F$26,4))+(O200*(VLOOKUP(I202,'Option Tables'!$B$23:$F$26,5)))))</f>
        <v>0</v>
      </c>
      <c r="G204" s="355">
        <f>$D204*((G200*(VLOOKUP(I202,'Option Tables'!$B$23:$F$26,2)))+(F200*(VLOOKUP(I202,'Option Tables'!$B$23:$F$26,3)))+(E200*(VLOOKUP(I202,'Option Tables'!$B$23:$F$26,4))+(P200*(VLOOKUP(I202,'Option Tables'!$B$23:$F$26,5)))))</f>
        <v>0</v>
      </c>
      <c r="H204" s="355">
        <f>$D204*((H200*(VLOOKUP(I202,'Option Tables'!$B$23:$F$26,2)))+(G200*(VLOOKUP(I202,'Option Tables'!$B$23:$F$26,3)))+(F200*(VLOOKUP(I202,'Option Tables'!$B$23:$F$26,4))+(E200*(VLOOKUP(I202,'Option Tables'!$B$23:$F$26,5)))))</f>
        <v>0</v>
      </c>
      <c r="I204" s="355">
        <f>$D204*((I200*(VLOOKUP(I202,'Option Tables'!$B$23:$F$26,2)))+(H200*(VLOOKUP(I202,'Option Tables'!$B$23:$F$26,3)))+(G200*(VLOOKUP(I202,'Option Tables'!$B$23:$F$26,4))+(F200*(VLOOKUP(I202,'Option Tables'!$B$23:$F$26,5)))))</f>
        <v>0</v>
      </c>
      <c r="J204" s="355">
        <f>$D204*((J200*(VLOOKUP(I202,'Option Tables'!$B$23:$F$26,2)))+(I200*(VLOOKUP(I202,'Option Tables'!$B$23:$F$26,3)))+(H200*(VLOOKUP(I202,'Option Tables'!$B$23:$F$26,4))+(G200*(VLOOKUP(I202,'Option Tables'!$B$23:$F$26,5)))))</f>
        <v>0</v>
      </c>
      <c r="K204" s="355">
        <f>$D204*((K200*(VLOOKUP(I202,'Option Tables'!$B$23:$F$26,2)))+(J200*(VLOOKUP(I202,'Option Tables'!$B$23:$F$26,3)))+(I200*(VLOOKUP(I202,'Option Tables'!$B$23:$F$26,4))+(H200*(VLOOKUP(I202,'Option Tables'!$B$23:$F$26,5)))))</f>
        <v>0</v>
      </c>
      <c r="L204" s="355">
        <f>$D204*((L200*(VLOOKUP(I202,'Option Tables'!$B$23:$F$26,2)))+(K200*(VLOOKUP(I202,'Option Tables'!$B$23:$F$26,3)))+(J200*(VLOOKUP(I202,'Option Tables'!$B$23:$F$26,4))+(I200*(VLOOKUP(I202,'Option Tables'!$B$23:$F$26,5)))))</f>
        <v>0</v>
      </c>
      <c r="M204" s="355">
        <f>$D204*((M200*(VLOOKUP(I202,'Option Tables'!$B$23:$F$26,2)))+(L200*(VLOOKUP(I202,'Option Tables'!$B$23:$F$26,3)))+(K200*(VLOOKUP(I202,'Option Tables'!$B$23:$F$26,4))+(J200*(VLOOKUP(I202,'Option Tables'!$B$23:$F$26,5)))))</f>
        <v>0</v>
      </c>
      <c r="N204" s="355">
        <f>$D204*((N200*(VLOOKUP(I202,'Option Tables'!$B$23:$F$26,2)))+(M200*(VLOOKUP(I202,'Option Tables'!$B$23:$F$26,3)))+(L200*(VLOOKUP(I202,'Option Tables'!$B$23:$F$26,4))+(K200*(VLOOKUP(I202,'Option Tables'!$B$23:$F$26,5)))))</f>
        <v>0</v>
      </c>
      <c r="O204" s="355">
        <f>$D204*((O200*(VLOOKUP(I202,'Option Tables'!$B$23:$F$26,2)))+(N200*(VLOOKUP(I202,'Option Tables'!$B$23:$F$26,3)))+(M200*(VLOOKUP(I202,'Option Tables'!$B$23:$F$26,4))+(L200*(VLOOKUP(I202,'Option Tables'!$B$23:$F$26,5)))))</f>
        <v>0</v>
      </c>
      <c r="P204" s="465">
        <f>$D204*((P200*(VLOOKUP(I202,'Option Tables'!$B$23:$F$26,2)))+(O200*(VLOOKUP(I202,'Option Tables'!$B$23:$F$26,3)))+(N200*(VLOOKUP(I202,'Option Tables'!$B$23:$F$26,4))+(M200*(VLOOKUP(I202,'Option Tables'!$B$23:$F$26,5)))))</f>
        <v>0</v>
      </c>
      <c r="Q204" s="96"/>
    </row>
    <row r="205" spans="1:18" ht="15.75" customHeight="1">
      <c r="B205" s="95"/>
      <c r="C205" s="256"/>
      <c r="D205" s="388">
        <v>0</v>
      </c>
      <c r="E205" s="355">
        <f>$D205*((E200*(VLOOKUP(I202,'Option Tables'!$B$23:$F$26,2)))+(P200*(VLOOKUP(I202,'Option Tables'!$B$23:$F$26,3)))+(O200*(VLOOKUP(I202,'Option Tables'!$B$23:$F$26,4))+(N200*(VLOOKUP(I202,'Option Tables'!$B$23:$F$26,5)))))</f>
        <v>0</v>
      </c>
      <c r="F205" s="355">
        <f>$D205*((F200*(VLOOKUP(I202,'Option Tables'!$B$23:$F$26,2)))+(E200*(VLOOKUP(I202,'Option Tables'!$B$23:$F$26,3)))+(P200*(VLOOKUP(I202,'Option Tables'!$B$23:$F$26,4))+(O200*(VLOOKUP(I202,'Option Tables'!$B$23:$F$26,5)))))</f>
        <v>0</v>
      </c>
      <c r="G205" s="355">
        <f>$D205*((G200*(VLOOKUP(I202,'Option Tables'!$B$23:$F$26,2)))+(F200*(VLOOKUP(I202,'Option Tables'!$B$23:$F$26,3)))+(E200*(VLOOKUP(I202,'Option Tables'!$B$23:$F$26,4))+(P200*(VLOOKUP(I202,'Option Tables'!$B$23:$F$26,5)))))</f>
        <v>0</v>
      </c>
      <c r="H205" s="355">
        <f>$D205*((H200*(VLOOKUP(I202,'Option Tables'!$B$23:$F$26,2)))+(G200*(VLOOKUP(I202,'Option Tables'!$B$23:$F$26,3)))+(F200*(VLOOKUP(I202,'Option Tables'!$B$23:$F$26,4))+(E200*(VLOOKUP(I202,'Option Tables'!$B$23:$F$26,5)))))</f>
        <v>0</v>
      </c>
      <c r="I205" s="355">
        <f>$D205*((I200*(VLOOKUP(I202,'Option Tables'!$B$23:$F$26,2)))+(H200*(VLOOKUP(I202,'Option Tables'!$B$23:$F$26,3)))+(G200*(VLOOKUP(I202,'Option Tables'!$B$23:$F$26,4))+(F200*(VLOOKUP(I202,'Option Tables'!$B$23:$F$26,5)))))</f>
        <v>0</v>
      </c>
      <c r="J205" s="355">
        <f>$D205*((J200*(VLOOKUP(I202,'Option Tables'!$B$23:$F$26,2)))+(I200*(VLOOKUP(I202,'Option Tables'!$B$23:$F$26,3)))+(H200*(VLOOKUP(I202,'Option Tables'!$B$23:$F$26,4))+(G200*(VLOOKUP(I202,'Option Tables'!$B$23:$F$26,5)))))</f>
        <v>0</v>
      </c>
      <c r="K205" s="355">
        <f>$D205*((K200*(VLOOKUP(I202,'Option Tables'!$B$23:$F$26,2)))+(J200*(VLOOKUP(I202,'Option Tables'!$B$23:$F$26,3)))+(I200*(VLOOKUP(I202,'Option Tables'!$B$23:$F$26,4))+(H200*(VLOOKUP(I202,'Option Tables'!$B$23:$F$26,5)))))</f>
        <v>0</v>
      </c>
      <c r="L205" s="355">
        <f>$D205*((L200*(VLOOKUP(I202,'Option Tables'!$B$23:$F$26,2)))+(K200*(VLOOKUP(I202,'Option Tables'!$B$23:$F$26,3)))+(J200*(VLOOKUP(I202,'Option Tables'!$B$23:$F$26,4))+(I200*(VLOOKUP(I202,'Option Tables'!$B$23:$F$26,5)))))</f>
        <v>0</v>
      </c>
      <c r="M205" s="355">
        <f>$D205*((M200*(VLOOKUP(I202,'Option Tables'!$B$23:$F$26,2)))+(L200*(VLOOKUP(I202,'Option Tables'!$B$23:$F$26,3)))+(K200*(VLOOKUP(I202,'Option Tables'!$B$23:$F$26,4))+(J200*(VLOOKUP(I202,'Option Tables'!$B$23:$F$26,5)))))</f>
        <v>0</v>
      </c>
      <c r="N205" s="355">
        <f>$D205*((N200*(VLOOKUP(I202,'Option Tables'!$B$23:$F$26,2)))+(M200*(VLOOKUP(I202,'Option Tables'!$B$23:$F$26,3)))+(L200*(VLOOKUP(I202,'Option Tables'!$B$23:$F$26,4))+(K200*(VLOOKUP(I202,'Option Tables'!$B$23:$F$26,5)))))</f>
        <v>0</v>
      </c>
      <c r="O205" s="355">
        <f>$D205*((O200*(VLOOKUP(I202,'Option Tables'!$B$23:$F$26,2)))+(N200*(VLOOKUP(I202,'Option Tables'!$B$23:$F$26,3)))+(M200*(VLOOKUP(I202,'Option Tables'!$B$23:$F$26,4))+(L200*(VLOOKUP(I202,'Option Tables'!$B$23:$F$26,5)))))</f>
        <v>0</v>
      </c>
      <c r="P205" s="465">
        <f>$D205*((P200*(VLOOKUP(I202,'Option Tables'!$B$23:$F$26,2)))+(O200*(VLOOKUP(I202,'Option Tables'!$B$23:$F$26,3)))+(N200*(VLOOKUP(I202,'Option Tables'!$B$23:$F$26,4))+(M200*(VLOOKUP(I202,'Option Tables'!$B$23:$F$26,5)))))</f>
        <v>0</v>
      </c>
      <c r="Q205" s="96"/>
    </row>
    <row r="206" spans="1:18" ht="15.75" customHeight="1">
      <c r="B206" s="95"/>
      <c r="C206" s="256"/>
      <c r="D206" s="70">
        <v>0</v>
      </c>
      <c r="E206" s="355">
        <f>$D206*((E200*(VLOOKUP(I202,'Option Tables'!$B$23:$F$26,2)))+(P200*(VLOOKUP(I202,'Option Tables'!$B$23:$F$26,3)))+(O200*(VLOOKUP(I202,'Option Tables'!$B$23:$F$26,4))+(N200*(VLOOKUP(I202,'Option Tables'!$B$23:$F$26,5)))))</f>
        <v>0</v>
      </c>
      <c r="F206" s="355">
        <f>$D206*((F200*(VLOOKUP(I202,'Option Tables'!$B$23:$F$26,2)))+(E200*(VLOOKUP(I202,'Option Tables'!$B$23:$F$26,3)))+(P200*(VLOOKUP(I202,'Option Tables'!$B$23:$F$26,4))+(O200*(VLOOKUP(I202,'Option Tables'!$B$23:$F$26,5)))))</f>
        <v>0</v>
      </c>
      <c r="G206" s="355">
        <f>$D206*((G200*(VLOOKUP(I202,'Option Tables'!$B$23:$F$26,2)))+(F200*(VLOOKUP(I202,'Option Tables'!$B$23:$F$26,3)))+(E200*(VLOOKUP(I202,'Option Tables'!$B$23:$F$26,4))+(P200*(VLOOKUP(I202,'Option Tables'!$B$23:$F$26,5)))))</f>
        <v>0</v>
      </c>
      <c r="H206" s="355">
        <f>$D206*((H200*(VLOOKUP(I202,'Option Tables'!$B$23:$F$26,2)))+(G200*(VLOOKUP(I202,'Option Tables'!$B$23:$F$26,3)))+(F200*(VLOOKUP(I202,'Option Tables'!$B$23:$F$26,4))+(E200*(VLOOKUP(I202,'Option Tables'!$B$23:$F$26,5)))))</f>
        <v>0</v>
      </c>
      <c r="I206" s="355">
        <f>$D206*((I200*(VLOOKUP(I202,'Option Tables'!$B$23:$F$26,2)))+(H200*(VLOOKUP(I202,'Option Tables'!$B$23:$F$26,3)))+(G200*(VLOOKUP(I202,'Option Tables'!$B$23:$F$26,4))+(F200*(VLOOKUP(I202,'Option Tables'!$B$23:$F$26,5)))))</f>
        <v>0</v>
      </c>
      <c r="J206" s="355">
        <f>$D206*((J200*(VLOOKUP(I202,'Option Tables'!$B$23:$F$26,2)))+(I200*(VLOOKUP(I202,'Option Tables'!$B$23:$F$26,3)))+(H200*(VLOOKUP(I202,'Option Tables'!$B$23:$F$26,4))+(G200*(VLOOKUP(I202,'Option Tables'!$B$23:$F$26,5)))))</f>
        <v>0</v>
      </c>
      <c r="K206" s="355">
        <f>$D206*((K200*(VLOOKUP(I202,'Option Tables'!$B$23:$F$26,2)))+(J200*(VLOOKUP(I202,'Option Tables'!$B$23:$F$26,3)))+(I200*(VLOOKUP(I202,'Option Tables'!$B$23:$F$26,4))+(H200*(VLOOKUP(I202,'Option Tables'!$B$23:$F$26,5)))))</f>
        <v>0</v>
      </c>
      <c r="L206" s="355">
        <f>$D206*((L200*(VLOOKUP(I202,'Option Tables'!$B$23:$F$26,2)))+(K200*(VLOOKUP(I202,'Option Tables'!$B$23:$F$26,3)))+(J200*(VLOOKUP(I202,'Option Tables'!$B$23:$F$26,4))+(I200*(VLOOKUP(I202,'Option Tables'!$B$23:$F$26,5)))))</f>
        <v>0</v>
      </c>
      <c r="M206" s="355">
        <f>$D206*((M200*(VLOOKUP(I202,'Option Tables'!$B$23:$F$26,2)))+(L200*(VLOOKUP(I202,'Option Tables'!$B$23:$F$26,3)))+(K200*(VLOOKUP(I202,'Option Tables'!$B$23:$F$26,4))+(J200*(VLOOKUP(I202,'Option Tables'!$B$23:$F$26,5)))))</f>
        <v>0</v>
      </c>
      <c r="N206" s="355">
        <f>$D206*((N200*(VLOOKUP(I202,'Option Tables'!$B$23:$F$26,2)))+(M200*(VLOOKUP(I202,'Option Tables'!$B$23:$F$26,3)))+(L200*(VLOOKUP(I202,'Option Tables'!$B$23:$F$26,4))+(K200*(VLOOKUP(I202,'Option Tables'!$B$23:$F$26,5)))))</f>
        <v>0</v>
      </c>
      <c r="O206" s="355">
        <f>$D206*((O200*(VLOOKUP(I202,'Option Tables'!$B$23:$F$26,2)))+(N200*(VLOOKUP(I202,'Option Tables'!$B$23:$F$26,3)))+(M200*(VLOOKUP(I202,'Option Tables'!$B$23:$F$26,4))+(L200*(VLOOKUP(I202,'Option Tables'!$B$23:$F$26,5)))))</f>
        <v>0</v>
      </c>
      <c r="P206" s="465">
        <f>$D206*((P200*(VLOOKUP(I202,'Option Tables'!$B$23:$F$26,2)))+(O200*(VLOOKUP(I202,'Option Tables'!$B$23:$F$26,3)))+(N200*(VLOOKUP(I202,'Option Tables'!$B$23:$F$26,4))+(M200*(VLOOKUP(I202,'Option Tables'!$B$23:$F$26,5)))))</f>
        <v>0</v>
      </c>
      <c r="Q206" s="96"/>
    </row>
    <row r="207" spans="1:18" ht="15.75" customHeight="1" thickBot="1">
      <c r="B207" s="97"/>
      <c r="C207" s="144" t="str">
        <f>IF(D207&lt;&gt;1,"Must equal %100","")</f>
        <v/>
      </c>
      <c r="D207" s="71">
        <f t="shared" ref="D207:P207" si="19">SUM(D203:D206)</f>
        <v>1</v>
      </c>
      <c r="E207" s="466">
        <f t="shared" si="19"/>
        <v>0</v>
      </c>
      <c r="F207" s="466">
        <f t="shared" si="19"/>
        <v>0.85</v>
      </c>
      <c r="G207" s="466">
        <f t="shared" si="19"/>
        <v>1.7</v>
      </c>
      <c r="H207" s="466">
        <f t="shared" si="19"/>
        <v>2.5499999999999998</v>
      </c>
      <c r="I207" s="466">
        <f t="shared" si="19"/>
        <v>3.4</v>
      </c>
      <c r="J207" s="466">
        <f t="shared" si="19"/>
        <v>4.25</v>
      </c>
      <c r="K207" s="466">
        <f t="shared" si="19"/>
        <v>5.0999999999999996</v>
      </c>
      <c r="L207" s="466">
        <f t="shared" si="19"/>
        <v>5.95</v>
      </c>
      <c r="M207" s="466">
        <f t="shared" si="19"/>
        <v>6.8</v>
      </c>
      <c r="N207" s="466">
        <f t="shared" si="19"/>
        <v>7.6499999999999995</v>
      </c>
      <c r="O207" s="466">
        <f t="shared" si="19"/>
        <v>8.5</v>
      </c>
      <c r="P207" s="467">
        <f t="shared" si="19"/>
        <v>9.35</v>
      </c>
      <c r="Q207" s="96"/>
      <c r="R207" s="140"/>
    </row>
    <row r="208" spans="1:18" ht="15.75" customHeight="1" thickBot="1">
      <c r="B208" s="85" t="s">
        <v>71</v>
      </c>
      <c r="C208" s="257" t="str">
        <f>VLOOKUP(B208,NodeList!$D$5:$E$73,2,FALSE)</f>
        <v>Evanston Water Ditch</v>
      </c>
      <c r="D208" s="91"/>
      <c r="E208" s="450"/>
      <c r="F208" s="451"/>
      <c r="G208" s="452"/>
      <c r="H208" s="453" t="s">
        <v>54</v>
      </c>
      <c r="I208" s="68">
        <v>36</v>
      </c>
      <c r="J208" s="454"/>
      <c r="K208" s="454"/>
      <c r="L208" s="454"/>
      <c r="M208" s="454"/>
      <c r="N208" s="454"/>
      <c r="O208" s="454"/>
      <c r="P208" s="455"/>
      <c r="Q208" s="96"/>
    </row>
    <row r="209" spans="2:18" ht="15.75" customHeight="1">
      <c r="B209" s="94"/>
      <c r="C209" s="66" t="s">
        <v>57</v>
      </c>
      <c r="D209" s="69"/>
      <c r="E209" s="456">
        <f>VLOOKUP($B208,'Diversion Data'!$B$3:$O$227,3,FALSE)</f>
        <v>0</v>
      </c>
      <c r="F209" s="456">
        <f>VLOOKUP($B208,'Diversion Data'!$B$3:$O$227,4,FALSE)</f>
        <v>0</v>
      </c>
      <c r="G209" s="456">
        <f>VLOOKUP($B208,'Diversion Data'!$B$3:$O$227,5,FALSE)</f>
        <v>0</v>
      </c>
      <c r="H209" s="456">
        <f>VLOOKUP($B208,'Diversion Data'!$B$3:$O$227,6,FALSE)</f>
        <v>0</v>
      </c>
      <c r="I209" s="456">
        <f>VLOOKUP($B208,'Diversion Data'!$B$3:$O$227,7,FALSE)</f>
        <v>526.24882231404956</v>
      </c>
      <c r="J209" s="456">
        <f>VLOOKUP($B208,'Diversion Data'!$B$3:$O$227,8,FALSE)</f>
        <v>1046.7743595041325</v>
      </c>
      <c r="K209" s="456">
        <f>VLOOKUP($B208,'Diversion Data'!$B$3:$O$227,9,FALSE)</f>
        <v>821.79398760330571</v>
      </c>
      <c r="L209" s="456">
        <f>VLOOKUP($B208,'Diversion Data'!$B$3:$O$227,10,FALSE)</f>
        <v>549.62001033057845</v>
      </c>
      <c r="M209" s="456">
        <f>VLOOKUP($B208,'Diversion Data'!$B$3:$O$227,11,FALSE)</f>
        <v>239.99172520661156</v>
      </c>
      <c r="N209" s="456">
        <f>VLOOKUP($B208,'Diversion Data'!$B$3:$O$227,12,FALSE)</f>
        <v>0</v>
      </c>
      <c r="O209" s="456">
        <f>VLOOKUP($B208,'Diversion Data'!$B$3:$O$227,13,FALSE)</f>
        <v>0</v>
      </c>
      <c r="P209" s="457">
        <f>VLOOKUP($B208,'Diversion Data'!$B$3:$O$227,14,FALSE)</f>
        <v>0</v>
      </c>
      <c r="Q209" s="96"/>
    </row>
    <row r="210" spans="2:18" ht="15.75" customHeight="1">
      <c r="B210" s="95"/>
      <c r="C210" s="72" t="s">
        <v>56</v>
      </c>
      <c r="D210" s="70"/>
      <c r="E210" s="458">
        <f>VLOOKUP($I208,'Option Tables'!$B$3:$N$19,2,FALSE)*E209</f>
        <v>0</v>
      </c>
      <c r="F210" s="458">
        <f>VLOOKUP($I208,'Option Tables'!$B$3:$N$19,3,FALSE)*F209</f>
        <v>0</v>
      </c>
      <c r="G210" s="458">
        <f>VLOOKUP($I208,'Option Tables'!$B$3:$N$19,4,FALSE)*G209</f>
        <v>0</v>
      </c>
      <c r="H210" s="458">
        <f>VLOOKUP($I208,'Option Tables'!$B$3:$N$19,5,FALSE)*H209</f>
        <v>0</v>
      </c>
      <c r="I210" s="458">
        <f>VLOOKUP($I208,'Option Tables'!$B$3:$N$19,6,FALSE)*I209</f>
        <v>336.79924628099172</v>
      </c>
      <c r="J210" s="458">
        <f>VLOOKUP($I208,'Option Tables'!$B$3:$N$19,7,FALSE)*J209</f>
        <v>669.93559008264481</v>
      </c>
      <c r="K210" s="458">
        <f>VLOOKUP($I208,'Option Tables'!$B$3:$N$19,8,FALSE)*K209</f>
        <v>525.94815206611565</v>
      </c>
      <c r="L210" s="458">
        <f>VLOOKUP($I208,'Option Tables'!$B$3:$N$19,9,FALSE)*L209</f>
        <v>351.7568066115702</v>
      </c>
      <c r="M210" s="458">
        <f>VLOOKUP($I208,'Option Tables'!$B$3:$N$19,10,FALSE)*M209</f>
        <v>153.59470413223141</v>
      </c>
      <c r="N210" s="458">
        <f>VLOOKUP($I208,'Option Tables'!$B$3:$N$19,11,FALSE)*N209</f>
        <v>0</v>
      </c>
      <c r="O210" s="458">
        <f>VLOOKUP($I208,'Option Tables'!$B$3:$N$19,12,FALSE)*O209</f>
        <v>0</v>
      </c>
      <c r="P210" s="459">
        <f>VLOOKUP($I208,'Option Tables'!$B$3:$N$19,13,FALSE)*P209</f>
        <v>0</v>
      </c>
      <c r="Q210" s="96"/>
    </row>
    <row r="211" spans="2:18" ht="15.75" customHeight="1" thickBot="1">
      <c r="B211" s="95"/>
      <c r="C211" s="66"/>
      <c r="D211" s="62"/>
      <c r="E211" s="355"/>
      <c r="F211" s="355"/>
      <c r="G211" s="355"/>
      <c r="H211" s="355"/>
      <c r="I211" s="355"/>
      <c r="J211" s="355"/>
      <c r="K211" s="355"/>
      <c r="L211" s="355"/>
      <c r="M211" s="460"/>
      <c r="N211" s="460"/>
      <c r="O211" s="460"/>
      <c r="P211" s="461"/>
      <c r="Q211" s="96"/>
    </row>
    <row r="212" spans="2:18" ht="15.75" customHeight="1" thickBot="1">
      <c r="B212" s="254" t="s">
        <v>73</v>
      </c>
      <c r="C212" s="105" t="s">
        <v>73</v>
      </c>
      <c r="D212" s="105" t="s">
        <v>74</v>
      </c>
      <c r="E212" s="462"/>
      <c r="F212" s="463"/>
      <c r="G212" s="464"/>
      <c r="H212" s="464" t="s">
        <v>55</v>
      </c>
      <c r="I212" s="68">
        <v>2</v>
      </c>
      <c r="J212" s="460"/>
      <c r="K212" s="460"/>
      <c r="L212" s="460"/>
      <c r="M212" s="460"/>
      <c r="N212" s="460"/>
      <c r="O212" s="460"/>
      <c r="P212" s="461"/>
      <c r="Q212" s="96"/>
    </row>
    <row r="213" spans="2:18" ht="15.75" customHeight="1">
      <c r="B213" s="255" t="str">
        <f>"("&amp;VLOOKUP(C213,NodeList!$D$5:$E$68,2,FALSE)&amp;")"</f>
        <v>(Rocky Mtn &amp; Blyth)</v>
      </c>
      <c r="C213" s="256" t="s">
        <v>149</v>
      </c>
      <c r="D213" s="388">
        <v>1</v>
      </c>
      <c r="E213" s="355">
        <f>$D213*((E210*(VLOOKUP(I212,'Option Tables'!$B$23:$F$26,2)))+(P210*(VLOOKUP(I212,'Option Tables'!$B$23:$F$26,3)))+(O210*(VLOOKUP(I212,'Option Tables'!$B$23:$F$26,4))+(N210*(VLOOKUP(I212,'Option Tables'!$B$23:$F$26,5)))))</f>
        <v>0</v>
      </c>
      <c r="F213" s="355">
        <f>$D213*((F210*(VLOOKUP(I212,'Option Tables'!$B$23:$F$26,2)))+(E210*(VLOOKUP(I212,'Option Tables'!$B$23:$F$26,3)))+(P210*(VLOOKUP(I212,'Option Tables'!$B$23:$F$26,4))+(O210*(VLOOKUP(I212,'Option Tables'!$B$23:$F$26,5)))))</f>
        <v>0</v>
      </c>
      <c r="G213" s="355">
        <f>$D213*((G210*(VLOOKUP(I212,'Option Tables'!$B$23:$F$26,2)))+(F210*(VLOOKUP(I212,'Option Tables'!$B$23:$F$26,3)))+(E210*(VLOOKUP(I212,'Option Tables'!$B$23:$F$26,4))+(P210*(VLOOKUP(I212,'Option Tables'!$B$23:$F$26,5)))))</f>
        <v>0</v>
      </c>
      <c r="H213" s="355">
        <f>$D213*((H210*(VLOOKUP(I212,'Option Tables'!$B$23:$F$26,2)))+(G210*(VLOOKUP(I212,'Option Tables'!$B$23:$F$26,3)))+(F210*(VLOOKUP(I212,'Option Tables'!$B$23:$F$26,4))+(E210*(VLOOKUP(I212,'Option Tables'!$B$23:$F$26,5)))))</f>
        <v>0</v>
      </c>
      <c r="I213" s="355">
        <f>$D213*((I210*(VLOOKUP(I212,'Option Tables'!$B$23:$F$26,2)))+(H210*(VLOOKUP(I212,'Option Tables'!$B$23:$F$26,3)))+(G210*(VLOOKUP(I212,'Option Tables'!$B$23:$F$26,4))+(F210*(VLOOKUP(I212,'Option Tables'!$B$23:$F$26,5)))))</f>
        <v>235.75947239669418</v>
      </c>
      <c r="J213" s="355">
        <f>$D213*((J210*(VLOOKUP(I212,'Option Tables'!$B$23:$F$26,2)))+(I210*(VLOOKUP(I212,'Option Tables'!$B$23:$F$26,3)))+(H210*(VLOOKUP(I212,'Option Tables'!$B$23:$F$26,4))+(G210*(VLOOKUP(I212,'Option Tables'!$B$23:$F$26,5)))))</f>
        <v>536.31476231404963</v>
      </c>
      <c r="K213" s="355">
        <f>$D213*((K210*(VLOOKUP(I212,'Option Tables'!$B$23:$F$26,2)))+(J210*(VLOOKUP(I212,'Option Tables'!$B$23:$F$26,3)))+(I210*(VLOOKUP(I212,'Option Tables'!$B$23:$F$26,4))+(H210*(VLOOKUP(I212,'Option Tables'!$B$23:$F$26,5)))))</f>
        <v>535.83074909090897</v>
      </c>
      <c r="L213" s="355">
        <f>$D213*((L210*(VLOOKUP(I212,'Option Tables'!$B$23:$F$26,2)))+(K210*(VLOOKUP(I212,'Option Tables'!$B$23:$F$26,3)))+(J210*(VLOOKUP(I212,'Option Tables'!$B$23:$F$26,4))+(I210*(VLOOKUP(I212,'Option Tables'!$B$23:$F$26,5)))))</f>
        <v>418.41295404958674</v>
      </c>
      <c r="M213" s="355">
        <f>$D213*((M210*(VLOOKUP(I212,'Option Tables'!$B$23:$F$26,2)))+(L210*(VLOOKUP(I212,'Option Tables'!$B$23:$F$26,3)))+(K210*(VLOOKUP(I212,'Option Tables'!$B$23:$F$26,4))+(J210*(VLOOKUP(I212,'Option Tables'!$B$23:$F$26,5)))))</f>
        <v>230.46246942148761</v>
      </c>
      <c r="N213" s="355">
        <f>$D213*((N210*(VLOOKUP(I212,'Option Tables'!$B$23:$F$26,2)))+(M210*(VLOOKUP(I212,'Option Tables'!$B$23:$F$26,3)))+(L210*(VLOOKUP(I212,'Option Tables'!$B$23:$F$26,4))+(K210*(VLOOKUP(I212,'Option Tables'!$B$23:$F$26,5)))))</f>
        <v>65.894621487603303</v>
      </c>
      <c r="O213" s="355">
        <f>$D213*((O210*(VLOOKUP(I212,'Option Tables'!$B$23:$F$26,2)))+(N210*(VLOOKUP(I212,'Option Tables'!$B$23:$F$26,3)))+(M210*(VLOOKUP(I212,'Option Tables'!$B$23:$F$26,4))+(L210*(VLOOKUP(I212,'Option Tables'!$B$23:$F$26,5)))))</f>
        <v>15.359470413223143</v>
      </c>
      <c r="P213" s="465">
        <f>$D213*((P210*(VLOOKUP(I212,'Option Tables'!$B$23:$F$26,2)))+(O210*(VLOOKUP(I212,'Option Tables'!$B$23:$F$26,3)))+(N210*(VLOOKUP(I212,'Option Tables'!$B$23:$F$26,4))+(M210*(VLOOKUP(I212,'Option Tables'!$B$23:$F$26,5)))))</f>
        <v>0</v>
      </c>
      <c r="Q213" s="96"/>
    </row>
    <row r="214" spans="2:18" ht="15.75" customHeight="1">
      <c r="B214" s="95"/>
      <c r="C214" s="256"/>
      <c r="D214" s="388">
        <v>0</v>
      </c>
      <c r="E214" s="355">
        <f>$D214*((E210*(VLOOKUP(I212,'Option Tables'!$B$23:$F$26,2)))+(P210*(VLOOKUP(I212,'Option Tables'!$B$23:$F$26,3)))+(O210*(VLOOKUP(I212,'Option Tables'!$B$23:$F$26,4))+(N210*(VLOOKUP(I212,'Option Tables'!$B$23:$F$26,5)))))</f>
        <v>0</v>
      </c>
      <c r="F214" s="355">
        <f>$D214*((F210*(VLOOKUP(I212,'Option Tables'!$B$23:$F$26,2)))+(E210*(VLOOKUP(I212,'Option Tables'!$B$23:$F$26,3)))+(P210*(VLOOKUP(I212,'Option Tables'!$B$23:$F$26,4))+(O210*(VLOOKUP(I212,'Option Tables'!$B$23:$F$26,5)))))</f>
        <v>0</v>
      </c>
      <c r="G214" s="355">
        <f>$D214*((G210*(VLOOKUP(I212,'Option Tables'!$B$23:$F$26,2)))+(F210*(VLOOKUP(I212,'Option Tables'!$B$23:$F$26,3)))+(E210*(VLOOKUP(I212,'Option Tables'!$B$23:$F$26,4))+(P210*(VLOOKUP(I212,'Option Tables'!$B$23:$F$26,5)))))</f>
        <v>0</v>
      </c>
      <c r="H214" s="355">
        <f>$D214*((H210*(VLOOKUP(I212,'Option Tables'!$B$23:$F$26,2)))+(G210*(VLOOKUP(I212,'Option Tables'!$B$23:$F$26,3)))+(F210*(VLOOKUP(I212,'Option Tables'!$B$23:$F$26,4))+(E210*(VLOOKUP(I212,'Option Tables'!$B$23:$F$26,5)))))</f>
        <v>0</v>
      </c>
      <c r="I214" s="355">
        <f>$D214*((I210*(VLOOKUP(I212,'Option Tables'!$B$23:$F$26,2)))+(H210*(VLOOKUP(I212,'Option Tables'!$B$23:$F$26,3)))+(G210*(VLOOKUP(I212,'Option Tables'!$B$23:$F$26,4))+(F210*(VLOOKUP(I212,'Option Tables'!$B$23:$F$26,5)))))</f>
        <v>0</v>
      </c>
      <c r="J214" s="355">
        <f>$D214*((J210*(VLOOKUP(I212,'Option Tables'!$B$23:$F$26,2)))+(I210*(VLOOKUP(I212,'Option Tables'!$B$23:$F$26,3)))+(H210*(VLOOKUP(I212,'Option Tables'!$B$23:$F$26,4))+(G210*(VLOOKUP(I212,'Option Tables'!$B$23:$F$26,5)))))</f>
        <v>0</v>
      </c>
      <c r="K214" s="355">
        <f>$D214*((K210*(VLOOKUP(I212,'Option Tables'!$B$23:$F$26,2)))+(J210*(VLOOKUP(I212,'Option Tables'!$B$23:$F$26,3)))+(I210*(VLOOKUP(I212,'Option Tables'!$B$23:$F$26,4))+(H210*(VLOOKUP(I212,'Option Tables'!$B$23:$F$26,5)))))</f>
        <v>0</v>
      </c>
      <c r="L214" s="355">
        <f>$D214*((L210*(VLOOKUP(I212,'Option Tables'!$B$23:$F$26,2)))+(K210*(VLOOKUP(I212,'Option Tables'!$B$23:$F$26,3)))+(J210*(VLOOKUP(I212,'Option Tables'!$B$23:$F$26,4))+(I210*(VLOOKUP(I212,'Option Tables'!$B$23:$F$26,5)))))</f>
        <v>0</v>
      </c>
      <c r="M214" s="355">
        <f>$D214*((M210*(VLOOKUP(I212,'Option Tables'!$B$23:$F$26,2)))+(L210*(VLOOKUP(I212,'Option Tables'!$B$23:$F$26,3)))+(K210*(VLOOKUP(I212,'Option Tables'!$B$23:$F$26,4))+(J210*(VLOOKUP(I212,'Option Tables'!$B$23:$F$26,5)))))</f>
        <v>0</v>
      </c>
      <c r="N214" s="355">
        <f>$D214*((N210*(VLOOKUP(I212,'Option Tables'!$B$23:$F$26,2)))+(M210*(VLOOKUP(I212,'Option Tables'!$B$23:$F$26,3)))+(L210*(VLOOKUP(I212,'Option Tables'!$B$23:$F$26,4))+(K210*(VLOOKUP(I212,'Option Tables'!$B$23:$F$26,5)))))</f>
        <v>0</v>
      </c>
      <c r="O214" s="355">
        <f>$D214*((O210*(VLOOKUP(I212,'Option Tables'!$B$23:$F$26,2)))+(N210*(VLOOKUP(I212,'Option Tables'!$B$23:$F$26,3)))+(M210*(VLOOKUP(I212,'Option Tables'!$B$23:$F$26,4))+(L210*(VLOOKUP(I212,'Option Tables'!$B$23:$F$26,5)))))</f>
        <v>0</v>
      </c>
      <c r="P214" s="465">
        <f>$D214*((P210*(VLOOKUP(I212,'Option Tables'!$B$23:$F$26,2)))+(O210*(VLOOKUP(I212,'Option Tables'!$B$23:$F$26,3)))+(N210*(VLOOKUP(I212,'Option Tables'!$B$23:$F$26,4))+(M210*(VLOOKUP(I212,'Option Tables'!$B$23:$F$26,5)))))</f>
        <v>0</v>
      </c>
      <c r="Q214" s="96"/>
    </row>
    <row r="215" spans="2:18" ht="15.75" customHeight="1">
      <c r="B215" s="95"/>
      <c r="C215" s="256"/>
      <c r="D215" s="388">
        <v>0</v>
      </c>
      <c r="E215" s="355">
        <f>$D215*((E210*(VLOOKUP(I212,'Option Tables'!$B$23:$F$26,2)))+(P210*(VLOOKUP(I212,'Option Tables'!$B$23:$F$26,3)))+(O210*(VLOOKUP(I212,'Option Tables'!$B$23:$F$26,4))+(N210*(VLOOKUP(I212,'Option Tables'!$B$23:$F$26,5)))))</f>
        <v>0</v>
      </c>
      <c r="F215" s="355">
        <f>$D215*((F210*(VLOOKUP(I212,'Option Tables'!$B$23:$F$26,2)))+(E210*(VLOOKUP(I212,'Option Tables'!$B$23:$F$26,3)))+(P210*(VLOOKUP(I212,'Option Tables'!$B$23:$F$26,4))+(O210*(VLOOKUP(I212,'Option Tables'!$B$23:$F$26,5)))))</f>
        <v>0</v>
      </c>
      <c r="G215" s="355">
        <f>$D215*((G210*(VLOOKUP(I212,'Option Tables'!$B$23:$F$26,2)))+(F210*(VLOOKUP(I212,'Option Tables'!$B$23:$F$26,3)))+(E210*(VLOOKUP(I212,'Option Tables'!$B$23:$F$26,4))+(P210*(VLOOKUP(I212,'Option Tables'!$B$23:$F$26,5)))))</f>
        <v>0</v>
      </c>
      <c r="H215" s="355">
        <f>$D215*((H210*(VLOOKUP(I212,'Option Tables'!$B$23:$F$26,2)))+(G210*(VLOOKUP(I212,'Option Tables'!$B$23:$F$26,3)))+(F210*(VLOOKUP(I212,'Option Tables'!$B$23:$F$26,4))+(E210*(VLOOKUP(I212,'Option Tables'!$B$23:$F$26,5)))))</f>
        <v>0</v>
      </c>
      <c r="I215" s="355">
        <f>$D215*((I210*(VLOOKUP(I212,'Option Tables'!$B$23:$F$26,2)))+(H210*(VLOOKUP(I212,'Option Tables'!$B$23:$F$26,3)))+(G210*(VLOOKUP(I212,'Option Tables'!$B$23:$F$26,4))+(F210*(VLOOKUP(I212,'Option Tables'!$B$23:$F$26,5)))))</f>
        <v>0</v>
      </c>
      <c r="J215" s="355">
        <f>$D215*((J210*(VLOOKUP(I212,'Option Tables'!$B$23:$F$26,2)))+(I210*(VLOOKUP(I212,'Option Tables'!$B$23:$F$26,3)))+(H210*(VLOOKUP(I212,'Option Tables'!$B$23:$F$26,4))+(G210*(VLOOKUP(I212,'Option Tables'!$B$23:$F$26,5)))))</f>
        <v>0</v>
      </c>
      <c r="K215" s="355">
        <f>$D215*((K210*(VLOOKUP(I212,'Option Tables'!$B$23:$F$26,2)))+(J210*(VLOOKUP(I212,'Option Tables'!$B$23:$F$26,3)))+(I210*(VLOOKUP(I212,'Option Tables'!$B$23:$F$26,4))+(H210*(VLOOKUP(I212,'Option Tables'!$B$23:$F$26,5)))))</f>
        <v>0</v>
      </c>
      <c r="L215" s="355">
        <f>$D215*((L210*(VLOOKUP(I212,'Option Tables'!$B$23:$F$26,2)))+(K210*(VLOOKUP(I212,'Option Tables'!$B$23:$F$26,3)))+(J210*(VLOOKUP(I212,'Option Tables'!$B$23:$F$26,4))+(I210*(VLOOKUP(I212,'Option Tables'!$B$23:$F$26,5)))))</f>
        <v>0</v>
      </c>
      <c r="M215" s="355">
        <f>$D215*((M210*(VLOOKUP(I212,'Option Tables'!$B$23:$F$26,2)))+(L210*(VLOOKUP(I212,'Option Tables'!$B$23:$F$26,3)))+(K210*(VLOOKUP(I212,'Option Tables'!$B$23:$F$26,4))+(J210*(VLOOKUP(I212,'Option Tables'!$B$23:$F$26,5)))))</f>
        <v>0</v>
      </c>
      <c r="N215" s="355">
        <f>$D215*((N210*(VLOOKUP(I212,'Option Tables'!$B$23:$F$26,2)))+(M210*(VLOOKUP(I212,'Option Tables'!$B$23:$F$26,3)))+(L210*(VLOOKUP(I212,'Option Tables'!$B$23:$F$26,4))+(K210*(VLOOKUP(I212,'Option Tables'!$B$23:$F$26,5)))))</f>
        <v>0</v>
      </c>
      <c r="O215" s="355">
        <f>$D215*((O210*(VLOOKUP(I212,'Option Tables'!$B$23:$F$26,2)))+(N210*(VLOOKUP(I212,'Option Tables'!$B$23:$F$26,3)))+(M210*(VLOOKUP(I212,'Option Tables'!$B$23:$F$26,4))+(L210*(VLOOKUP(I212,'Option Tables'!$B$23:$F$26,5)))))</f>
        <v>0</v>
      </c>
      <c r="P215" s="465">
        <f>$D215*((P210*(VLOOKUP(I212,'Option Tables'!$B$23:$F$26,2)))+(O210*(VLOOKUP(I212,'Option Tables'!$B$23:$F$26,3)))+(N210*(VLOOKUP(I212,'Option Tables'!$B$23:$F$26,4))+(M210*(VLOOKUP(I212,'Option Tables'!$B$23:$F$26,5)))))</f>
        <v>0</v>
      </c>
      <c r="Q215" s="96"/>
    </row>
    <row r="216" spans="2:18" ht="15.75" customHeight="1">
      <c r="B216" s="95"/>
      <c r="C216" s="256"/>
      <c r="D216" s="388">
        <v>0</v>
      </c>
      <c r="E216" s="355">
        <f>$D216*((E210*(VLOOKUP(I212,'Option Tables'!$B$23:$F$26,2)))+(P210*(VLOOKUP(I212,'Option Tables'!$B$23:$F$26,3)))+(O210*(VLOOKUP(I212,'Option Tables'!$B$23:$F$26,4))+(N210*(VLOOKUP(I212,'Option Tables'!$B$23:$F$26,5)))))</f>
        <v>0</v>
      </c>
      <c r="F216" s="355">
        <f>$D216*((F210*(VLOOKUP(I212,'Option Tables'!$B$23:$F$26,2)))+(E210*(VLOOKUP(I212,'Option Tables'!$B$23:$F$26,3)))+(P210*(VLOOKUP(I212,'Option Tables'!$B$23:$F$26,4))+(O210*(VLOOKUP(I212,'Option Tables'!$B$23:$F$26,5)))))</f>
        <v>0</v>
      </c>
      <c r="G216" s="355">
        <f>$D216*((G210*(VLOOKUP(I212,'Option Tables'!$B$23:$F$26,2)))+(F210*(VLOOKUP(I212,'Option Tables'!$B$23:$F$26,3)))+(E210*(VLOOKUP(I212,'Option Tables'!$B$23:$F$26,4))+(P210*(VLOOKUP(I212,'Option Tables'!$B$23:$F$26,5)))))</f>
        <v>0</v>
      </c>
      <c r="H216" s="355">
        <f>$D216*((H210*(VLOOKUP(I212,'Option Tables'!$B$23:$F$26,2)))+(G210*(VLOOKUP(I212,'Option Tables'!$B$23:$F$26,3)))+(F210*(VLOOKUP(I212,'Option Tables'!$B$23:$F$26,4))+(E210*(VLOOKUP(I212,'Option Tables'!$B$23:$F$26,5)))))</f>
        <v>0</v>
      </c>
      <c r="I216" s="355">
        <f>$D216*((I210*(VLOOKUP(I212,'Option Tables'!$B$23:$F$26,2)))+(H210*(VLOOKUP(I212,'Option Tables'!$B$23:$F$26,3)))+(G210*(VLOOKUP(I212,'Option Tables'!$B$23:$F$26,4))+(F210*(VLOOKUP(I212,'Option Tables'!$B$23:$F$26,5)))))</f>
        <v>0</v>
      </c>
      <c r="J216" s="355">
        <f>$D216*((J210*(VLOOKUP(I212,'Option Tables'!$B$23:$F$26,2)))+(I210*(VLOOKUP(I212,'Option Tables'!$B$23:$F$26,3)))+(H210*(VLOOKUP(I212,'Option Tables'!$B$23:$F$26,4))+(G210*(VLOOKUP(I212,'Option Tables'!$B$23:$F$26,5)))))</f>
        <v>0</v>
      </c>
      <c r="K216" s="355">
        <f>$D216*((K210*(VLOOKUP(I212,'Option Tables'!$B$23:$F$26,2)))+(J210*(VLOOKUP(I212,'Option Tables'!$B$23:$F$26,3)))+(I210*(VLOOKUP(I212,'Option Tables'!$B$23:$F$26,4))+(H210*(VLOOKUP(I212,'Option Tables'!$B$23:$F$26,5)))))</f>
        <v>0</v>
      </c>
      <c r="L216" s="355">
        <f>$D216*((L210*(VLOOKUP(I212,'Option Tables'!$B$23:$F$26,2)))+(K210*(VLOOKUP(I212,'Option Tables'!$B$23:$F$26,3)))+(J210*(VLOOKUP(I212,'Option Tables'!$B$23:$F$26,4))+(I210*(VLOOKUP(I212,'Option Tables'!$B$23:$F$26,5)))))</f>
        <v>0</v>
      </c>
      <c r="M216" s="355">
        <f>$D216*((M210*(VLOOKUP(I212,'Option Tables'!$B$23:$F$26,2)))+(L210*(VLOOKUP(I212,'Option Tables'!$B$23:$F$26,3)))+(K210*(VLOOKUP(I212,'Option Tables'!$B$23:$F$26,4))+(J210*(VLOOKUP(I212,'Option Tables'!$B$23:$F$26,5)))))</f>
        <v>0</v>
      </c>
      <c r="N216" s="355">
        <f>$D216*((N210*(VLOOKUP(I212,'Option Tables'!$B$23:$F$26,2)))+(M210*(VLOOKUP(I212,'Option Tables'!$B$23:$F$26,3)))+(L210*(VLOOKUP(I212,'Option Tables'!$B$23:$F$26,4))+(K210*(VLOOKUP(I212,'Option Tables'!$B$23:$F$26,5)))))</f>
        <v>0</v>
      </c>
      <c r="O216" s="355">
        <f>$D216*((O210*(VLOOKUP(I212,'Option Tables'!$B$23:$F$26,2)))+(N210*(VLOOKUP(I212,'Option Tables'!$B$23:$F$26,3)))+(M210*(VLOOKUP(I212,'Option Tables'!$B$23:$F$26,4))+(L210*(VLOOKUP(I212,'Option Tables'!$B$23:$F$26,5)))))</f>
        <v>0</v>
      </c>
      <c r="P216" s="465">
        <f>$D216*((P210*(VLOOKUP(I212,'Option Tables'!$B$23:$F$26,2)))+(O210*(VLOOKUP(I212,'Option Tables'!$B$23:$F$26,3)))+(N210*(VLOOKUP(I212,'Option Tables'!$B$23:$F$26,4))+(M210*(VLOOKUP(I212,'Option Tables'!$B$23:$F$26,5)))))</f>
        <v>0</v>
      </c>
      <c r="Q216" s="96"/>
    </row>
    <row r="217" spans="2:18" ht="15.75" customHeight="1" thickBot="1">
      <c r="B217" s="97"/>
      <c r="C217" s="144" t="str">
        <f>IF(D217&lt;&gt;1,"Must equal %100","")</f>
        <v/>
      </c>
      <c r="D217" s="71">
        <f t="shared" ref="D217:P217" si="20">SUM(D213:D216)</f>
        <v>1</v>
      </c>
      <c r="E217" s="466">
        <f t="shared" si="20"/>
        <v>0</v>
      </c>
      <c r="F217" s="466">
        <f t="shared" si="20"/>
        <v>0</v>
      </c>
      <c r="G217" s="466">
        <f t="shared" si="20"/>
        <v>0</v>
      </c>
      <c r="H217" s="466">
        <f t="shared" si="20"/>
        <v>0</v>
      </c>
      <c r="I217" s="466">
        <f t="shared" si="20"/>
        <v>235.75947239669418</v>
      </c>
      <c r="J217" s="466">
        <f t="shared" si="20"/>
        <v>536.31476231404963</v>
      </c>
      <c r="K217" s="466">
        <f t="shared" si="20"/>
        <v>535.83074909090897</v>
      </c>
      <c r="L217" s="466">
        <f t="shared" si="20"/>
        <v>418.41295404958674</v>
      </c>
      <c r="M217" s="466">
        <f t="shared" si="20"/>
        <v>230.46246942148761</v>
      </c>
      <c r="N217" s="466">
        <f t="shared" si="20"/>
        <v>65.894621487603303</v>
      </c>
      <c r="O217" s="466">
        <f t="shared" si="20"/>
        <v>15.359470413223143</v>
      </c>
      <c r="P217" s="467">
        <f t="shared" si="20"/>
        <v>0</v>
      </c>
      <c r="Q217" s="96"/>
      <c r="R217" s="140"/>
    </row>
    <row r="218" spans="2:18" ht="15.75" customHeight="1" thickBot="1">
      <c r="B218" s="85" t="s">
        <v>149</v>
      </c>
      <c r="C218" s="257" t="str">
        <f>VLOOKUP(B218,NodeList!$D$5:$E$73,2,FALSE)</f>
        <v>Rocky Mtn &amp; Blyth</v>
      </c>
      <c r="D218" s="91"/>
      <c r="E218" s="450"/>
      <c r="F218" s="451"/>
      <c r="G218" s="452"/>
      <c r="H218" s="453" t="s">
        <v>54</v>
      </c>
      <c r="I218" s="68">
        <v>36</v>
      </c>
      <c r="J218" s="454"/>
      <c r="K218" s="454"/>
      <c r="L218" s="454"/>
      <c r="M218" s="454"/>
      <c r="N218" s="454"/>
      <c r="O218" s="454"/>
      <c r="P218" s="455"/>
      <c r="Q218" s="96"/>
    </row>
    <row r="219" spans="2:18" ht="15.75" customHeight="1">
      <c r="B219" s="94"/>
      <c r="C219" s="66" t="s">
        <v>57</v>
      </c>
      <c r="D219" s="69"/>
      <c r="E219" s="456">
        <f>VLOOKUP($B218,'Diversion Data'!$B$3:$O$227,3,FALSE)</f>
        <v>0</v>
      </c>
      <c r="F219" s="456">
        <f>VLOOKUP($B218,'Diversion Data'!$B$3:$O$227,4,FALSE)</f>
        <v>0</v>
      </c>
      <c r="G219" s="456">
        <f>VLOOKUP($B218,'Diversion Data'!$B$3:$O$227,5,FALSE)</f>
        <v>0</v>
      </c>
      <c r="H219" s="456">
        <f>VLOOKUP($B218,'Diversion Data'!$B$3:$O$227,6,FALSE)</f>
        <v>0</v>
      </c>
      <c r="I219" s="456">
        <f>VLOOKUP($B218,'Diversion Data'!$B$3:$O$227,7,FALSE)</f>
        <v>536.83008847004135</v>
      </c>
      <c r="J219" s="456">
        <f>VLOOKUP($B218,'Diversion Data'!$B$3:$O$227,8,FALSE)</f>
        <v>529.25750102427685</v>
      </c>
      <c r="K219" s="456">
        <f>VLOOKUP($B218,'Diversion Data'!$B$3:$O$227,9,FALSE)</f>
        <v>346.37503986683879</v>
      </c>
      <c r="L219" s="456">
        <f>VLOOKUP($B218,'Diversion Data'!$B$3:$O$227,10,FALSE)</f>
        <v>185.31715975371901</v>
      </c>
      <c r="M219" s="456">
        <f>VLOOKUP($B218,'Diversion Data'!$B$3:$O$227,11,FALSE)</f>
        <v>147.87729126301653</v>
      </c>
      <c r="N219" s="456">
        <f>VLOOKUP($B218,'Diversion Data'!$B$3:$O$227,12,FALSE)</f>
        <v>0</v>
      </c>
      <c r="O219" s="456">
        <f>VLOOKUP($B218,'Diversion Data'!$B$3:$O$227,13,FALSE)</f>
        <v>0</v>
      </c>
      <c r="P219" s="457">
        <f>VLOOKUP($B218,'Diversion Data'!$B$3:$O$227,14,FALSE)</f>
        <v>0</v>
      </c>
      <c r="Q219" s="96"/>
    </row>
    <row r="220" spans="2:18" ht="15.75" customHeight="1">
      <c r="B220" s="95"/>
      <c r="C220" s="72" t="s">
        <v>56</v>
      </c>
      <c r="D220" s="70"/>
      <c r="E220" s="458">
        <f>VLOOKUP($I218,'Option Tables'!$B$3:$N$19,2,FALSE)*E219</f>
        <v>0</v>
      </c>
      <c r="F220" s="458">
        <f>VLOOKUP($I218,'Option Tables'!$B$3:$N$19,3,FALSE)*F219</f>
        <v>0</v>
      </c>
      <c r="G220" s="458">
        <f>VLOOKUP($I218,'Option Tables'!$B$3:$N$19,4,FALSE)*G219</f>
        <v>0</v>
      </c>
      <c r="H220" s="458">
        <f>VLOOKUP($I218,'Option Tables'!$B$3:$N$19,5,FALSE)*H219</f>
        <v>0</v>
      </c>
      <c r="I220" s="458">
        <f>VLOOKUP($I218,'Option Tables'!$B$3:$N$19,6,FALSE)*I219</f>
        <v>343.57125662082649</v>
      </c>
      <c r="J220" s="458">
        <f>VLOOKUP($I218,'Option Tables'!$B$3:$N$19,7,FALSE)*J219</f>
        <v>338.72480065553719</v>
      </c>
      <c r="K220" s="458">
        <f>VLOOKUP($I218,'Option Tables'!$B$3:$N$19,8,FALSE)*K219</f>
        <v>221.68002551477684</v>
      </c>
      <c r="L220" s="458">
        <f>VLOOKUP($I218,'Option Tables'!$B$3:$N$19,9,FALSE)*L219</f>
        <v>118.60298224238016</v>
      </c>
      <c r="M220" s="458">
        <f>VLOOKUP($I218,'Option Tables'!$B$3:$N$19,10,FALSE)*M219</f>
        <v>94.641466408330587</v>
      </c>
      <c r="N220" s="458">
        <f>VLOOKUP($I218,'Option Tables'!$B$3:$N$19,11,FALSE)*N219</f>
        <v>0</v>
      </c>
      <c r="O220" s="458">
        <f>VLOOKUP($I218,'Option Tables'!$B$3:$N$19,12,FALSE)*O219</f>
        <v>0</v>
      </c>
      <c r="P220" s="459">
        <f>VLOOKUP($I218,'Option Tables'!$B$3:$N$19,13,FALSE)*P219</f>
        <v>0</v>
      </c>
      <c r="Q220" s="96"/>
    </row>
    <row r="221" spans="2:18" ht="15.75" customHeight="1" thickBot="1">
      <c r="B221" s="95"/>
      <c r="C221" s="66"/>
      <c r="D221" s="62"/>
      <c r="E221" s="355"/>
      <c r="F221" s="355"/>
      <c r="G221" s="355"/>
      <c r="H221" s="355"/>
      <c r="I221" s="355"/>
      <c r="J221" s="355"/>
      <c r="K221" s="355"/>
      <c r="L221" s="355"/>
      <c r="M221" s="460"/>
      <c r="N221" s="460"/>
      <c r="O221" s="460"/>
      <c r="P221" s="461"/>
      <c r="Q221" s="96"/>
    </row>
    <row r="222" spans="2:18" ht="15.75" customHeight="1" thickBot="1">
      <c r="B222" s="254" t="s">
        <v>73</v>
      </c>
      <c r="C222" s="105" t="s">
        <v>73</v>
      </c>
      <c r="D222" s="105" t="s">
        <v>74</v>
      </c>
      <c r="E222" s="462"/>
      <c r="F222" s="463"/>
      <c r="G222" s="464"/>
      <c r="H222" s="464" t="s">
        <v>55</v>
      </c>
      <c r="I222" s="68">
        <v>2</v>
      </c>
      <c r="J222" s="460"/>
      <c r="K222" s="460"/>
      <c r="L222" s="460"/>
      <c r="M222" s="460"/>
      <c r="N222" s="460"/>
      <c r="O222" s="460"/>
      <c r="P222" s="461"/>
      <c r="Q222" s="96"/>
    </row>
    <row r="223" spans="2:18" ht="15.75" customHeight="1">
      <c r="B223" s="255" t="str">
        <f>"("&amp;VLOOKUP(C223,NodeList!$D$5:$E$68,2,FALSE)&amp;")"</f>
        <v>(John Simms)</v>
      </c>
      <c r="C223" s="256" t="s">
        <v>141</v>
      </c>
      <c r="D223" s="388">
        <v>0.7</v>
      </c>
      <c r="E223" s="355">
        <f>$D223*((E220*(VLOOKUP(I222,'Option Tables'!$B$23:$F$26,2)))+(P220*(VLOOKUP(I222,'Option Tables'!$B$23:$F$26,3)))+(O220*(VLOOKUP(I222,'Option Tables'!$B$23:$F$26,4))+(N220*(VLOOKUP(I222,'Option Tables'!$B$23:$F$26,5)))))</f>
        <v>0</v>
      </c>
      <c r="F223" s="355">
        <f>$D223*((F220*(VLOOKUP(I222,'Option Tables'!$B$23:$F$26,2)))+(E220*(VLOOKUP(I222,'Option Tables'!$B$23:$F$26,3)))+(P220*(VLOOKUP(I222,'Option Tables'!$B$23:$F$26,4))+(O220*(VLOOKUP(I222,'Option Tables'!$B$23:$F$26,5)))))</f>
        <v>0</v>
      </c>
      <c r="G223" s="355">
        <f>$D223*((G220*(VLOOKUP(I222,'Option Tables'!$B$23:$F$26,2)))+(F220*(VLOOKUP(I222,'Option Tables'!$B$23:$F$26,3)))+(E220*(VLOOKUP(I222,'Option Tables'!$B$23:$F$26,4))+(P220*(VLOOKUP(I222,'Option Tables'!$B$23:$F$26,5)))))</f>
        <v>0</v>
      </c>
      <c r="H223" s="355">
        <f>$D223*((H220*(VLOOKUP(I222,'Option Tables'!$B$23:$F$26,2)))+(G220*(VLOOKUP(I222,'Option Tables'!$B$23:$F$26,3)))+(F220*(VLOOKUP(I222,'Option Tables'!$B$23:$F$26,4))+(E220*(VLOOKUP(I222,'Option Tables'!$B$23:$F$26,5)))))</f>
        <v>0</v>
      </c>
      <c r="I223" s="355">
        <f>$D223*((I220*(VLOOKUP(I222,'Option Tables'!$B$23:$F$26,2)))+(H220*(VLOOKUP(I222,'Option Tables'!$B$23:$F$26,3)))+(G220*(VLOOKUP(I222,'Option Tables'!$B$23:$F$26,4))+(F220*(VLOOKUP(I222,'Option Tables'!$B$23:$F$26,5)))))</f>
        <v>168.34991574420496</v>
      </c>
      <c r="J223" s="355">
        <f>$D223*((J220*(VLOOKUP(I222,'Option Tables'!$B$23:$F$26,2)))+(I220*(VLOOKUP(I222,'Option Tables'!$B$23:$F$26,3)))+(H220*(VLOOKUP(I222,'Option Tables'!$B$23:$F$26,4))+(G220*(VLOOKUP(I222,'Option Tables'!$B$23:$F$26,5)))))</f>
        <v>214.07512824812895</v>
      </c>
      <c r="K223" s="355">
        <f>$D223*((K220*(VLOOKUP(I222,'Option Tables'!$B$23:$F$26,2)))+(J220*(VLOOKUP(I222,'Option Tables'!$B$23:$F$26,3)))+(I220*(VLOOKUP(I222,'Option Tables'!$B$23:$F$26,4))+(H220*(VLOOKUP(I222,'Option Tables'!$B$23:$F$26,5)))))</f>
        <v>180.0946725574737</v>
      </c>
      <c r="L223" s="355">
        <f>$D223*((L220*(VLOOKUP(I222,'Option Tables'!$B$23:$F$26,2)))+(K220*(VLOOKUP(I222,'Option Tables'!$B$23:$F$26,3)))+(J220*(VLOOKUP(I222,'Option Tables'!$B$23:$F$26,4))+(I220*(VLOOKUP(I222,'Option Tables'!$B$23:$F$26,5)))))</f>
        <v>112.86140091672263</v>
      </c>
      <c r="M223" s="355">
        <f>$D223*((M220*(VLOOKUP(I222,'Option Tables'!$B$23:$F$26,2)))+(L220*(VLOOKUP(I222,'Option Tables'!$B$23:$F$26,3)))+(K220*(VLOOKUP(I222,'Option Tables'!$B$23:$F$26,4))+(J220*(VLOOKUP(I222,'Option Tables'!$B$23:$F$26,5)))))</f>
        <v>78.496337840049577</v>
      </c>
      <c r="N223" s="355">
        <f>$D223*((N220*(VLOOKUP(I222,'Option Tables'!$B$23:$F$26,2)))+(M220*(VLOOKUP(I222,'Option Tables'!$B$23:$F$26,3)))+(L220*(VLOOKUP(I222,'Option Tables'!$B$23:$F$26,4))+(K220*(VLOOKUP(I222,'Option Tables'!$B$23:$F$26,5)))))</f>
        <v>21.552014054132894</v>
      </c>
      <c r="O223" s="355">
        <f>$D223*((O220*(VLOOKUP(I222,'Option Tables'!$B$23:$F$26,2)))+(N220*(VLOOKUP(I222,'Option Tables'!$B$23:$F$26,3)))+(M220*(VLOOKUP(I222,'Option Tables'!$B$23:$F$26,4))+(L220*(VLOOKUP(I222,'Option Tables'!$B$23:$F$26,5)))))</f>
        <v>6.6249026485831406</v>
      </c>
      <c r="P223" s="465">
        <f>$D223*((P220*(VLOOKUP(I222,'Option Tables'!$B$23:$F$26,2)))+(O220*(VLOOKUP(I222,'Option Tables'!$B$23:$F$26,3)))+(N220*(VLOOKUP(I222,'Option Tables'!$B$23:$F$26,4))+(M220*(VLOOKUP(I222,'Option Tables'!$B$23:$F$26,5)))))</f>
        <v>0</v>
      </c>
      <c r="Q223" s="96"/>
    </row>
    <row r="224" spans="2:18" ht="15.75" customHeight="1">
      <c r="B224" s="255" t="str">
        <f>"("&amp;VLOOKUP(C224,NodeList!$D$5:$E$68,2,FALSE)&amp;")"</f>
        <v>(S P Ramsey)</v>
      </c>
      <c r="C224" s="256" t="s">
        <v>153</v>
      </c>
      <c r="D224" s="388">
        <v>0.3</v>
      </c>
      <c r="E224" s="355">
        <f>$D224*((E220*(VLOOKUP(I222,'Option Tables'!$B$23:$F$26,2)))+(P220*(VLOOKUP(I222,'Option Tables'!$B$23:$F$26,3)))+(O220*(VLOOKUP(I222,'Option Tables'!$B$23:$F$26,4))+(N220*(VLOOKUP(I222,'Option Tables'!$B$23:$F$26,5)))))</f>
        <v>0</v>
      </c>
      <c r="F224" s="355">
        <f>$D224*((F220*(VLOOKUP(I222,'Option Tables'!$B$23:$F$26,2)))+(E220*(VLOOKUP(I222,'Option Tables'!$B$23:$F$26,3)))+(P220*(VLOOKUP(I222,'Option Tables'!$B$23:$F$26,4))+(O220*(VLOOKUP(I222,'Option Tables'!$B$23:$F$26,5)))))</f>
        <v>0</v>
      </c>
      <c r="G224" s="355">
        <f>$D224*((G220*(VLOOKUP(I222,'Option Tables'!$B$23:$F$26,2)))+(F220*(VLOOKUP(I222,'Option Tables'!$B$23:$F$26,3)))+(E220*(VLOOKUP(I222,'Option Tables'!$B$23:$F$26,4))+(P220*(VLOOKUP(I222,'Option Tables'!$B$23:$F$26,5)))))</f>
        <v>0</v>
      </c>
      <c r="H224" s="355">
        <f>$D224*((H220*(VLOOKUP(I222,'Option Tables'!$B$23:$F$26,2)))+(G220*(VLOOKUP(I222,'Option Tables'!$B$23:$F$26,3)))+(F220*(VLOOKUP(I222,'Option Tables'!$B$23:$F$26,4))+(E220*(VLOOKUP(I222,'Option Tables'!$B$23:$F$26,5)))))</f>
        <v>0</v>
      </c>
      <c r="I224" s="355">
        <f>$D224*((I220*(VLOOKUP(I222,'Option Tables'!$B$23:$F$26,2)))+(H220*(VLOOKUP(I222,'Option Tables'!$B$23:$F$26,3)))+(G220*(VLOOKUP(I222,'Option Tables'!$B$23:$F$26,4))+(F220*(VLOOKUP(I222,'Option Tables'!$B$23:$F$26,5)))))</f>
        <v>72.149963890373556</v>
      </c>
      <c r="J224" s="355">
        <f>$D224*((J220*(VLOOKUP(I222,'Option Tables'!$B$23:$F$26,2)))+(I220*(VLOOKUP(I222,'Option Tables'!$B$23:$F$26,3)))+(H220*(VLOOKUP(I222,'Option Tables'!$B$23:$F$26,4))+(G220*(VLOOKUP(I222,'Option Tables'!$B$23:$F$26,5)))))</f>
        <v>91.7464835349124</v>
      </c>
      <c r="K224" s="355">
        <f>$D224*((K220*(VLOOKUP(I222,'Option Tables'!$B$23:$F$26,2)))+(J220*(VLOOKUP(I222,'Option Tables'!$B$23:$F$26,3)))+(I220*(VLOOKUP(I222,'Option Tables'!$B$23:$F$26,4))+(H220*(VLOOKUP(I222,'Option Tables'!$B$23:$F$26,5)))))</f>
        <v>77.183431096060161</v>
      </c>
      <c r="L224" s="355">
        <f>$D224*((L220*(VLOOKUP(I222,'Option Tables'!$B$23:$F$26,2)))+(K220*(VLOOKUP(I222,'Option Tables'!$B$23:$F$26,3)))+(J220*(VLOOKUP(I222,'Option Tables'!$B$23:$F$26,4))+(I220*(VLOOKUP(I222,'Option Tables'!$B$23:$F$26,5)))))</f>
        <v>48.369171821452561</v>
      </c>
      <c r="M224" s="355">
        <f>$D224*((M220*(VLOOKUP(I222,'Option Tables'!$B$23:$F$26,2)))+(L220*(VLOOKUP(I222,'Option Tables'!$B$23:$F$26,3)))+(K220*(VLOOKUP(I222,'Option Tables'!$B$23:$F$26,4))+(J220*(VLOOKUP(I222,'Option Tables'!$B$23:$F$26,5)))))</f>
        <v>33.641287645735538</v>
      </c>
      <c r="N224" s="355">
        <f>$D224*((N220*(VLOOKUP(I222,'Option Tables'!$B$23:$F$26,2)))+(M220*(VLOOKUP(I222,'Option Tables'!$B$23:$F$26,3)))+(L220*(VLOOKUP(I222,'Option Tables'!$B$23:$F$26,4))+(K220*(VLOOKUP(I222,'Option Tables'!$B$23:$F$26,5)))))</f>
        <v>9.2365774517712413</v>
      </c>
      <c r="O224" s="355">
        <f>$D224*((O220*(VLOOKUP(I222,'Option Tables'!$B$23:$F$26,2)))+(N220*(VLOOKUP(I222,'Option Tables'!$B$23:$F$26,3)))+(M220*(VLOOKUP(I222,'Option Tables'!$B$23:$F$26,4))+(L220*(VLOOKUP(I222,'Option Tables'!$B$23:$F$26,5)))))</f>
        <v>2.8392439922499175</v>
      </c>
      <c r="P224" s="465">
        <f>$D224*((P220*(VLOOKUP(I222,'Option Tables'!$B$23:$F$26,2)))+(O220*(VLOOKUP(I222,'Option Tables'!$B$23:$F$26,3)))+(N220*(VLOOKUP(I222,'Option Tables'!$B$23:$F$26,4))+(M220*(VLOOKUP(I222,'Option Tables'!$B$23:$F$26,5)))))</f>
        <v>0</v>
      </c>
      <c r="Q224" s="96"/>
    </row>
    <row r="225" spans="1:18" ht="15.75" customHeight="1">
      <c r="B225" s="95"/>
      <c r="C225" s="256"/>
      <c r="D225" s="388">
        <v>0</v>
      </c>
      <c r="E225" s="355">
        <f>$D225*((E220*(VLOOKUP(I222,'Option Tables'!$B$23:$F$26,2)))+(P220*(VLOOKUP(I222,'Option Tables'!$B$23:$F$26,3)))+(O220*(VLOOKUP(I222,'Option Tables'!$B$23:$F$26,4))+(N220*(VLOOKUP(I222,'Option Tables'!$B$23:$F$26,5)))))</f>
        <v>0</v>
      </c>
      <c r="F225" s="355">
        <f>$D225*((F220*(VLOOKUP(I222,'Option Tables'!$B$23:$F$26,2)))+(E220*(VLOOKUP(I222,'Option Tables'!$B$23:$F$26,3)))+(P220*(VLOOKUP(I222,'Option Tables'!$B$23:$F$26,4))+(O220*(VLOOKUP(I222,'Option Tables'!$B$23:$F$26,5)))))</f>
        <v>0</v>
      </c>
      <c r="G225" s="355">
        <f>$D225*((G220*(VLOOKUP(I222,'Option Tables'!$B$23:$F$26,2)))+(F220*(VLOOKUP(I222,'Option Tables'!$B$23:$F$26,3)))+(E220*(VLOOKUP(I222,'Option Tables'!$B$23:$F$26,4))+(P220*(VLOOKUP(I222,'Option Tables'!$B$23:$F$26,5)))))</f>
        <v>0</v>
      </c>
      <c r="H225" s="355">
        <f>$D225*((H220*(VLOOKUP(I222,'Option Tables'!$B$23:$F$26,2)))+(G220*(VLOOKUP(I222,'Option Tables'!$B$23:$F$26,3)))+(F220*(VLOOKUP(I222,'Option Tables'!$B$23:$F$26,4))+(E220*(VLOOKUP(I222,'Option Tables'!$B$23:$F$26,5)))))</f>
        <v>0</v>
      </c>
      <c r="I225" s="355">
        <f>$D225*((I220*(VLOOKUP(I222,'Option Tables'!$B$23:$F$26,2)))+(H220*(VLOOKUP(I222,'Option Tables'!$B$23:$F$26,3)))+(G220*(VLOOKUP(I222,'Option Tables'!$B$23:$F$26,4))+(F220*(VLOOKUP(I222,'Option Tables'!$B$23:$F$26,5)))))</f>
        <v>0</v>
      </c>
      <c r="J225" s="355">
        <f>$D225*((J220*(VLOOKUP(I222,'Option Tables'!$B$23:$F$26,2)))+(I220*(VLOOKUP(I222,'Option Tables'!$B$23:$F$26,3)))+(H220*(VLOOKUP(I222,'Option Tables'!$B$23:$F$26,4))+(G220*(VLOOKUP(I222,'Option Tables'!$B$23:$F$26,5)))))</f>
        <v>0</v>
      </c>
      <c r="K225" s="355">
        <f>$D225*((K220*(VLOOKUP(I222,'Option Tables'!$B$23:$F$26,2)))+(J220*(VLOOKUP(I222,'Option Tables'!$B$23:$F$26,3)))+(I220*(VLOOKUP(I222,'Option Tables'!$B$23:$F$26,4))+(H220*(VLOOKUP(I222,'Option Tables'!$B$23:$F$26,5)))))</f>
        <v>0</v>
      </c>
      <c r="L225" s="355">
        <f>$D225*((L220*(VLOOKUP(I222,'Option Tables'!$B$23:$F$26,2)))+(K220*(VLOOKUP(I222,'Option Tables'!$B$23:$F$26,3)))+(J220*(VLOOKUP(I222,'Option Tables'!$B$23:$F$26,4))+(I220*(VLOOKUP(I222,'Option Tables'!$B$23:$F$26,5)))))</f>
        <v>0</v>
      </c>
      <c r="M225" s="355">
        <f>$D225*((M220*(VLOOKUP(I222,'Option Tables'!$B$23:$F$26,2)))+(L220*(VLOOKUP(I222,'Option Tables'!$B$23:$F$26,3)))+(K220*(VLOOKUP(I222,'Option Tables'!$B$23:$F$26,4))+(J220*(VLOOKUP(I222,'Option Tables'!$B$23:$F$26,5)))))</f>
        <v>0</v>
      </c>
      <c r="N225" s="355">
        <f>$D225*((N220*(VLOOKUP(I222,'Option Tables'!$B$23:$F$26,2)))+(M220*(VLOOKUP(I222,'Option Tables'!$B$23:$F$26,3)))+(L220*(VLOOKUP(I222,'Option Tables'!$B$23:$F$26,4))+(K220*(VLOOKUP(I222,'Option Tables'!$B$23:$F$26,5)))))</f>
        <v>0</v>
      </c>
      <c r="O225" s="355">
        <f>$D225*((O220*(VLOOKUP(I222,'Option Tables'!$B$23:$F$26,2)))+(N220*(VLOOKUP(I222,'Option Tables'!$B$23:$F$26,3)))+(M220*(VLOOKUP(I222,'Option Tables'!$B$23:$F$26,4))+(L220*(VLOOKUP(I222,'Option Tables'!$B$23:$F$26,5)))))</f>
        <v>0</v>
      </c>
      <c r="P225" s="465">
        <f>$D225*((P220*(VLOOKUP(I222,'Option Tables'!$B$23:$F$26,2)))+(O220*(VLOOKUP(I222,'Option Tables'!$B$23:$F$26,3)))+(N220*(VLOOKUP(I222,'Option Tables'!$B$23:$F$26,4))+(M220*(VLOOKUP(I222,'Option Tables'!$B$23:$F$26,5)))))</f>
        <v>0</v>
      </c>
      <c r="Q225" s="96"/>
    </row>
    <row r="226" spans="1:18" ht="15.75" customHeight="1">
      <c r="B226" s="95"/>
      <c r="C226" s="256"/>
      <c r="D226" s="388">
        <v>0</v>
      </c>
      <c r="E226" s="355">
        <f>$D226*((E220*(VLOOKUP(I222,'Option Tables'!$B$23:$F$26,2)))+(P220*(VLOOKUP(I222,'Option Tables'!$B$23:$F$26,3)))+(O220*(VLOOKUP(I222,'Option Tables'!$B$23:$F$26,4))+(N220*(VLOOKUP(I222,'Option Tables'!$B$23:$F$26,5)))))</f>
        <v>0</v>
      </c>
      <c r="F226" s="355">
        <f>$D226*((F220*(VLOOKUP(I222,'Option Tables'!$B$23:$F$26,2)))+(E220*(VLOOKUP(I222,'Option Tables'!$B$23:$F$26,3)))+(P220*(VLOOKUP(I222,'Option Tables'!$B$23:$F$26,4))+(O220*(VLOOKUP(I222,'Option Tables'!$B$23:$F$26,5)))))</f>
        <v>0</v>
      </c>
      <c r="G226" s="355">
        <f>$D226*((G220*(VLOOKUP(I222,'Option Tables'!$B$23:$F$26,2)))+(F220*(VLOOKUP(I222,'Option Tables'!$B$23:$F$26,3)))+(E220*(VLOOKUP(I222,'Option Tables'!$B$23:$F$26,4))+(P220*(VLOOKUP(I222,'Option Tables'!$B$23:$F$26,5)))))</f>
        <v>0</v>
      </c>
      <c r="H226" s="355">
        <f>$D226*((H220*(VLOOKUP(I222,'Option Tables'!$B$23:$F$26,2)))+(G220*(VLOOKUP(I222,'Option Tables'!$B$23:$F$26,3)))+(F220*(VLOOKUP(I222,'Option Tables'!$B$23:$F$26,4))+(E220*(VLOOKUP(I222,'Option Tables'!$B$23:$F$26,5)))))</f>
        <v>0</v>
      </c>
      <c r="I226" s="355">
        <f>$D226*((I220*(VLOOKUP(I222,'Option Tables'!$B$23:$F$26,2)))+(H220*(VLOOKUP(I222,'Option Tables'!$B$23:$F$26,3)))+(G220*(VLOOKUP(I222,'Option Tables'!$B$23:$F$26,4))+(F220*(VLOOKUP(I222,'Option Tables'!$B$23:$F$26,5)))))</f>
        <v>0</v>
      </c>
      <c r="J226" s="355">
        <f>$D226*((J220*(VLOOKUP(I222,'Option Tables'!$B$23:$F$26,2)))+(I220*(VLOOKUP(I222,'Option Tables'!$B$23:$F$26,3)))+(H220*(VLOOKUP(I222,'Option Tables'!$B$23:$F$26,4))+(G220*(VLOOKUP(I222,'Option Tables'!$B$23:$F$26,5)))))</f>
        <v>0</v>
      </c>
      <c r="K226" s="355">
        <f>$D226*((K220*(VLOOKUP(I222,'Option Tables'!$B$23:$F$26,2)))+(J220*(VLOOKUP(I222,'Option Tables'!$B$23:$F$26,3)))+(I220*(VLOOKUP(I222,'Option Tables'!$B$23:$F$26,4))+(H220*(VLOOKUP(I222,'Option Tables'!$B$23:$F$26,5)))))</f>
        <v>0</v>
      </c>
      <c r="L226" s="355">
        <f>$D226*((L220*(VLOOKUP(I222,'Option Tables'!$B$23:$F$26,2)))+(K220*(VLOOKUP(I222,'Option Tables'!$B$23:$F$26,3)))+(J220*(VLOOKUP(I222,'Option Tables'!$B$23:$F$26,4))+(I220*(VLOOKUP(I222,'Option Tables'!$B$23:$F$26,5)))))</f>
        <v>0</v>
      </c>
      <c r="M226" s="355">
        <f>$D226*((M220*(VLOOKUP(I222,'Option Tables'!$B$23:$F$26,2)))+(L220*(VLOOKUP(I222,'Option Tables'!$B$23:$F$26,3)))+(K220*(VLOOKUP(I222,'Option Tables'!$B$23:$F$26,4))+(J220*(VLOOKUP(I222,'Option Tables'!$B$23:$F$26,5)))))</f>
        <v>0</v>
      </c>
      <c r="N226" s="355">
        <f>$D226*((N220*(VLOOKUP(I222,'Option Tables'!$B$23:$F$26,2)))+(M220*(VLOOKUP(I222,'Option Tables'!$B$23:$F$26,3)))+(L220*(VLOOKUP(I222,'Option Tables'!$B$23:$F$26,4))+(K220*(VLOOKUP(I222,'Option Tables'!$B$23:$F$26,5)))))</f>
        <v>0</v>
      </c>
      <c r="O226" s="355">
        <f>$D226*((O220*(VLOOKUP(I222,'Option Tables'!$B$23:$F$26,2)))+(N220*(VLOOKUP(I222,'Option Tables'!$B$23:$F$26,3)))+(M220*(VLOOKUP(I222,'Option Tables'!$B$23:$F$26,4))+(L220*(VLOOKUP(I222,'Option Tables'!$B$23:$F$26,5)))))</f>
        <v>0</v>
      </c>
      <c r="P226" s="465">
        <f>$D226*((P220*(VLOOKUP(I222,'Option Tables'!$B$23:$F$26,2)))+(O220*(VLOOKUP(I222,'Option Tables'!$B$23:$F$26,3)))+(N220*(VLOOKUP(I222,'Option Tables'!$B$23:$F$26,4))+(M220*(VLOOKUP(I222,'Option Tables'!$B$23:$F$26,5)))))</f>
        <v>0</v>
      </c>
      <c r="Q226" s="96"/>
    </row>
    <row r="227" spans="1:18" ht="15.75" customHeight="1" thickBot="1">
      <c r="B227" s="97"/>
      <c r="C227" s="144" t="str">
        <f>IF(D227&lt;&gt;1,"Must equal %100","")</f>
        <v/>
      </c>
      <c r="D227" s="71">
        <f t="shared" ref="D227:P227" si="21">SUM(D223:D226)</f>
        <v>1</v>
      </c>
      <c r="E227" s="466">
        <f t="shared" si="21"/>
        <v>0</v>
      </c>
      <c r="F227" s="466">
        <f t="shared" si="21"/>
        <v>0</v>
      </c>
      <c r="G227" s="466">
        <f t="shared" si="21"/>
        <v>0</v>
      </c>
      <c r="H227" s="466">
        <f t="shared" si="21"/>
        <v>0</v>
      </c>
      <c r="I227" s="466">
        <f t="shared" si="21"/>
        <v>240.49987963457852</v>
      </c>
      <c r="J227" s="466">
        <f t="shared" si="21"/>
        <v>305.82161178304136</v>
      </c>
      <c r="K227" s="466">
        <f t="shared" si="21"/>
        <v>257.27810365353389</v>
      </c>
      <c r="L227" s="466">
        <f t="shared" si="21"/>
        <v>161.2305727381752</v>
      </c>
      <c r="M227" s="466">
        <f t="shared" si="21"/>
        <v>112.13762548578512</v>
      </c>
      <c r="N227" s="466">
        <f t="shared" si="21"/>
        <v>30.788591505904137</v>
      </c>
      <c r="O227" s="466">
        <f t="shared" si="21"/>
        <v>9.4641466408330572</v>
      </c>
      <c r="P227" s="467">
        <f t="shared" si="21"/>
        <v>0</v>
      </c>
      <c r="Q227" s="96"/>
      <c r="R227" s="140"/>
    </row>
    <row r="228" spans="1:18" ht="15.75" customHeight="1" thickBot="1">
      <c r="A228" s="142" t="s">
        <v>261</v>
      </c>
      <c r="B228" s="95"/>
      <c r="C228" s="205"/>
      <c r="D228" s="98"/>
      <c r="E228" s="355"/>
      <c r="F228" s="358"/>
      <c r="G228" s="358"/>
      <c r="H228" s="358"/>
      <c r="I228" s="358"/>
      <c r="J228" s="355"/>
      <c r="K228" s="355"/>
      <c r="L228" s="355"/>
      <c r="M228" s="355"/>
      <c r="N228" s="355"/>
      <c r="O228" s="355"/>
      <c r="P228" s="465"/>
      <c r="Q228" s="96"/>
    </row>
    <row r="229" spans="1:18" ht="15.75" customHeight="1" thickBot="1">
      <c r="B229" s="85" t="s">
        <v>119</v>
      </c>
      <c r="C229" s="284" t="str">
        <f>VLOOKUP(B229,NodeList!$D$5:$E$73,2,FALSE)</f>
        <v>USGS 10016900: Bear R. at Evanston, WY</v>
      </c>
      <c r="D229" s="91"/>
      <c r="E229" s="450"/>
      <c r="F229" s="451"/>
      <c r="G229" s="452"/>
      <c r="H229" s="453" t="s">
        <v>54</v>
      </c>
      <c r="I229" s="68">
        <v>15</v>
      </c>
      <c r="J229" s="454"/>
      <c r="K229" s="454"/>
      <c r="L229" s="454"/>
      <c r="M229" s="454"/>
      <c r="N229" s="454"/>
      <c r="O229" s="454"/>
      <c r="P229" s="455"/>
      <c r="Q229" s="96"/>
    </row>
    <row r="230" spans="1:18" ht="15.75" customHeight="1">
      <c r="B230" s="94"/>
      <c r="C230" s="66" t="s">
        <v>57</v>
      </c>
      <c r="D230" s="69"/>
      <c r="E230" s="456">
        <f>VLOOKUP($B229,'Diversion Data'!$B$3:$O$227,3,FALSE)</f>
        <v>0</v>
      </c>
      <c r="F230" s="456">
        <f>VLOOKUP($B229,'Diversion Data'!$B$3:$O$227,4,FALSE)</f>
        <v>0</v>
      </c>
      <c r="G230" s="456">
        <f>VLOOKUP($B229,'Diversion Data'!$B$3:$O$227,5,FALSE)</f>
        <v>0</v>
      </c>
      <c r="H230" s="456">
        <f>VLOOKUP($B229,'Diversion Data'!$B$3:$O$227,6,FALSE)</f>
        <v>0</v>
      </c>
      <c r="I230" s="456">
        <f>VLOOKUP($B229,'Diversion Data'!$B$3:$O$227,7,FALSE)</f>
        <v>0</v>
      </c>
      <c r="J230" s="456">
        <f>VLOOKUP($B229,'Diversion Data'!$B$3:$O$227,8,FALSE)</f>
        <v>0</v>
      </c>
      <c r="K230" s="456">
        <f>VLOOKUP($B229,'Diversion Data'!$B$3:$O$227,9,FALSE)</f>
        <v>0</v>
      </c>
      <c r="L230" s="456">
        <f>VLOOKUP($B229,'Diversion Data'!$B$3:$O$227,10,FALSE)</f>
        <v>0</v>
      </c>
      <c r="M230" s="456">
        <f>VLOOKUP($B229,'Diversion Data'!$B$3:$O$227,11,FALSE)</f>
        <v>0</v>
      </c>
      <c r="N230" s="456">
        <f>VLOOKUP($B229,'Diversion Data'!$B$3:$O$227,12,FALSE)</f>
        <v>0</v>
      </c>
      <c r="O230" s="456">
        <f>VLOOKUP($B229,'Diversion Data'!$B$3:$O$227,13,FALSE)</f>
        <v>0</v>
      </c>
      <c r="P230" s="457">
        <f>VLOOKUP($B229,'Diversion Data'!$B$3:$O$227,14,FALSE)</f>
        <v>0</v>
      </c>
      <c r="Q230" s="96"/>
    </row>
    <row r="231" spans="1:18" ht="15.75" customHeight="1">
      <c r="B231" s="95"/>
      <c r="C231" s="72" t="s">
        <v>56</v>
      </c>
      <c r="D231" s="70"/>
      <c r="E231" s="458">
        <f>VLOOKUP($I229,'Option Tables'!$B$3:$N$19,2,FALSE)*E230</f>
        <v>0</v>
      </c>
      <c r="F231" s="458">
        <f>VLOOKUP($I229,'Option Tables'!$B$3:$N$19,3,FALSE)*F230</f>
        <v>0</v>
      </c>
      <c r="G231" s="458">
        <f>VLOOKUP($I229,'Option Tables'!$B$3:$N$19,4,FALSE)*G230</f>
        <v>0</v>
      </c>
      <c r="H231" s="458">
        <f>VLOOKUP($I229,'Option Tables'!$B$3:$N$19,5,FALSE)*H230</f>
        <v>0</v>
      </c>
      <c r="I231" s="458">
        <f>VLOOKUP($I229,'Option Tables'!$B$3:$N$19,6,FALSE)*I230</f>
        <v>0</v>
      </c>
      <c r="J231" s="458">
        <f>VLOOKUP($I229,'Option Tables'!$B$3:$N$19,7,FALSE)*J230</f>
        <v>0</v>
      </c>
      <c r="K231" s="458">
        <f>VLOOKUP($I229,'Option Tables'!$B$3:$N$19,8,FALSE)*K230</f>
        <v>0</v>
      </c>
      <c r="L231" s="458">
        <f>VLOOKUP($I229,'Option Tables'!$B$3:$N$19,9,FALSE)*L230</f>
        <v>0</v>
      </c>
      <c r="M231" s="458">
        <f>VLOOKUP($I229,'Option Tables'!$B$3:$N$19,10,FALSE)*M230</f>
        <v>0</v>
      </c>
      <c r="N231" s="458">
        <f>VLOOKUP($I229,'Option Tables'!$B$3:$N$19,11,FALSE)*N230</f>
        <v>0</v>
      </c>
      <c r="O231" s="458">
        <f>VLOOKUP($I229,'Option Tables'!$B$3:$N$19,12,FALSE)*O230</f>
        <v>0</v>
      </c>
      <c r="P231" s="459">
        <f>VLOOKUP($I229,'Option Tables'!$B$3:$N$19,13,FALSE)*P230</f>
        <v>0</v>
      </c>
      <c r="Q231" s="96"/>
    </row>
    <row r="232" spans="1:18" ht="15.75" customHeight="1" thickBot="1">
      <c r="B232" s="95"/>
      <c r="C232" s="66"/>
      <c r="D232" s="62"/>
      <c r="E232" s="355"/>
      <c r="F232" s="355"/>
      <c r="G232" s="355"/>
      <c r="H232" s="355"/>
      <c r="I232" s="355"/>
      <c r="J232" s="355"/>
      <c r="K232" s="355"/>
      <c r="L232" s="355"/>
      <c r="M232" s="460"/>
      <c r="N232" s="460"/>
      <c r="O232" s="460"/>
      <c r="P232" s="461"/>
      <c r="Q232" s="96"/>
    </row>
    <row r="233" spans="1:18" ht="15.75" customHeight="1" thickBot="1">
      <c r="B233" s="254" t="s">
        <v>73</v>
      </c>
      <c r="C233" s="105" t="s">
        <v>73</v>
      </c>
      <c r="D233" s="105" t="s">
        <v>74</v>
      </c>
      <c r="E233" s="462"/>
      <c r="F233" s="463"/>
      <c r="G233" s="464"/>
      <c r="H233" s="464" t="s">
        <v>55</v>
      </c>
      <c r="I233" s="68">
        <v>3</v>
      </c>
      <c r="J233" s="460"/>
      <c r="K233" s="460"/>
      <c r="L233" s="460"/>
      <c r="M233" s="460"/>
      <c r="N233" s="460"/>
      <c r="O233" s="460"/>
      <c r="P233" s="461"/>
      <c r="Q233" s="96"/>
    </row>
    <row r="234" spans="1:18" ht="15.75" customHeight="1">
      <c r="B234" s="255" t="e">
        <f>"("&amp;VLOOKUP(C234,NodeList!$D$5:$E$68,2,FALSE)&amp;")"</f>
        <v>#N/A</v>
      </c>
      <c r="C234" s="256"/>
      <c r="D234" s="388">
        <v>1</v>
      </c>
      <c r="E234" s="355">
        <f>$D234*((E231*(VLOOKUP(I233,'Option Tables'!$B$23:$F$26,2)))+(P231*(VLOOKUP(I233,'Option Tables'!$B$23:$F$26,3)))+(O231*(VLOOKUP(I233,'Option Tables'!$B$23:$F$26,4))+(N231*(VLOOKUP(I233,'Option Tables'!$B$23:$F$26,5)))))</f>
        <v>0</v>
      </c>
      <c r="F234" s="355">
        <f>$D234*((F231*(VLOOKUP(I233,'Option Tables'!$B$23:$F$26,2)))+(E231*(VLOOKUP(I233,'Option Tables'!$B$23:$F$26,3)))+(P231*(VLOOKUP(I233,'Option Tables'!$B$23:$F$26,4))+(O231*(VLOOKUP(I233,'Option Tables'!$B$23:$F$26,5)))))</f>
        <v>0</v>
      </c>
      <c r="G234" s="355">
        <f>$D234*((G231*(VLOOKUP(I233,'Option Tables'!$B$23:$F$26,2)))+(F231*(VLOOKUP(I233,'Option Tables'!$B$23:$F$26,3)))+(E231*(VLOOKUP(I233,'Option Tables'!$B$23:$F$26,4))+(P231*(VLOOKUP(I233,'Option Tables'!$B$23:$F$26,5)))))</f>
        <v>0</v>
      </c>
      <c r="H234" s="355">
        <f>$D234*((H231*(VLOOKUP(I233,'Option Tables'!$B$23:$F$26,2)))+(G231*(VLOOKUP(I233,'Option Tables'!$B$23:$F$26,3)))+(F231*(VLOOKUP(I233,'Option Tables'!$B$23:$F$26,4))+(E231*(VLOOKUP(I233,'Option Tables'!$B$23:$F$26,5)))))</f>
        <v>0</v>
      </c>
      <c r="I234" s="355">
        <f>$D234*((I231*(VLOOKUP(I233,'Option Tables'!$B$23:$F$26,2)))+(H231*(VLOOKUP(I233,'Option Tables'!$B$23:$F$26,3)))+(G231*(VLOOKUP(I233,'Option Tables'!$B$23:$F$26,4))+(F231*(VLOOKUP(I233,'Option Tables'!$B$23:$F$26,5)))))</f>
        <v>0</v>
      </c>
      <c r="J234" s="355">
        <f>$D234*((J231*(VLOOKUP(I233,'Option Tables'!$B$23:$F$26,2)))+(I231*(VLOOKUP(I233,'Option Tables'!$B$23:$F$26,3)))+(H231*(VLOOKUP(I233,'Option Tables'!$B$23:$F$26,4))+(G231*(VLOOKUP(I233,'Option Tables'!$B$23:$F$26,5)))))</f>
        <v>0</v>
      </c>
      <c r="K234" s="355">
        <f>$D234*((K231*(VLOOKUP(I233,'Option Tables'!$B$23:$F$26,2)))+(J231*(VLOOKUP(I233,'Option Tables'!$B$23:$F$26,3)))+(I231*(VLOOKUP(I233,'Option Tables'!$B$23:$F$26,4))+(H231*(VLOOKUP(I233,'Option Tables'!$B$23:$F$26,5)))))</f>
        <v>0</v>
      </c>
      <c r="L234" s="355">
        <f>$D234*((L231*(VLOOKUP(I233,'Option Tables'!$B$23:$F$26,2)))+(K231*(VLOOKUP(I233,'Option Tables'!$B$23:$F$26,3)))+(J231*(VLOOKUP(I233,'Option Tables'!$B$23:$F$26,4))+(I231*(VLOOKUP(I233,'Option Tables'!$B$23:$F$26,5)))))</f>
        <v>0</v>
      </c>
      <c r="M234" s="355">
        <f>$D234*((M231*(VLOOKUP(I233,'Option Tables'!$B$23:$F$26,2)))+(L231*(VLOOKUP(I233,'Option Tables'!$B$23:$F$26,3)))+(K231*(VLOOKUP(I233,'Option Tables'!$B$23:$F$26,4))+(J231*(VLOOKUP(I233,'Option Tables'!$B$23:$F$26,5)))))</f>
        <v>0</v>
      </c>
      <c r="N234" s="355">
        <f>$D234*((N231*(VLOOKUP(I233,'Option Tables'!$B$23:$F$26,2)))+(M231*(VLOOKUP(I233,'Option Tables'!$B$23:$F$26,3)))+(L231*(VLOOKUP(I233,'Option Tables'!$B$23:$F$26,4))+(K231*(VLOOKUP(I233,'Option Tables'!$B$23:$F$26,5)))))</f>
        <v>0</v>
      </c>
      <c r="O234" s="355">
        <f>$D234*((O231*(VLOOKUP(I233,'Option Tables'!$B$23:$F$26,2)))+(N231*(VLOOKUP(I233,'Option Tables'!$B$23:$F$26,3)))+(M231*(VLOOKUP(I233,'Option Tables'!$B$23:$F$26,4))+(L231*(VLOOKUP(I233,'Option Tables'!$B$23:$F$26,5)))))</f>
        <v>0</v>
      </c>
      <c r="P234" s="465">
        <f>$D234*((P231*(VLOOKUP(I233,'Option Tables'!$B$23:$F$26,2)))+(O231*(VLOOKUP(I233,'Option Tables'!$B$23:$F$26,3)))+(N231*(VLOOKUP(I233,'Option Tables'!$B$23:$F$26,4))+(M231*(VLOOKUP(I233,'Option Tables'!$B$23:$F$26,5)))))</f>
        <v>0</v>
      </c>
      <c r="Q234" s="96"/>
    </row>
    <row r="235" spans="1:18" ht="15.75" customHeight="1">
      <c r="B235" s="255"/>
      <c r="C235" s="256"/>
      <c r="D235" s="388">
        <v>0</v>
      </c>
      <c r="E235" s="355">
        <f>$D235*((E231*(VLOOKUP(I233,'Option Tables'!$B$23:$F$26,2)))+(P231*(VLOOKUP(I233,'Option Tables'!$B$23:$F$26,3)))+(O231*(VLOOKUP(I233,'Option Tables'!$B$23:$F$26,4))+(N231*(VLOOKUP(I233,'Option Tables'!$B$23:$F$26,5)))))</f>
        <v>0</v>
      </c>
      <c r="F235" s="355">
        <f>$D235*((F231*(VLOOKUP(I233,'Option Tables'!$B$23:$F$26,2)))+(E231*(VLOOKUP(I233,'Option Tables'!$B$23:$F$26,3)))+(P231*(VLOOKUP(I233,'Option Tables'!$B$23:$F$26,4))+(O231*(VLOOKUP(I233,'Option Tables'!$B$23:$F$26,5)))))</f>
        <v>0</v>
      </c>
      <c r="G235" s="355">
        <f>$D235*((G231*(VLOOKUP(I233,'Option Tables'!$B$23:$F$26,2)))+(F231*(VLOOKUP(I233,'Option Tables'!$B$23:$F$26,3)))+(E231*(VLOOKUP(I233,'Option Tables'!$B$23:$F$26,4))+(P231*(VLOOKUP(I233,'Option Tables'!$B$23:$F$26,5)))))</f>
        <v>0</v>
      </c>
      <c r="H235" s="355">
        <f>$D235*((H231*(VLOOKUP(I233,'Option Tables'!$B$23:$F$26,2)))+(G231*(VLOOKUP(I233,'Option Tables'!$B$23:$F$26,3)))+(F231*(VLOOKUP(I233,'Option Tables'!$B$23:$F$26,4))+(E231*(VLOOKUP(I233,'Option Tables'!$B$23:$F$26,5)))))</f>
        <v>0</v>
      </c>
      <c r="I235" s="355">
        <f>$D235*((I231*(VLOOKUP(I233,'Option Tables'!$B$23:$F$26,2)))+(H231*(VLOOKUP(I233,'Option Tables'!$B$23:$F$26,3)))+(G231*(VLOOKUP(I233,'Option Tables'!$B$23:$F$26,4))+(F231*(VLOOKUP(I233,'Option Tables'!$B$23:$F$26,5)))))</f>
        <v>0</v>
      </c>
      <c r="J235" s="355">
        <f>$D235*((J231*(VLOOKUP(I233,'Option Tables'!$B$23:$F$26,2)))+(I231*(VLOOKUP(I233,'Option Tables'!$B$23:$F$26,3)))+(H231*(VLOOKUP(I233,'Option Tables'!$B$23:$F$26,4))+(G231*(VLOOKUP(I233,'Option Tables'!$B$23:$F$26,5)))))</f>
        <v>0</v>
      </c>
      <c r="K235" s="355">
        <f>$D235*((K231*(VLOOKUP(I233,'Option Tables'!$B$23:$F$26,2)))+(J231*(VLOOKUP(I233,'Option Tables'!$B$23:$F$26,3)))+(I231*(VLOOKUP(I233,'Option Tables'!$B$23:$F$26,4))+(H231*(VLOOKUP(I233,'Option Tables'!$B$23:$F$26,5)))))</f>
        <v>0</v>
      </c>
      <c r="L235" s="355">
        <f>$D235*((L231*(VLOOKUP(I233,'Option Tables'!$B$23:$F$26,2)))+(K231*(VLOOKUP(I233,'Option Tables'!$B$23:$F$26,3)))+(J231*(VLOOKUP(I233,'Option Tables'!$B$23:$F$26,4))+(I231*(VLOOKUP(I233,'Option Tables'!$B$23:$F$26,5)))))</f>
        <v>0</v>
      </c>
      <c r="M235" s="355">
        <f>$D235*((M231*(VLOOKUP(I233,'Option Tables'!$B$23:$F$26,2)))+(L231*(VLOOKUP(I233,'Option Tables'!$B$23:$F$26,3)))+(K231*(VLOOKUP(I233,'Option Tables'!$B$23:$F$26,4))+(J231*(VLOOKUP(I233,'Option Tables'!$B$23:$F$26,5)))))</f>
        <v>0</v>
      </c>
      <c r="N235" s="355">
        <f>$D235*((N231*(VLOOKUP(I233,'Option Tables'!$B$23:$F$26,2)))+(M231*(VLOOKUP(I233,'Option Tables'!$B$23:$F$26,3)))+(L231*(VLOOKUP(I233,'Option Tables'!$B$23:$F$26,4))+(K231*(VLOOKUP(I233,'Option Tables'!$B$23:$F$26,5)))))</f>
        <v>0</v>
      </c>
      <c r="O235" s="355">
        <f>$D235*((O231*(VLOOKUP(I233,'Option Tables'!$B$23:$F$26,2)))+(N231*(VLOOKUP(I233,'Option Tables'!$B$23:$F$26,3)))+(M231*(VLOOKUP(I233,'Option Tables'!$B$23:$F$26,4))+(L231*(VLOOKUP(I233,'Option Tables'!$B$23:$F$26,5)))))</f>
        <v>0</v>
      </c>
      <c r="P235" s="465">
        <f>$D235*((P231*(VLOOKUP(I233,'Option Tables'!$B$23:$F$26,2)))+(O231*(VLOOKUP(I233,'Option Tables'!$B$23:$F$26,3)))+(N231*(VLOOKUP(I233,'Option Tables'!$B$23:$F$26,4))+(M231*(VLOOKUP(I233,'Option Tables'!$B$23:$F$26,5)))))</f>
        <v>0</v>
      </c>
      <c r="Q235" s="96"/>
    </row>
    <row r="236" spans="1:18" ht="15.75" customHeight="1">
      <c r="B236" s="95"/>
      <c r="C236" s="256"/>
      <c r="D236" s="388">
        <v>0</v>
      </c>
      <c r="E236" s="355">
        <f>$D236*((E231*(VLOOKUP(I233,'Option Tables'!$B$23:$F$26,2)))+(P231*(VLOOKUP(I233,'Option Tables'!$B$23:$F$26,3)))+(O231*(VLOOKUP(I233,'Option Tables'!$B$23:$F$26,4))+(N231*(VLOOKUP(I233,'Option Tables'!$B$23:$F$26,5)))))</f>
        <v>0</v>
      </c>
      <c r="F236" s="355">
        <f>$D236*((F231*(VLOOKUP(I233,'Option Tables'!$B$23:$F$26,2)))+(E231*(VLOOKUP(I233,'Option Tables'!$B$23:$F$26,3)))+(P231*(VLOOKUP(I233,'Option Tables'!$B$23:$F$26,4))+(O231*(VLOOKUP(I233,'Option Tables'!$B$23:$F$26,5)))))</f>
        <v>0</v>
      </c>
      <c r="G236" s="355">
        <f>$D236*((G231*(VLOOKUP(I233,'Option Tables'!$B$23:$F$26,2)))+(F231*(VLOOKUP(I233,'Option Tables'!$B$23:$F$26,3)))+(E231*(VLOOKUP(I233,'Option Tables'!$B$23:$F$26,4))+(P231*(VLOOKUP(I233,'Option Tables'!$B$23:$F$26,5)))))</f>
        <v>0</v>
      </c>
      <c r="H236" s="355">
        <f>$D236*((H231*(VLOOKUP(I233,'Option Tables'!$B$23:$F$26,2)))+(G231*(VLOOKUP(I233,'Option Tables'!$B$23:$F$26,3)))+(F231*(VLOOKUP(I233,'Option Tables'!$B$23:$F$26,4))+(E231*(VLOOKUP(I233,'Option Tables'!$B$23:$F$26,5)))))</f>
        <v>0</v>
      </c>
      <c r="I236" s="355">
        <f>$D236*((I231*(VLOOKUP(I233,'Option Tables'!$B$23:$F$26,2)))+(H231*(VLOOKUP(I233,'Option Tables'!$B$23:$F$26,3)))+(G231*(VLOOKUP(I233,'Option Tables'!$B$23:$F$26,4))+(F231*(VLOOKUP(I233,'Option Tables'!$B$23:$F$26,5)))))</f>
        <v>0</v>
      </c>
      <c r="J236" s="355">
        <f>$D236*((J231*(VLOOKUP(I233,'Option Tables'!$B$23:$F$26,2)))+(I231*(VLOOKUP(I233,'Option Tables'!$B$23:$F$26,3)))+(H231*(VLOOKUP(I233,'Option Tables'!$B$23:$F$26,4))+(G231*(VLOOKUP(I233,'Option Tables'!$B$23:$F$26,5)))))</f>
        <v>0</v>
      </c>
      <c r="K236" s="355">
        <f>$D236*((K231*(VLOOKUP(I233,'Option Tables'!$B$23:$F$26,2)))+(J231*(VLOOKUP(I233,'Option Tables'!$B$23:$F$26,3)))+(I231*(VLOOKUP(I233,'Option Tables'!$B$23:$F$26,4))+(H231*(VLOOKUP(I233,'Option Tables'!$B$23:$F$26,5)))))</f>
        <v>0</v>
      </c>
      <c r="L236" s="355">
        <f>$D236*((L231*(VLOOKUP(I233,'Option Tables'!$B$23:$F$26,2)))+(K231*(VLOOKUP(I233,'Option Tables'!$B$23:$F$26,3)))+(J231*(VLOOKUP(I233,'Option Tables'!$B$23:$F$26,4))+(I231*(VLOOKUP(I233,'Option Tables'!$B$23:$F$26,5)))))</f>
        <v>0</v>
      </c>
      <c r="M236" s="355">
        <f>$D236*((M231*(VLOOKUP(I233,'Option Tables'!$B$23:$F$26,2)))+(L231*(VLOOKUP(I233,'Option Tables'!$B$23:$F$26,3)))+(K231*(VLOOKUP(I233,'Option Tables'!$B$23:$F$26,4))+(J231*(VLOOKUP(I233,'Option Tables'!$B$23:$F$26,5)))))</f>
        <v>0</v>
      </c>
      <c r="N236" s="355">
        <f>$D236*((N231*(VLOOKUP(I233,'Option Tables'!$B$23:$F$26,2)))+(M231*(VLOOKUP(I233,'Option Tables'!$B$23:$F$26,3)))+(L231*(VLOOKUP(I233,'Option Tables'!$B$23:$F$26,4))+(K231*(VLOOKUP(I233,'Option Tables'!$B$23:$F$26,5)))))</f>
        <v>0</v>
      </c>
      <c r="O236" s="355">
        <f>$D236*((O231*(VLOOKUP(I233,'Option Tables'!$B$23:$F$26,2)))+(N231*(VLOOKUP(I233,'Option Tables'!$B$23:$F$26,3)))+(M231*(VLOOKUP(I233,'Option Tables'!$B$23:$F$26,4))+(L231*(VLOOKUP(I233,'Option Tables'!$B$23:$F$26,5)))))</f>
        <v>0</v>
      </c>
      <c r="P236" s="465">
        <f>$D236*((P231*(VLOOKUP(I233,'Option Tables'!$B$23:$F$26,2)))+(O231*(VLOOKUP(I233,'Option Tables'!$B$23:$F$26,3)))+(N231*(VLOOKUP(I233,'Option Tables'!$B$23:$F$26,4))+(M231*(VLOOKUP(I233,'Option Tables'!$B$23:$F$26,5)))))</f>
        <v>0</v>
      </c>
      <c r="Q236" s="96"/>
    </row>
    <row r="237" spans="1:18" ht="15.75" customHeight="1">
      <c r="B237" s="95"/>
      <c r="C237" s="256"/>
      <c r="D237" s="388">
        <v>0</v>
      </c>
      <c r="E237" s="355">
        <f>$D237*((E231*(VLOOKUP(I233,'Option Tables'!$B$23:$F$26,2)))+(P231*(VLOOKUP(I233,'Option Tables'!$B$23:$F$26,3)))+(O231*(VLOOKUP(I233,'Option Tables'!$B$23:$F$26,4))+(N231*(VLOOKUP(I233,'Option Tables'!$B$23:$F$26,5)))))</f>
        <v>0</v>
      </c>
      <c r="F237" s="355">
        <f>$D237*((F231*(VLOOKUP(I233,'Option Tables'!$B$23:$F$26,2)))+(E231*(VLOOKUP(I233,'Option Tables'!$B$23:$F$26,3)))+(P231*(VLOOKUP(I233,'Option Tables'!$B$23:$F$26,4))+(O231*(VLOOKUP(I233,'Option Tables'!$B$23:$F$26,5)))))</f>
        <v>0</v>
      </c>
      <c r="G237" s="355">
        <f>$D237*((G231*(VLOOKUP(I233,'Option Tables'!$B$23:$F$26,2)))+(F231*(VLOOKUP(I233,'Option Tables'!$B$23:$F$26,3)))+(E231*(VLOOKUP(I233,'Option Tables'!$B$23:$F$26,4))+(P231*(VLOOKUP(I233,'Option Tables'!$B$23:$F$26,5)))))</f>
        <v>0</v>
      </c>
      <c r="H237" s="355">
        <f>$D237*((H231*(VLOOKUP(I233,'Option Tables'!$B$23:$F$26,2)))+(G231*(VLOOKUP(I233,'Option Tables'!$B$23:$F$26,3)))+(F231*(VLOOKUP(I233,'Option Tables'!$B$23:$F$26,4))+(E231*(VLOOKUP(I233,'Option Tables'!$B$23:$F$26,5)))))</f>
        <v>0</v>
      </c>
      <c r="I237" s="355">
        <f>$D237*((I231*(VLOOKUP(I233,'Option Tables'!$B$23:$F$26,2)))+(H231*(VLOOKUP(I233,'Option Tables'!$B$23:$F$26,3)))+(G231*(VLOOKUP(I233,'Option Tables'!$B$23:$F$26,4))+(F231*(VLOOKUP(I233,'Option Tables'!$B$23:$F$26,5)))))</f>
        <v>0</v>
      </c>
      <c r="J237" s="355">
        <f>$D237*((J231*(VLOOKUP(I233,'Option Tables'!$B$23:$F$26,2)))+(I231*(VLOOKUP(I233,'Option Tables'!$B$23:$F$26,3)))+(H231*(VLOOKUP(I233,'Option Tables'!$B$23:$F$26,4))+(G231*(VLOOKUP(I233,'Option Tables'!$B$23:$F$26,5)))))</f>
        <v>0</v>
      </c>
      <c r="K237" s="355">
        <f>$D237*((K231*(VLOOKUP(I233,'Option Tables'!$B$23:$F$26,2)))+(J231*(VLOOKUP(I233,'Option Tables'!$B$23:$F$26,3)))+(I231*(VLOOKUP(I233,'Option Tables'!$B$23:$F$26,4))+(H231*(VLOOKUP(I233,'Option Tables'!$B$23:$F$26,5)))))</f>
        <v>0</v>
      </c>
      <c r="L237" s="355">
        <f>$D237*((L231*(VLOOKUP(I233,'Option Tables'!$B$23:$F$26,2)))+(K231*(VLOOKUP(I233,'Option Tables'!$B$23:$F$26,3)))+(J231*(VLOOKUP(I233,'Option Tables'!$B$23:$F$26,4))+(I231*(VLOOKUP(I233,'Option Tables'!$B$23:$F$26,5)))))</f>
        <v>0</v>
      </c>
      <c r="M237" s="355">
        <f>$D237*((M231*(VLOOKUP(I233,'Option Tables'!$B$23:$F$26,2)))+(L231*(VLOOKUP(I233,'Option Tables'!$B$23:$F$26,3)))+(K231*(VLOOKUP(I233,'Option Tables'!$B$23:$F$26,4))+(J231*(VLOOKUP(I233,'Option Tables'!$B$23:$F$26,5)))))</f>
        <v>0</v>
      </c>
      <c r="N237" s="355">
        <f>$D237*((N231*(VLOOKUP(I233,'Option Tables'!$B$23:$F$26,2)))+(M231*(VLOOKUP(I233,'Option Tables'!$B$23:$F$26,3)))+(L231*(VLOOKUP(I233,'Option Tables'!$B$23:$F$26,4))+(K231*(VLOOKUP(I233,'Option Tables'!$B$23:$F$26,5)))))</f>
        <v>0</v>
      </c>
      <c r="O237" s="355">
        <f>$D237*((O231*(VLOOKUP(I233,'Option Tables'!$B$23:$F$26,2)))+(N231*(VLOOKUP(I233,'Option Tables'!$B$23:$F$26,3)))+(M231*(VLOOKUP(I233,'Option Tables'!$B$23:$F$26,4))+(L231*(VLOOKUP(I233,'Option Tables'!$B$23:$F$26,5)))))</f>
        <v>0</v>
      </c>
      <c r="P237" s="465">
        <f>$D237*((P231*(VLOOKUP(I233,'Option Tables'!$B$23:$F$26,2)))+(O231*(VLOOKUP(I233,'Option Tables'!$B$23:$F$26,3)))+(N231*(VLOOKUP(I233,'Option Tables'!$B$23:$F$26,4))+(M231*(VLOOKUP(I233,'Option Tables'!$B$23:$F$26,5)))))</f>
        <v>0</v>
      </c>
      <c r="Q237" s="96"/>
      <c r="R237" s="140"/>
    </row>
    <row r="238" spans="1:18" ht="15.75" customHeight="1" thickBot="1">
      <c r="B238" s="97"/>
      <c r="C238" s="144" t="str">
        <f>IF(D238&lt;&gt;1,"Must equal %100","")</f>
        <v/>
      </c>
      <c r="D238" s="71">
        <f t="shared" ref="D238:P238" si="22">SUM(D234:D237)</f>
        <v>1</v>
      </c>
      <c r="E238" s="466">
        <f t="shared" si="22"/>
        <v>0</v>
      </c>
      <c r="F238" s="466">
        <f t="shared" si="22"/>
        <v>0</v>
      </c>
      <c r="G238" s="466">
        <f t="shared" si="22"/>
        <v>0</v>
      </c>
      <c r="H238" s="466">
        <f t="shared" si="22"/>
        <v>0</v>
      </c>
      <c r="I238" s="466">
        <f t="shared" si="22"/>
        <v>0</v>
      </c>
      <c r="J238" s="466">
        <f t="shared" si="22"/>
        <v>0</v>
      </c>
      <c r="K238" s="466">
        <f t="shared" si="22"/>
        <v>0</v>
      </c>
      <c r="L238" s="466">
        <f t="shared" si="22"/>
        <v>0</v>
      </c>
      <c r="M238" s="466">
        <f t="shared" si="22"/>
        <v>0</v>
      </c>
      <c r="N238" s="466">
        <f t="shared" si="22"/>
        <v>0</v>
      </c>
      <c r="O238" s="466">
        <f t="shared" si="22"/>
        <v>0</v>
      </c>
      <c r="P238" s="467">
        <f t="shared" si="22"/>
        <v>0</v>
      </c>
      <c r="Q238" s="96"/>
      <c r="R238" s="140"/>
    </row>
    <row r="239" spans="1:18" ht="15.75" customHeight="1" thickBot="1">
      <c r="B239" s="85" t="s">
        <v>141</v>
      </c>
      <c r="C239" s="284" t="str">
        <f>VLOOKUP(B239,NodeList!$D$5:$E$73,2,FALSE)</f>
        <v>John Simms</v>
      </c>
      <c r="D239" s="91"/>
      <c r="E239" s="450"/>
      <c r="F239" s="451"/>
      <c r="G239" s="452"/>
      <c r="H239" s="453" t="s">
        <v>54</v>
      </c>
      <c r="I239" s="68">
        <v>36</v>
      </c>
      <c r="J239" s="454"/>
      <c r="K239" s="454"/>
      <c r="L239" s="454"/>
      <c r="M239" s="454"/>
      <c r="N239" s="454"/>
      <c r="O239" s="454"/>
      <c r="P239" s="455"/>
      <c r="Q239" s="96"/>
    </row>
    <row r="240" spans="1:18" ht="15.75" customHeight="1">
      <c r="B240" s="94"/>
      <c r="C240" s="66" t="s">
        <v>57</v>
      </c>
      <c r="D240" s="69"/>
      <c r="E240" s="456">
        <f>VLOOKUP($B239,'Diversion Data'!$B$3:$O$227,3,FALSE)</f>
        <v>0</v>
      </c>
      <c r="F240" s="456">
        <f>VLOOKUP($B239,'Diversion Data'!$B$3:$O$227,4,FALSE)</f>
        <v>0</v>
      </c>
      <c r="G240" s="456">
        <f>VLOOKUP($B239,'Diversion Data'!$B$3:$O$227,5,FALSE)</f>
        <v>0</v>
      </c>
      <c r="H240" s="456">
        <f>VLOOKUP($B239,'Diversion Data'!$B$3:$O$227,6,FALSE)</f>
        <v>0</v>
      </c>
      <c r="I240" s="456">
        <f>VLOOKUP($B239,'Diversion Data'!$B$3:$O$227,7,FALSE)</f>
        <v>695.28376033057839</v>
      </c>
      <c r="J240" s="456">
        <f>VLOOKUP($B239,'Diversion Data'!$B$3:$O$227,8,FALSE)</f>
        <v>659.28276859504126</v>
      </c>
      <c r="K240" s="456">
        <f>VLOOKUP($B239,'Diversion Data'!$B$3:$O$227,9,FALSE)</f>
        <v>383.27413223140491</v>
      </c>
      <c r="L240" s="456">
        <f>VLOOKUP($B239,'Diversion Data'!$B$3:$O$227,10,FALSE)</f>
        <v>295.40121900826449</v>
      </c>
      <c r="M240" s="456">
        <f>VLOOKUP($B239,'Diversion Data'!$B$3:$O$227,11,FALSE)</f>
        <v>208.26325413223142</v>
      </c>
      <c r="N240" s="456">
        <f>VLOOKUP($B239,'Diversion Data'!$B$3:$O$227,12,FALSE)</f>
        <v>0</v>
      </c>
      <c r="O240" s="456">
        <f>VLOOKUP($B239,'Diversion Data'!$B$3:$O$227,13,FALSE)</f>
        <v>0</v>
      </c>
      <c r="P240" s="457">
        <f>VLOOKUP($B239,'Diversion Data'!$B$3:$O$227,14,FALSE)</f>
        <v>0</v>
      </c>
      <c r="Q240" s="96"/>
    </row>
    <row r="241" spans="2:18" ht="15.75" customHeight="1">
      <c r="B241" s="95"/>
      <c r="C241" s="72" t="s">
        <v>56</v>
      </c>
      <c r="D241" s="70"/>
      <c r="E241" s="458">
        <f>VLOOKUP($I239,'Option Tables'!$B$3:$N$19,2,FALSE)*E240</f>
        <v>0</v>
      </c>
      <c r="F241" s="458">
        <f>VLOOKUP($I239,'Option Tables'!$B$3:$N$19,3,FALSE)*F240</f>
        <v>0</v>
      </c>
      <c r="G241" s="458">
        <f>VLOOKUP($I239,'Option Tables'!$B$3:$N$19,4,FALSE)*G240</f>
        <v>0</v>
      </c>
      <c r="H241" s="458">
        <f>VLOOKUP($I239,'Option Tables'!$B$3:$N$19,5,FALSE)*H240</f>
        <v>0</v>
      </c>
      <c r="I241" s="458">
        <f>VLOOKUP($I239,'Option Tables'!$B$3:$N$19,6,FALSE)*I240</f>
        <v>444.98160661157016</v>
      </c>
      <c r="J241" s="458">
        <f>VLOOKUP($I239,'Option Tables'!$B$3:$N$19,7,FALSE)*J240</f>
        <v>421.94097190082641</v>
      </c>
      <c r="K241" s="458">
        <f>VLOOKUP($I239,'Option Tables'!$B$3:$N$19,8,FALSE)*K240</f>
        <v>245.29544462809915</v>
      </c>
      <c r="L241" s="458">
        <f>VLOOKUP($I239,'Option Tables'!$B$3:$N$19,9,FALSE)*L240</f>
        <v>189.05678016528927</v>
      </c>
      <c r="M241" s="458">
        <f>VLOOKUP($I239,'Option Tables'!$B$3:$N$19,10,FALSE)*M240</f>
        <v>133.28848264462812</v>
      </c>
      <c r="N241" s="458">
        <f>VLOOKUP($I239,'Option Tables'!$B$3:$N$19,11,FALSE)*N240</f>
        <v>0</v>
      </c>
      <c r="O241" s="458">
        <f>VLOOKUP($I239,'Option Tables'!$B$3:$N$19,12,FALSE)*O240</f>
        <v>0</v>
      </c>
      <c r="P241" s="459">
        <f>VLOOKUP($I239,'Option Tables'!$B$3:$N$19,13,FALSE)*P240</f>
        <v>0</v>
      </c>
      <c r="Q241" s="96"/>
    </row>
    <row r="242" spans="2:18" ht="15.75" customHeight="1" thickBot="1">
      <c r="B242" s="95"/>
      <c r="C242" s="66"/>
      <c r="D242" s="62"/>
      <c r="E242" s="355"/>
      <c r="F242" s="355"/>
      <c r="G242" s="355"/>
      <c r="H242" s="355"/>
      <c r="I242" s="355"/>
      <c r="J242" s="355"/>
      <c r="K242" s="355"/>
      <c r="L242" s="355"/>
      <c r="M242" s="460"/>
      <c r="N242" s="460"/>
      <c r="O242" s="460"/>
      <c r="P242" s="461"/>
      <c r="Q242" s="96"/>
    </row>
    <row r="243" spans="2:18" ht="15.75" customHeight="1" thickBot="1">
      <c r="B243" s="254" t="s">
        <v>73</v>
      </c>
      <c r="C243" s="105" t="s">
        <v>73</v>
      </c>
      <c r="D243" s="105" t="s">
        <v>74</v>
      </c>
      <c r="E243" s="462"/>
      <c r="F243" s="463"/>
      <c r="G243" s="464"/>
      <c r="H243" s="464" t="s">
        <v>55</v>
      </c>
      <c r="I243" s="68">
        <v>2</v>
      </c>
      <c r="J243" s="460"/>
      <c r="K243" s="460"/>
      <c r="L243" s="460"/>
      <c r="M243" s="460"/>
      <c r="N243" s="460"/>
      <c r="O243" s="460"/>
      <c r="P243" s="461"/>
      <c r="Q243" s="96"/>
    </row>
    <row r="244" spans="2:18" ht="15.75" customHeight="1">
      <c r="B244" s="255" t="str">
        <f>"("&amp;VLOOKUP(C244,NodeList!$D$5:$E$68,2,FALSE)&amp;")"</f>
        <v>(S P Ramsey)</v>
      </c>
      <c r="C244" s="256" t="s">
        <v>153</v>
      </c>
      <c r="D244" s="388">
        <v>0.5</v>
      </c>
      <c r="E244" s="355">
        <f>$D244*((E241*(VLOOKUP(I243,'Option Tables'!$B$23:$F$26,2)))+(P241*(VLOOKUP(I243,'Option Tables'!$B$23:$F$26,3)))+(O241*(VLOOKUP(I243,'Option Tables'!$B$23:$F$26,4))+(N241*(VLOOKUP(I243,'Option Tables'!$B$23:$F$26,5)))))</f>
        <v>0</v>
      </c>
      <c r="F244" s="355">
        <f>$D244*((F241*(VLOOKUP(I243,'Option Tables'!$B$23:$F$26,2)))+(E241*(VLOOKUP(I243,'Option Tables'!$B$23:$F$26,3)))+(P241*(VLOOKUP(I243,'Option Tables'!$B$23:$F$26,4))+(O241*(VLOOKUP(I243,'Option Tables'!$B$23:$F$26,5)))))</f>
        <v>0</v>
      </c>
      <c r="G244" s="355">
        <f>$D244*((G241*(VLOOKUP(I243,'Option Tables'!$B$23:$F$26,2)))+(F241*(VLOOKUP(I243,'Option Tables'!$B$23:$F$26,3)))+(E241*(VLOOKUP(I243,'Option Tables'!$B$23:$F$26,4))+(P241*(VLOOKUP(I243,'Option Tables'!$B$23:$F$26,5)))))</f>
        <v>0</v>
      </c>
      <c r="H244" s="355">
        <f>$D244*((H241*(VLOOKUP(I243,'Option Tables'!$B$23:$F$26,2)))+(G241*(VLOOKUP(I243,'Option Tables'!$B$23:$F$26,3)))+(F241*(VLOOKUP(I243,'Option Tables'!$B$23:$F$26,4))+(E241*(VLOOKUP(I243,'Option Tables'!$B$23:$F$26,5)))))</f>
        <v>0</v>
      </c>
      <c r="I244" s="355">
        <f>$D244*((I241*(VLOOKUP(I243,'Option Tables'!$B$23:$F$26,2)))+(H241*(VLOOKUP(I243,'Option Tables'!$B$23:$F$26,3)))+(G241*(VLOOKUP(I243,'Option Tables'!$B$23:$F$26,4))+(F241*(VLOOKUP(I243,'Option Tables'!$B$23:$F$26,5)))))</f>
        <v>155.74356231404954</v>
      </c>
      <c r="J244" s="355">
        <f>$D244*((J241*(VLOOKUP(I243,'Option Tables'!$B$23:$F$26,2)))+(I241*(VLOOKUP(I243,'Option Tables'!$B$23:$F$26,3)))+(H241*(VLOOKUP(I243,'Option Tables'!$B$23:$F$26,4))+(G241*(VLOOKUP(I243,'Option Tables'!$B$23:$F$26,5)))))</f>
        <v>192.17750082644625</v>
      </c>
      <c r="K244" s="355">
        <f>$D244*((K241*(VLOOKUP(I243,'Option Tables'!$B$23:$F$26,2)))+(J241*(VLOOKUP(I243,'Option Tables'!$B$23:$F$26,3)))+(I241*(VLOOKUP(I243,'Option Tables'!$B$23:$F$26,4))+(H241*(VLOOKUP(I243,'Option Tables'!$B$23:$F$26,5)))))</f>
        <v>150.29658314049584</v>
      </c>
      <c r="L244" s="355">
        <f>$D244*((L241*(VLOOKUP(I243,'Option Tables'!$B$23:$F$26,2)))+(K241*(VLOOKUP(I243,'Option Tables'!$B$23:$F$26,3)))+(J241*(VLOOKUP(I243,'Option Tables'!$B$23:$F$26,4))+(I241*(VLOOKUP(I243,'Option Tables'!$B$23:$F$26,5)))))</f>
        <v>111.79646611570246</v>
      </c>
      <c r="M244" s="355">
        <f>$D244*((M241*(VLOOKUP(I243,'Option Tables'!$B$23:$F$26,2)))+(L241*(VLOOKUP(I243,'Option Tables'!$B$23:$F$26,3)))+(K241*(VLOOKUP(I243,'Option Tables'!$B$23:$F$26,4))+(J241*(VLOOKUP(I243,'Option Tables'!$B$23:$F$26,5)))))</f>
        <v>77.821419173553721</v>
      </c>
      <c r="N244" s="355">
        <f>$D244*((N241*(VLOOKUP(I243,'Option Tables'!$B$23:$F$26,2)))+(M241*(VLOOKUP(I243,'Option Tables'!$B$23:$F$26,3)))+(L241*(VLOOKUP(I243,'Option Tables'!$B$23:$F$26,4))+(K241*(VLOOKUP(I243,'Option Tables'!$B$23:$F$26,5)))))</f>
        <v>22.781687272727275</v>
      </c>
      <c r="O244" s="355">
        <f>$D244*((O241*(VLOOKUP(I243,'Option Tables'!$B$23:$F$26,2)))+(N241*(VLOOKUP(I243,'Option Tables'!$B$23:$F$26,3)))+(M241*(VLOOKUP(I243,'Option Tables'!$B$23:$F$26,4))+(L241*(VLOOKUP(I243,'Option Tables'!$B$23:$F$26,5)))))</f>
        <v>6.6644241322314066</v>
      </c>
      <c r="P244" s="465">
        <f>$D244*((P241*(VLOOKUP(I243,'Option Tables'!$B$23:$F$26,2)))+(O241*(VLOOKUP(I243,'Option Tables'!$B$23:$F$26,3)))+(N241*(VLOOKUP(I243,'Option Tables'!$B$23:$F$26,4))+(M241*(VLOOKUP(I243,'Option Tables'!$B$23:$F$26,5)))))</f>
        <v>0</v>
      </c>
      <c r="Q244" s="96"/>
    </row>
    <row r="245" spans="2:18" ht="15.75" customHeight="1">
      <c r="B245" s="255" t="str">
        <f>"("&amp;VLOOKUP(C245,NodeList!$D$5:$E$68,2,FALSE)&amp;")"</f>
        <v>(AggDiv BR-2)</v>
      </c>
      <c r="C245" s="256" t="s">
        <v>262</v>
      </c>
      <c r="D245" s="388">
        <v>0.5</v>
      </c>
      <c r="E245" s="355">
        <f>$D245*((E241*(VLOOKUP(I243,'Option Tables'!$B$23:$F$26,2)))+(P241*(VLOOKUP(I243,'Option Tables'!$B$23:$F$26,3)))+(O241*(VLOOKUP(I243,'Option Tables'!$B$23:$F$26,4))+(N241*(VLOOKUP(I243,'Option Tables'!$B$23:$F$26,5)))))</f>
        <v>0</v>
      </c>
      <c r="F245" s="355">
        <f>$D245*((F241*(VLOOKUP(I243,'Option Tables'!$B$23:$F$26,2)))+(E241*(VLOOKUP(I243,'Option Tables'!$B$23:$F$26,3)))+(P241*(VLOOKUP(I243,'Option Tables'!$B$23:$F$26,4))+(O241*(VLOOKUP(I243,'Option Tables'!$B$23:$F$26,5)))))</f>
        <v>0</v>
      </c>
      <c r="G245" s="355">
        <f>$D245*((G241*(VLOOKUP(I243,'Option Tables'!$B$23:$F$26,2)))+(F241*(VLOOKUP(I243,'Option Tables'!$B$23:$F$26,3)))+(E241*(VLOOKUP(I243,'Option Tables'!$B$23:$F$26,4))+(P241*(VLOOKUP(I243,'Option Tables'!$B$23:$F$26,5)))))</f>
        <v>0</v>
      </c>
      <c r="H245" s="355">
        <f>$D245*((H241*(VLOOKUP(I243,'Option Tables'!$B$23:$F$26,2)))+(G241*(VLOOKUP(I243,'Option Tables'!$B$23:$F$26,3)))+(F241*(VLOOKUP(I243,'Option Tables'!$B$23:$F$26,4))+(E241*(VLOOKUP(I243,'Option Tables'!$B$23:$F$26,5)))))</f>
        <v>0</v>
      </c>
      <c r="I245" s="355">
        <f>$D245*((I241*(VLOOKUP(I243,'Option Tables'!$B$23:$F$26,2)))+(H241*(VLOOKUP(I243,'Option Tables'!$B$23:$F$26,3)))+(G241*(VLOOKUP(I243,'Option Tables'!$B$23:$F$26,4))+(F241*(VLOOKUP(I243,'Option Tables'!$B$23:$F$26,5)))))</f>
        <v>155.74356231404954</v>
      </c>
      <c r="J245" s="355">
        <f>$D245*((J241*(VLOOKUP(I243,'Option Tables'!$B$23:$F$26,2)))+(I241*(VLOOKUP(I243,'Option Tables'!$B$23:$F$26,3)))+(H241*(VLOOKUP(I243,'Option Tables'!$B$23:$F$26,4))+(G241*(VLOOKUP(I243,'Option Tables'!$B$23:$F$26,5)))))</f>
        <v>192.17750082644625</v>
      </c>
      <c r="K245" s="355">
        <f>$D245*((K241*(VLOOKUP(I243,'Option Tables'!$B$23:$F$26,2)))+(J241*(VLOOKUP(I243,'Option Tables'!$B$23:$F$26,3)))+(I241*(VLOOKUP(I243,'Option Tables'!$B$23:$F$26,4))+(H241*(VLOOKUP(I243,'Option Tables'!$B$23:$F$26,5)))))</f>
        <v>150.29658314049584</v>
      </c>
      <c r="L245" s="355">
        <f>$D245*((L241*(VLOOKUP(I243,'Option Tables'!$B$23:$F$26,2)))+(K241*(VLOOKUP(I243,'Option Tables'!$B$23:$F$26,3)))+(J241*(VLOOKUP(I243,'Option Tables'!$B$23:$F$26,4))+(I241*(VLOOKUP(I243,'Option Tables'!$B$23:$F$26,5)))))</f>
        <v>111.79646611570246</v>
      </c>
      <c r="M245" s="355">
        <f>$D245*((M241*(VLOOKUP(I243,'Option Tables'!$B$23:$F$26,2)))+(L241*(VLOOKUP(I243,'Option Tables'!$B$23:$F$26,3)))+(K241*(VLOOKUP(I243,'Option Tables'!$B$23:$F$26,4))+(J241*(VLOOKUP(I243,'Option Tables'!$B$23:$F$26,5)))))</f>
        <v>77.821419173553721</v>
      </c>
      <c r="N245" s="355">
        <f>$D245*((N241*(VLOOKUP(I243,'Option Tables'!$B$23:$F$26,2)))+(M241*(VLOOKUP(I243,'Option Tables'!$B$23:$F$26,3)))+(L241*(VLOOKUP(I243,'Option Tables'!$B$23:$F$26,4))+(K241*(VLOOKUP(I243,'Option Tables'!$B$23:$F$26,5)))))</f>
        <v>22.781687272727275</v>
      </c>
      <c r="O245" s="355">
        <f>$D245*((O241*(VLOOKUP(I243,'Option Tables'!$B$23:$F$26,2)))+(N241*(VLOOKUP(I243,'Option Tables'!$B$23:$F$26,3)))+(M241*(VLOOKUP(I243,'Option Tables'!$B$23:$F$26,4))+(L241*(VLOOKUP(I243,'Option Tables'!$B$23:$F$26,5)))))</f>
        <v>6.6644241322314066</v>
      </c>
      <c r="P245" s="465">
        <f>$D245*((P241*(VLOOKUP(I243,'Option Tables'!$B$23:$F$26,2)))+(O241*(VLOOKUP(I243,'Option Tables'!$B$23:$F$26,3)))+(N241*(VLOOKUP(I243,'Option Tables'!$B$23:$F$26,4))+(M241*(VLOOKUP(I243,'Option Tables'!$B$23:$F$26,5)))))</f>
        <v>0</v>
      </c>
      <c r="Q245" s="96"/>
    </row>
    <row r="246" spans="2:18" ht="15.75" customHeight="1">
      <c r="B246" s="95"/>
      <c r="C246" s="256"/>
      <c r="D246" s="388">
        <v>0</v>
      </c>
      <c r="E246" s="355">
        <f>$D246*((E241*(VLOOKUP(I243,'Option Tables'!$B$23:$F$26,2)))+(P241*(VLOOKUP(I243,'Option Tables'!$B$23:$F$26,3)))+(O241*(VLOOKUP(I243,'Option Tables'!$B$23:$F$26,4))+(N241*(VLOOKUP(I243,'Option Tables'!$B$23:$F$26,5)))))</f>
        <v>0</v>
      </c>
      <c r="F246" s="355">
        <f>$D246*((F241*(VLOOKUP(I243,'Option Tables'!$B$23:$F$26,2)))+(E241*(VLOOKUP(I243,'Option Tables'!$B$23:$F$26,3)))+(P241*(VLOOKUP(I243,'Option Tables'!$B$23:$F$26,4))+(O241*(VLOOKUP(I243,'Option Tables'!$B$23:$F$26,5)))))</f>
        <v>0</v>
      </c>
      <c r="G246" s="355">
        <f>$D246*((G241*(VLOOKUP(I243,'Option Tables'!$B$23:$F$26,2)))+(F241*(VLOOKUP(I243,'Option Tables'!$B$23:$F$26,3)))+(E241*(VLOOKUP(I243,'Option Tables'!$B$23:$F$26,4))+(P241*(VLOOKUP(I243,'Option Tables'!$B$23:$F$26,5)))))</f>
        <v>0</v>
      </c>
      <c r="H246" s="355">
        <f>$D246*((H241*(VLOOKUP(I243,'Option Tables'!$B$23:$F$26,2)))+(G241*(VLOOKUP(I243,'Option Tables'!$B$23:$F$26,3)))+(F241*(VLOOKUP(I243,'Option Tables'!$B$23:$F$26,4))+(E241*(VLOOKUP(I243,'Option Tables'!$B$23:$F$26,5)))))</f>
        <v>0</v>
      </c>
      <c r="I246" s="355">
        <f>$D246*((I241*(VLOOKUP(I243,'Option Tables'!$B$23:$F$26,2)))+(H241*(VLOOKUP(I243,'Option Tables'!$B$23:$F$26,3)))+(G241*(VLOOKUP(I243,'Option Tables'!$B$23:$F$26,4))+(F241*(VLOOKUP(I243,'Option Tables'!$B$23:$F$26,5)))))</f>
        <v>0</v>
      </c>
      <c r="J246" s="355">
        <f>$D246*((J241*(VLOOKUP(I243,'Option Tables'!$B$23:$F$26,2)))+(I241*(VLOOKUP(I243,'Option Tables'!$B$23:$F$26,3)))+(H241*(VLOOKUP(I243,'Option Tables'!$B$23:$F$26,4))+(G241*(VLOOKUP(I243,'Option Tables'!$B$23:$F$26,5)))))</f>
        <v>0</v>
      </c>
      <c r="K246" s="355">
        <f>$D246*((K241*(VLOOKUP(I243,'Option Tables'!$B$23:$F$26,2)))+(J241*(VLOOKUP(I243,'Option Tables'!$B$23:$F$26,3)))+(I241*(VLOOKUP(I243,'Option Tables'!$B$23:$F$26,4))+(H241*(VLOOKUP(I243,'Option Tables'!$B$23:$F$26,5)))))</f>
        <v>0</v>
      </c>
      <c r="L246" s="355">
        <f>$D246*((L241*(VLOOKUP(I243,'Option Tables'!$B$23:$F$26,2)))+(K241*(VLOOKUP(I243,'Option Tables'!$B$23:$F$26,3)))+(J241*(VLOOKUP(I243,'Option Tables'!$B$23:$F$26,4))+(I241*(VLOOKUP(I243,'Option Tables'!$B$23:$F$26,5)))))</f>
        <v>0</v>
      </c>
      <c r="M246" s="355">
        <f>$D246*((M241*(VLOOKUP(I243,'Option Tables'!$B$23:$F$26,2)))+(L241*(VLOOKUP(I243,'Option Tables'!$B$23:$F$26,3)))+(K241*(VLOOKUP(I243,'Option Tables'!$B$23:$F$26,4))+(J241*(VLOOKUP(I243,'Option Tables'!$B$23:$F$26,5)))))</f>
        <v>0</v>
      </c>
      <c r="N246" s="355">
        <f>$D246*((N241*(VLOOKUP(I243,'Option Tables'!$B$23:$F$26,2)))+(M241*(VLOOKUP(I243,'Option Tables'!$B$23:$F$26,3)))+(L241*(VLOOKUP(I243,'Option Tables'!$B$23:$F$26,4))+(K241*(VLOOKUP(I243,'Option Tables'!$B$23:$F$26,5)))))</f>
        <v>0</v>
      </c>
      <c r="O246" s="355">
        <f>$D246*((O241*(VLOOKUP(I243,'Option Tables'!$B$23:$F$26,2)))+(N241*(VLOOKUP(I243,'Option Tables'!$B$23:$F$26,3)))+(M241*(VLOOKUP(I243,'Option Tables'!$B$23:$F$26,4))+(L241*(VLOOKUP(I243,'Option Tables'!$B$23:$F$26,5)))))</f>
        <v>0</v>
      </c>
      <c r="P246" s="465">
        <f>$D246*((P241*(VLOOKUP(I243,'Option Tables'!$B$23:$F$26,2)))+(O241*(VLOOKUP(I243,'Option Tables'!$B$23:$F$26,3)))+(N241*(VLOOKUP(I243,'Option Tables'!$B$23:$F$26,4))+(M241*(VLOOKUP(I243,'Option Tables'!$B$23:$F$26,5)))))</f>
        <v>0</v>
      </c>
      <c r="Q246" s="96"/>
    </row>
    <row r="247" spans="2:18" ht="15.75" customHeight="1">
      <c r="B247" s="95"/>
      <c r="C247" s="256"/>
      <c r="D247" s="388">
        <v>0</v>
      </c>
      <c r="E247" s="355">
        <f>$D247*((E241*(VLOOKUP(I243,'Option Tables'!$B$23:$F$26,2)))+(P241*(VLOOKUP(I243,'Option Tables'!$B$23:$F$26,3)))+(O241*(VLOOKUP(I243,'Option Tables'!$B$23:$F$26,4))+(N241*(VLOOKUP(I243,'Option Tables'!$B$23:$F$26,5)))))</f>
        <v>0</v>
      </c>
      <c r="F247" s="355">
        <f>$D247*((F241*(VLOOKUP(I243,'Option Tables'!$B$23:$F$26,2)))+(E241*(VLOOKUP(I243,'Option Tables'!$B$23:$F$26,3)))+(P241*(VLOOKUP(I243,'Option Tables'!$B$23:$F$26,4))+(O241*(VLOOKUP(I243,'Option Tables'!$B$23:$F$26,5)))))</f>
        <v>0</v>
      </c>
      <c r="G247" s="355">
        <f>$D247*((G241*(VLOOKUP(I243,'Option Tables'!$B$23:$F$26,2)))+(F241*(VLOOKUP(I243,'Option Tables'!$B$23:$F$26,3)))+(E241*(VLOOKUP(I243,'Option Tables'!$B$23:$F$26,4))+(P241*(VLOOKUP(I243,'Option Tables'!$B$23:$F$26,5)))))</f>
        <v>0</v>
      </c>
      <c r="H247" s="355">
        <f>$D247*((H241*(VLOOKUP(I243,'Option Tables'!$B$23:$F$26,2)))+(G241*(VLOOKUP(I243,'Option Tables'!$B$23:$F$26,3)))+(F241*(VLOOKUP(I243,'Option Tables'!$B$23:$F$26,4))+(E241*(VLOOKUP(I243,'Option Tables'!$B$23:$F$26,5)))))</f>
        <v>0</v>
      </c>
      <c r="I247" s="355">
        <f>$D247*((I241*(VLOOKUP(I243,'Option Tables'!$B$23:$F$26,2)))+(H241*(VLOOKUP(I243,'Option Tables'!$B$23:$F$26,3)))+(G241*(VLOOKUP(I243,'Option Tables'!$B$23:$F$26,4))+(F241*(VLOOKUP(I243,'Option Tables'!$B$23:$F$26,5)))))</f>
        <v>0</v>
      </c>
      <c r="J247" s="355">
        <f>$D247*((J241*(VLOOKUP(I243,'Option Tables'!$B$23:$F$26,2)))+(I241*(VLOOKUP(I243,'Option Tables'!$B$23:$F$26,3)))+(H241*(VLOOKUP(I243,'Option Tables'!$B$23:$F$26,4))+(G241*(VLOOKUP(I243,'Option Tables'!$B$23:$F$26,5)))))</f>
        <v>0</v>
      </c>
      <c r="K247" s="355">
        <f>$D247*((K241*(VLOOKUP(I243,'Option Tables'!$B$23:$F$26,2)))+(J241*(VLOOKUP(I243,'Option Tables'!$B$23:$F$26,3)))+(I241*(VLOOKUP(I243,'Option Tables'!$B$23:$F$26,4))+(H241*(VLOOKUP(I243,'Option Tables'!$B$23:$F$26,5)))))</f>
        <v>0</v>
      </c>
      <c r="L247" s="355">
        <f>$D247*((L241*(VLOOKUP(I243,'Option Tables'!$B$23:$F$26,2)))+(K241*(VLOOKUP(I243,'Option Tables'!$B$23:$F$26,3)))+(J241*(VLOOKUP(I243,'Option Tables'!$B$23:$F$26,4))+(I241*(VLOOKUP(I243,'Option Tables'!$B$23:$F$26,5)))))</f>
        <v>0</v>
      </c>
      <c r="M247" s="355">
        <f>$D247*((M241*(VLOOKUP(I243,'Option Tables'!$B$23:$F$26,2)))+(L241*(VLOOKUP(I243,'Option Tables'!$B$23:$F$26,3)))+(K241*(VLOOKUP(I243,'Option Tables'!$B$23:$F$26,4))+(J241*(VLOOKUP(I243,'Option Tables'!$B$23:$F$26,5)))))</f>
        <v>0</v>
      </c>
      <c r="N247" s="355">
        <f>$D247*((N241*(VLOOKUP(I243,'Option Tables'!$B$23:$F$26,2)))+(M241*(VLOOKUP(I243,'Option Tables'!$B$23:$F$26,3)))+(L241*(VLOOKUP(I243,'Option Tables'!$B$23:$F$26,4))+(K241*(VLOOKUP(I243,'Option Tables'!$B$23:$F$26,5)))))</f>
        <v>0</v>
      </c>
      <c r="O247" s="355">
        <f>$D247*((O241*(VLOOKUP(I243,'Option Tables'!$B$23:$F$26,2)))+(N241*(VLOOKUP(I243,'Option Tables'!$B$23:$F$26,3)))+(M241*(VLOOKUP(I243,'Option Tables'!$B$23:$F$26,4))+(L241*(VLOOKUP(I243,'Option Tables'!$B$23:$F$26,5)))))</f>
        <v>0</v>
      </c>
      <c r="P247" s="465">
        <f>$D247*((P241*(VLOOKUP(I243,'Option Tables'!$B$23:$F$26,2)))+(O241*(VLOOKUP(I243,'Option Tables'!$B$23:$F$26,3)))+(N241*(VLOOKUP(I243,'Option Tables'!$B$23:$F$26,4))+(M241*(VLOOKUP(I243,'Option Tables'!$B$23:$F$26,5)))))</f>
        <v>0</v>
      </c>
      <c r="Q247" s="96"/>
    </row>
    <row r="248" spans="2:18" ht="15.75" customHeight="1" thickBot="1">
      <c r="B248" s="97"/>
      <c r="C248" s="144" t="str">
        <f>IF(D248&lt;&gt;1,"Must equal %100","")</f>
        <v/>
      </c>
      <c r="D248" s="71">
        <f t="shared" ref="D248:P248" si="23">SUM(D244:D247)</f>
        <v>1</v>
      </c>
      <c r="E248" s="466">
        <f t="shared" si="23"/>
        <v>0</v>
      </c>
      <c r="F248" s="466">
        <f t="shared" si="23"/>
        <v>0</v>
      </c>
      <c r="G248" s="466">
        <f t="shared" si="23"/>
        <v>0</v>
      </c>
      <c r="H248" s="466">
        <f t="shared" si="23"/>
        <v>0</v>
      </c>
      <c r="I248" s="466">
        <f t="shared" si="23"/>
        <v>311.48712462809908</v>
      </c>
      <c r="J248" s="466">
        <f t="shared" si="23"/>
        <v>384.3550016528925</v>
      </c>
      <c r="K248" s="466">
        <f t="shared" si="23"/>
        <v>300.59316628099168</v>
      </c>
      <c r="L248" s="466">
        <f t="shared" si="23"/>
        <v>223.59293223140492</v>
      </c>
      <c r="M248" s="466">
        <f t="shared" si="23"/>
        <v>155.64283834710744</v>
      </c>
      <c r="N248" s="466">
        <f t="shared" si="23"/>
        <v>45.56337454545455</v>
      </c>
      <c r="O248" s="466">
        <f t="shared" si="23"/>
        <v>13.328848264462813</v>
      </c>
      <c r="P248" s="467">
        <f t="shared" si="23"/>
        <v>0</v>
      </c>
      <c r="Q248" s="96"/>
      <c r="R248" s="140"/>
    </row>
    <row r="249" spans="2:18" ht="15.75" customHeight="1" thickBot="1">
      <c r="B249" s="85" t="s">
        <v>153</v>
      </c>
      <c r="C249" s="257" t="str">
        <f>VLOOKUP(B249,NodeList!$D$5:$E$73,2,FALSE)</f>
        <v>S P Ramsey</v>
      </c>
      <c r="D249" s="91"/>
      <c r="E249" s="450"/>
      <c r="F249" s="451"/>
      <c r="G249" s="452"/>
      <c r="H249" s="453" t="s">
        <v>54</v>
      </c>
      <c r="I249" s="68">
        <v>33</v>
      </c>
      <c r="J249" s="454"/>
      <c r="K249" s="454"/>
      <c r="L249" s="454"/>
      <c r="M249" s="454"/>
      <c r="N249" s="454"/>
      <c r="O249" s="454"/>
      <c r="P249" s="455"/>
      <c r="Q249" s="96"/>
    </row>
    <row r="250" spans="2:18" ht="15.75" customHeight="1">
      <c r="B250" s="94"/>
      <c r="C250" s="66" t="s">
        <v>57</v>
      </c>
      <c r="D250" s="69"/>
      <c r="E250" s="456">
        <f>VLOOKUP($B249,'Diversion Data'!$B$3:$O$227,3,FALSE)</f>
        <v>0</v>
      </c>
      <c r="F250" s="456">
        <f>VLOOKUP($B249,'Diversion Data'!$B$3:$O$227,4,FALSE)</f>
        <v>0</v>
      </c>
      <c r="G250" s="456">
        <f>VLOOKUP($B249,'Diversion Data'!$B$3:$O$227,5,FALSE)</f>
        <v>0</v>
      </c>
      <c r="H250" s="456">
        <f>VLOOKUP($B249,'Diversion Data'!$B$3:$O$227,6,FALSE)</f>
        <v>0</v>
      </c>
      <c r="I250" s="456">
        <f>VLOOKUP($B249,'Diversion Data'!$B$3:$O$227,7,FALSE)</f>
        <v>776.25413330526862</v>
      </c>
      <c r="J250" s="456">
        <f>VLOOKUP($B249,'Diversion Data'!$B$3:$O$227,8,FALSE)</f>
        <v>652.25385584452488</v>
      </c>
      <c r="K250" s="456">
        <f>VLOOKUP($B249,'Diversion Data'!$B$3:$O$227,9,FALSE)</f>
        <v>290.36558656404958</v>
      </c>
      <c r="L250" s="456">
        <f>VLOOKUP($B249,'Diversion Data'!$B$3:$O$227,10,FALSE)</f>
        <v>169.10596374793388</v>
      </c>
      <c r="M250" s="456">
        <f>VLOOKUP($B249,'Diversion Data'!$B$3:$O$227,11,FALSE)</f>
        <v>110.98593604173554</v>
      </c>
      <c r="N250" s="456">
        <f>VLOOKUP($B249,'Diversion Data'!$B$3:$O$227,12,FALSE)</f>
        <v>0</v>
      </c>
      <c r="O250" s="456">
        <f>VLOOKUP($B249,'Diversion Data'!$B$3:$O$227,13,FALSE)</f>
        <v>0</v>
      </c>
      <c r="P250" s="457">
        <f>VLOOKUP($B249,'Diversion Data'!$B$3:$O$227,14,FALSE)</f>
        <v>0</v>
      </c>
      <c r="Q250" s="96"/>
    </row>
    <row r="251" spans="2:18" ht="15.75" customHeight="1">
      <c r="B251" s="95"/>
      <c r="C251" s="72" t="s">
        <v>56</v>
      </c>
      <c r="D251" s="70"/>
      <c r="E251" s="458">
        <f>VLOOKUP($I249,'Option Tables'!$B$3:$N$19,2,FALSE)*E250</f>
        <v>0</v>
      </c>
      <c r="F251" s="458">
        <f>VLOOKUP($I249,'Option Tables'!$B$3:$N$19,3,FALSE)*F250</f>
        <v>0</v>
      </c>
      <c r="G251" s="458">
        <f>VLOOKUP($I249,'Option Tables'!$B$3:$N$19,4,FALSE)*G250</f>
        <v>0</v>
      </c>
      <c r="H251" s="458">
        <f>VLOOKUP($I249,'Option Tables'!$B$3:$N$19,5,FALSE)*H250</f>
        <v>0</v>
      </c>
      <c r="I251" s="458">
        <f>VLOOKUP($I249,'Option Tables'!$B$3:$N$19,6,FALSE)*I250</f>
        <v>512.32772798147732</v>
      </c>
      <c r="J251" s="458">
        <f>VLOOKUP($I249,'Option Tables'!$B$3:$N$19,7,FALSE)*J250</f>
        <v>430.48754485738647</v>
      </c>
      <c r="K251" s="458">
        <f>VLOOKUP($I249,'Option Tables'!$B$3:$N$19,8,FALSE)*K250</f>
        <v>191.64128713227274</v>
      </c>
      <c r="L251" s="458">
        <f>VLOOKUP($I249,'Option Tables'!$B$3:$N$19,9,FALSE)*L250</f>
        <v>111.60993607363636</v>
      </c>
      <c r="M251" s="458">
        <f>VLOOKUP($I249,'Option Tables'!$B$3:$N$19,10,FALSE)*M250</f>
        <v>73.250717787545454</v>
      </c>
      <c r="N251" s="458">
        <f>VLOOKUP($I249,'Option Tables'!$B$3:$N$19,11,FALSE)*N250</f>
        <v>0</v>
      </c>
      <c r="O251" s="458">
        <f>VLOOKUP($I249,'Option Tables'!$B$3:$N$19,12,FALSE)*O250</f>
        <v>0</v>
      </c>
      <c r="P251" s="459">
        <f>VLOOKUP($I249,'Option Tables'!$B$3:$N$19,13,FALSE)*P250</f>
        <v>0</v>
      </c>
      <c r="Q251" s="96"/>
    </row>
    <row r="252" spans="2:18" ht="15.75" customHeight="1" thickBot="1">
      <c r="B252" s="95"/>
      <c r="C252" s="66"/>
      <c r="D252" s="62"/>
      <c r="E252" s="355"/>
      <c r="F252" s="355"/>
      <c r="G252" s="355"/>
      <c r="H252" s="355"/>
      <c r="I252" s="355"/>
      <c r="J252" s="355"/>
      <c r="K252" s="355"/>
      <c r="L252" s="355"/>
      <c r="M252" s="460"/>
      <c r="N252" s="460"/>
      <c r="O252" s="460"/>
      <c r="P252" s="461"/>
      <c r="Q252" s="96"/>
    </row>
    <row r="253" spans="2:18" ht="15.75" customHeight="1" thickBot="1">
      <c r="B253" s="254" t="s">
        <v>73</v>
      </c>
      <c r="C253" s="105" t="s">
        <v>73</v>
      </c>
      <c r="D253" s="105" t="s">
        <v>74</v>
      </c>
      <c r="E253" s="462"/>
      <c r="F253" s="463"/>
      <c r="G253" s="464"/>
      <c r="H253" s="464" t="s">
        <v>55</v>
      </c>
      <c r="I253" s="68">
        <v>2</v>
      </c>
      <c r="J253" s="460"/>
      <c r="K253" s="460"/>
      <c r="L253" s="460"/>
      <c r="M253" s="460"/>
      <c r="N253" s="460"/>
      <c r="O253" s="460"/>
      <c r="P253" s="461"/>
      <c r="Q253" s="96"/>
    </row>
    <row r="254" spans="2:18" ht="15.75" customHeight="1">
      <c r="B254" s="255" t="str">
        <f>"("&amp;VLOOKUP(C254,NodeList!$D$5:$E$68,2,FALSE)&amp;")"</f>
        <v>(AggDiv BR-2)</v>
      </c>
      <c r="C254" s="256" t="s">
        <v>262</v>
      </c>
      <c r="D254" s="388">
        <v>0.5</v>
      </c>
      <c r="E254" s="355">
        <f>$D254*((E251*(VLOOKUP(I253,'Option Tables'!$B$23:$F$26,2)))+(P251*(VLOOKUP(I253,'Option Tables'!$B$23:$F$26,3)))+(O251*(VLOOKUP(I253,'Option Tables'!$B$23:$F$26,4))+(N251*(VLOOKUP(I253,'Option Tables'!$B$23:$F$26,5)))))</f>
        <v>0</v>
      </c>
      <c r="F254" s="355">
        <f>$D254*((F251*(VLOOKUP(I253,'Option Tables'!$B$23:$F$26,2)))+(E251*(VLOOKUP(I253,'Option Tables'!$B$23:$F$26,3)))+(P251*(VLOOKUP(I253,'Option Tables'!$B$23:$F$26,4))+(O251*(VLOOKUP(I253,'Option Tables'!$B$23:$F$26,5)))))</f>
        <v>0</v>
      </c>
      <c r="G254" s="355">
        <f>$D254*((G251*(VLOOKUP(I253,'Option Tables'!$B$23:$F$26,2)))+(F251*(VLOOKUP(I253,'Option Tables'!$B$23:$F$26,3)))+(E251*(VLOOKUP(I253,'Option Tables'!$B$23:$F$26,4))+(P251*(VLOOKUP(I253,'Option Tables'!$B$23:$F$26,5)))))</f>
        <v>0</v>
      </c>
      <c r="H254" s="355">
        <f>$D254*((H251*(VLOOKUP(I253,'Option Tables'!$B$23:$F$26,2)))+(G251*(VLOOKUP(I253,'Option Tables'!$B$23:$F$26,3)))+(F251*(VLOOKUP(I253,'Option Tables'!$B$23:$F$26,4))+(E251*(VLOOKUP(I253,'Option Tables'!$B$23:$F$26,5)))))</f>
        <v>0</v>
      </c>
      <c r="I254" s="355">
        <f>$D254*((I251*(VLOOKUP(I253,'Option Tables'!$B$23:$F$26,2)))+(H251*(VLOOKUP(I253,'Option Tables'!$B$23:$F$26,3)))+(G251*(VLOOKUP(I253,'Option Tables'!$B$23:$F$26,4))+(F251*(VLOOKUP(I253,'Option Tables'!$B$23:$F$26,5)))))</f>
        <v>179.31470479351705</v>
      </c>
      <c r="J254" s="355">
        <f>$D254*((J251*(VLOOKUP(I253,'Option Tables'!$B$23:$F$26,2)))+(I251*(VLOOKUP(I253,'Option Tables'!$B$23:$F$26,3)))+(H251*(VLOOKUP(I253,'Option Tables'!$B$23:$F$26,4))+(G251*(VLOOKUP(I253,'Option Tables'!$B$23:$F$26,5)))))</f>
        <v>201.90341349823296</v>
      </c>
      <c r="K254" s="355">
        <f>$D254*((K251*(VLOOKUP(I253,'Option Tables'!$B$23:$F$26,2)))+(J251*(VLOOKUP(I253,'Option Tables'!$B$23:$F$26,3)))+(I251*(VLOOKUP(I253,'Option Tables'!$B$23:$F$26,4))+(H251*(VLOOKUP(I253,'Option Tables'!$B$23:$F$26,5)))))</f>
        <v>135.73959138110797</v>
      </c>
      <c r="L254" s="355">
        <f>$D254*((L251*(VLOOKUP(I253,'Option Tables'!$B$23:$F$26,2)))+(K251*(VLOOKUP(I253,'Option Tables'!$B$23:$F$26,3)))+(J251*(VLOOKUP(I253,'Option Tables'!$B$23:$F$26,4))+(I251*(VLOOKUP(I253,'Option Tables'!$B$23:$F$26,5)))))</f>
        <v>79.751983581869325</v>
      </c>
      <c r="M254" s="355">
        <f>$D254*((M251*(VLOOKUP(I253,'Option Tables'!$B$23:$F$26,2)))+(L251*(VLOOKUP(I253,'Option Tables'!$B$23:$F$26,3)))+(K251*(VLOOKUP(I253,'Option Tables'!$B$23:$F$26,4))+(J251*(VLOOKUP(I253,'Option Tables'!$B$23:$F$26,5)))))</f>
        <v>46.380809189618184</v>
      </c>
      <c r="N254" s="355">
        <f>$D254*((N251*(VLOOKUP(I253,'Option Tables'!$B$23:$F$26,2)))+(M251*(VLOOKUP(I253,'Option Tables'!$B$23:$F$26,3)))+(L251*(VLOOKUP(I253,'Option Tables'!$B$23:$F$26,4))+(K251*(VLOOKUP(I253,'Option Tables'!$B$23:$F$26,5)))))</f>
        <v>12.905568582436363</v>
      </c>
      <c r="O254" s="355">
        <f>$D254*((O251*(VLOOKUP(I253,'Option Tables'!$B$23:$F$26,2)))+(N251*(VLOOKUP(I253,'Option Tables'!$B$23:$F$26,3)))+(M251*(VLOOKUP(I253,'Option Tables'!$B$23:$F$26,4))+(L251*(VLOOKUP(I253,'Option Tables'!$B$23:$F$26,5)))))</f>
        <v>3.6625358893772728</v>
      </c>
      <c r="P254" s="465">
        <f>$D254*((P251*(VLOOKUP(I253,'Option Tables'!$B$23:$F$26,2)))+(O251*(VLOOKUP(I253,'Option Tables'!$B$23:$F$26,3)))+(N251*(VLOOKUP(I253,'Option Tables'!$B$23:$F$26,4))+(M251*(VLOOKUP(I253,'Option Tables'!$B$23:$F$26,5)))))</f>
        <v>0</v>
      </c>
      <c r="Q254" s="96"/>
    </row>
    <row r="255" spans="2:18" ht="15.75" customHeight="1">
      <c r="B255" s="255" t="str">
        <f>"("&amp;VLOOKUP(C255,NodeList!$D$5:$E$68,2,FALSE)&amp;")"</f>
        <v>(Chapman Canal)</v>
      </c>
      <c r="C255" s="256" t="s">
        <v>134</v>
      </c>
      <c r="D255" s="388">
        <v>0.5</v>
      </c>
      <c r="E255" s="355">
        <f>$D255*((E251*(VLOOKUP(I253,'Option Tables'!$B$23:$F$26,2)))+(P251*(VLOOKUP(I253,'Option Tables'!$B$23:$F$26,3)))+(O251*(VLOOKUP(I253,'Option Tables'!$B$23:$F$26,4))+(N251*(VLOOKUP(I253,'Option Tables'!$B$23:$F$26,5)))))</f>
        <v>0</v>
      </c>
      <c r="F255" s="355">
        <f>$D255*((F251*(VLOOKUP(I253,'Option Tables'!$B$23:$F$26,2)))+(E251*(VLOOKUP(I253,'Option Tables'!$B$23:$F$26,3)))+(P251*(VLOOKUP(I253,'Option Tables'!$B$23:$F$26,4))+(O251*(VLOOKUP(I253,'Option Tables'!$B$23:$F$26,5)))))</f>
        <v>0</v>
      </c>
      <c r="G255" s="355">
        <f>$D255*((G251*(VLOOKUP(I253,'Option Tables'!$B$23:$F$26,2)))+(F251*(VLOOKUP(I253,'Option Tables'!$B$23:$F$26,3)))+(E251*(VLOOKUP(I253,'Option Tables'!$B$23:$F$26,4))+(P251*(VLOOKUP(I253,'Option Tables'!$B$23:$F$26,5)))))</f>
        <v>0</v>
      </c>
      <c r="H255" s="355">
        <f>$D255*((H251*(VLOOKUP(I253,'Option Tables'!$B$23:$F$26,2)))+(G251*(VLOOKUP(I253,'Option Tables'!$B$23:$F$26,3)))+(F251*(VLOOKUP(I253,'Option Tables'!$B$23:$F$26,4))+(E251*(VLOOKUP(I253,'Option Tables'!$B$23:$F$26,5)))))</f>
        <v>0</v>
      </c>
      <c r="I255" s="355">
        <f>$D255*((I251*(VLOOKUP(I253,'Option Tables'!$B$23:$F$26,2)))+(H251*(VLOOKUP(I253,'Option Tables'!$B$23:$F$26,3)))+(G251*(VLOOKUP(I253,'Option Tables'!$B$23:$F$26,4))+(F251*(VLOOKUP(I253,'Option Tables'!$B$23:$F$26,5)))))</f>
        <v>179.31470479351705</v>
      </c>
      <c r="J255" s="355">
        <f>$D255*((J251*(VLOOKUP(I253,'Option Tables'!$B$23:$F$26,2)))+(I251*(VLOOKUP(I253,'Option Tables'!$B$23:$F$26,3)))+(H251*(VLOOKUP(I253,'Option Tables'!$B$23:$F$26,4))+(G251*(VLOOKUP(I253,'Option Tables'!$B$23:$F$26,5)))))</f>
        <v>201.90341349823296</v>
      </c>
      <c r="K255" s="355">
        <f>$D255*((K251*(VLOOKUP(I253,'Option Tables'!$B$23:$F$26,2)))+(J251*(VLOOKUP(I253,'Option Tables'!$B$23:$F$26,3)))+(I251*(VLOOKUP(I253,'Option Tables'!$B$23:$F$26,4))+(H251*(VLOOKUP(I253,'Option Tables'!$B$23:$F$26,5)))))</f>
        <v>135.73959138110797</v>
      </c>
      <c r="L255" s="355">
        <f>$D255*((L251*(VLOOKUP(I253,'Option Tables'!$B$23:$F$26,2)))+(K251*(VLOOKUP(I253,'Option Tables'!$B$23:$F$26,3)))+(J251*(VLOOKUP(I253,'Option Tables'!$B$23:$F$26,4))+(I251*(VLOOKUP(I253,'Option Tables'!$B$23:$F$26,5)))))</f>
        <v>79.751983581869325</v>
      </c>
      <c r="M255" s="355">
        <f>$D255*((M251*(VLOOKUP(I253,'Option Tables'!$B$23:$F$26,2)))+(L251*(VLOOKUP(I253,'Option Tables'!$B$23:$F$26,3)))+(K251*(VLOOKUP(I253,'Option Tables'!$B$23:$F$26,4))+(J251*(VLOOKUP(I253,'Option Tables'!$B$23:$F$26,5)))))</f>
        <v>46.380809189618184</v>
      </c>
      <c r="N255" s="355">
        <f>$D255*((N251*(VLOOKUP(I253,'Option Tables'!$B$23:$F$26,2)))+(M251*(VLOOKUP(I253,'Option Tables'!$B$23:$F$26,3)))+(L251*(VLOOKUP(I253,'Option Tables'!$B$23:$F$26,4))+(K251*(VLOOKUP(I253,'Option Tables'!$B$23:$F$26,5)))))</f>
        <v>12.905568582436363</v>
      </c>
      <c r="O255" s="355">
        <f>$D255*((O251*(VLOOKUP(I253,'Option Tables'!$B$23:$F$26,2)))+(N251*(VLOOKUP(I253,'Option Tables'!$B$23:$F$26,3)))+(M251*(VLOOKUP(I253,'Option Tables'!$B$23:$F$26,4))+(L251*(VLOOKUP(I253,'Option Tables'!$B$23:$F$26,5)))))</f>
        <v>3.6625358893772728</v>
      </c>
      <c r="P255" s="465">
        <f>$D255*((P251*(VLOOKUP(I253,'Option Tables'!$B$23:$F$26,2)))+(O251*(VLOOKUP(I253,'Option Tables'!$B$23:$F$26,3)))+(N251*(VLOOKUP(I253,'Option Tables'!$B$23:$F$26,4))+(M251*(VLOOKUP(I253,'Option Tables'!$B$23:$F$26,5)))))</f>
        <v>0</v>
      </c>
      <c r="Q255" s="96"/>
    </row>
    <row r="256" spans="2:18" ht="15.75" customHeight="1">
      <c r="B256" s="95"/>
      <c r="C256" s="256"/>
      <c r="D256" s="388">
        <v>0</v>
      </c>
      <c r="E256" s="355">
        <f>$D256*((E251*(VLOOKUP(I253,'Option Tables'!$B$23:$F$26,2)))+(P251*(VLOOKUP(I253,'Option Tables'!$B$23:$F$26,3)))+(O251*(VLOOKUP(I253,'Option Tables'!$B$23:$F$26,4))+(N251*(VLOOKUP(I253,'Option Tables'!$B$23:$F$26,5)))))</f>
        <v>0</v>
      </c>
      <c r="F256" s="355">
        <f>$D256*((F251*(VLOOKUP(I253,'Option Tables'!$B$23:$F$26,2)))+(E251*(VLOOKUP(I253,'Option Tables'!$B$23:$F$26,3)))+(P251*(VLOOKUP(I253,'Option Tables'!$B$23:$F$26,4))+(O251*(VLOOKUP(I253,'Option Tables'!$B$23:$F$26,5)))))</f>
        <v>0</v>
      </c>
      <c r="G256" s="355">
        <f>$D256*((G251*(VLOOKUP(I253,'Option Tables'!$B$23:$F$26,2)))+(F251*(VLOOKUP(I253,'Option Tables'!$B$23:$F$26,3)))+(E251*(VLOOKUP(I253,'Option Tables'!$B$23:$F$26,4))+(P251*(VLOOKUP(I253,'Option Tables'!$B$23:$F$26,5)))))</f>
        <v>0</v>
      </c>
      <c r="H256" s="355">
        <f>$D256*((H251*(VLOOKUP(I253,'Option Tables'!$B$23:$F$26,2)))+(G251*(VLOOKUP(I253,'Option Tables'!$B$23:$F$26,3)))+(F251*(VLOOKUP(I253,'Option Tables'!$B$23:$F$26,4))+(E251*(VLOOKUP(I253,'Option Tables'!$B$23:$F$26,5)))))</f>
        <v>0</v>
      </c>
      <c r="I256" s="355">
        <f>$D256*((I251*(VLOOKUP(I253,'Option Tables'!$B$23:$F$26,2)))+(H251*(VLOOKUP(I253,'Option Tables'!$B$23:$F$26,3)))+(G251*(VLOOKUP(I253,'Option Tables'!$B$23:$F$26,4))+(F251*(VLOOKUP(I253,'Option Tables'!$B$23:$F$26,5)))))</f>
        <v>0</v>
      </c>
      <c r="J256" s="355">
        <f>$D256*((J251*(VLOOKUP(I253,'Option Tables'!$B$23:$F$26,2)))+(I251*(VLOOKUP(I253,'Option Tables'!$B$23:$F$26,3)))+(H251*(VLOOKUP(I253,'Option Tables'!$B$23:$F$26,4))+(G251*(VLOOKUP(I253,'Option Tables'!$B$23:$F$26,5)))))</f>
        <v>0</v>
      </c>
      <c r="K256" s="355">
        <f>$D256*((K251*(VLOOKUP(I253,'Option Tables'!$B$23:$F$26,2)))+(J251*(VLOOKUP(I253,'Option Tables'!$B$23:$F$26,3)))+(I251*(VLOOKUP(I253,'Option Tables'!$B$23:$F$26,4))+(H251*(VLOOKUP(I253,'Option Tables'!$B$23:$F$26,5)))))</f>
        <v>0</v>
      </c>
      <c r="L256" s="355">
        <f>$D256*((L251*(VLOOKUP(I253,'Option Tables'!$B$23:$F$26,2)))+(K251*(VLOOKUP(I253,'Option Tables'!$B$23:$F$26,3)))+(J251*(VLOOKUP(I253,'Option Tables'!$B$23:$F$26,4))+(I251*(VLOOKUP(I253,'Option Tables'!$B$23:$F$26,5)))))</f>
        <v>0</v>
      </c>
      <c r="M256" s="355">
        <f>$D256*((M251*(VLOOKUP(I253,'Option Tables'!$B$23:$F$26,2)))+(L251*(VLOOKUP(I253,'Option Tables'!$B$23:$F$26,3)))+(K251*(VLOOKUP(I253,'Option Tables'!$B$23:$F$26,4))+(J251*(VLOOKUP(I253,'Option Tables'!$B$23:$F$26,5)))))</f>
        <v>0</v>
      </c>
      <c r="N256" s="355">
        <f>$D256*((N251*(VLOOKUP(I253,'Option Tables'!$B$23:$F$26,2)))+(M251*(VLOOKUP(I253,'Option Tables'!$B$23:$F$26,3)))+(L251*(VLOOKUP(I253,'Option Tables'!$B$23:$F$26,4))+(K251*(VLOOKUP(I253,'Option Tables'!$B$23:$F$26,5)))))</f>
        <v>0</v>
      </c>
      <c r="O256" s="355">
        <f>$D256*((O251*(VLOOKUP(I253,'Option Tables'!$B$23:$F$26,2)))+(N251*(VLOOKUP(I253,'Option Tables'!$B$23:$F$26,3)))+(M251*(VLOOKUP(I253,'Option Tables'!$B$23:$F$26,4))+(L251*(VLOOKUP(I253,'Option Tables'!$B$23:$F$26,5)))))</f>
        <v>0</v>
      </c>
      <c r="P256" s="465">
        <f>$D256*((P251*(VLOOKUP(I253,'Option Tables'!$B$23:$F$26,2)))+(O251*(VLOOKUP(I253,'Option Tables'!$B$23:$F$26,3)))+(N251*(VLOOKUP(I253,'Option Tables'!$B$23:$F$26,4))+(M251*(VLOOKUP(I253,'Option Tables'!$B$23:$F$26,5)))))</f>
        <v>0</v>
      </c>
      <c r="Q256" s="96"/>
    </row>
    <row r="257" spans="1:18" ht="15.75" customHeight="1">
      <c r="B257" s="95"/>
      <c r="C257" s="256"/>
      <c r="D257" s="388">
        <v>0</v>
      </c>
      <c r="E257" s="355">
        <f>$D257*((E251*(VLOOKUP(I253,'Option Tables'!$B$23:$F$26,2)))+(P251*(VLOOKUP(I253,'Option Tables'!$B$23:$F$26,3)))+(O251*(VLOOKUP(I253,'Option Tables'!$B$23:$F$26,4))+(N251*(VLOOKUP(I253,'Option Tables'!$B$23:$F$26,5)))))</f>
        <v>0</v>
      </c>
      <c r="F257" s="355">
        <f>$D257*((F251*(VLOOKUP(I253,'Option Tables'!$B$23:$F$26,2)))+(E251*(VLOOKUP(I253,'Option Tables'!$B$23:$F$26,3)))+(P251*(VLOOKUP(I253,'Option Tables'!$B$23:$F$26,4))+(O251*(VLOOKUP(I253,'Option Tables'!$B$23:$F$26,5)))))</f>
        <v>0</v>
      </c>
      <c r="G257" s="355">
        <f>$D257*((G251*(VLOOKUP(I253,'Option Tables'!$B$23:$F$26,2)))+(F251*(VLOOKUP(I253,'Option Tables'!$B$23:$F$26,3)))+(E251*(VLOOKUP(I253,'Option Tables'!$B$23:$F$26,4))+(P251*(VLOOKUP(I253,'Option Tables'!$B$23:$F$26,5)))))</f>
        <v>0</v>
      </c>
      <c r="H257" s="355">
        <f>$D257*((H251*(VLOOKUP(I253,'Option Tables'!$B$23:$F$26,2)))+(G251*(VLOOKUP(I253,'Option Tables'!$B$23:$F$26,3)))+(F251*(VLOOKUP(I253,'Option Tables'!$B$23:$F$26,4))+(E251*(VLOOKUP(I253,'Option Tables'!$B$23:$F$26,5)))))</f>
        <v>0</v>
      </c>
      <c r="I257" s="355">
        <f>$D257*((I251*(VLOOKUP(I253,'Option Tables'!$B$23:$F$26,2)))+(H251*(VLOOKUP(I253,'Option Tables'!$B$23:$F$26,3)))+(G251*(VLOOKUP(I253,'Option Tables'!$B$23:$F$26,4))+(F251*(VLOOKUP(I253,'Option Tables'!$B$23:$F$26,5)))))</f>
        <v>0</v>
      </c>
      <c r="J257" s="355">
        <f>$D257*((J251*(VLOOKUP(I253,'Option Tables'!$B$23:$F$26,2)))+(I251*(VLOOKUP(I253,'Option Tables'!$B$23:$F$26,3)))+(H251*(VLOOKUP(I253,'Option Tables'!$B$23:$F$26,4))+(G251*(VLOOKUP(I253,'Option Tables'!$B$23:$F$26,5)))))</f>
        <v>0</v>
      </c>
      <c r="K257" s="355">
        <f>$D257*((K251*(VLOOKUP(I253,'Option Tables'!$B$23:$F$26,2)))+(J251*(VLOOKUP(I253,'Option Tables'!$B$23:$F$26,3)))+(I251*(VLOOKUP(I253,'Option Tables'!$B$23:$F$26,4))+(H251*(VLOOKUP(I253,'Option Tables'!$B$23:$F$26,5)))))</f>
        <v>0</v>
      </c>
      <c r="L257" s="355">
        <f>$D257*((L251*(VLOOKUP(I253,'Option Tables'!$B$23:$F$26,2)))+(K251*(VLOOKUP(I253,'Option Tables'!$B$23:$F$26,3)))+(J251*(VLOOKUP(I253,'Option Tables'!$B$23:$F$26,4))+(I251*(VLOOKUP(I253,'Option Tables'!$B$23:$F$26,5)))))</f>
        <v>0</v>
      </c>
      <c r="M257" s="355">
        <f>$D257*((M251*(VLOOKUP(I253,'Option Tables'!$B$23:$F$26,2)))+(L251*(VLOOKUP(I253,'Option Tables'!$B$23:$F$26,3)))+(K251*(VLOOKUP(I253,'Option Tables'!$B$23:$F$26,4))+(J251*(VLOOKUP(I253,'Option Tables'!$B$23:$F$26,5)))))</f>
        <v>0</v>
      </c>
      <c r="N257" s="355">
        <f>$D257*((N251*(VLOOKUP(I253,'Option Tables'!$B$23:$F$26,2)))+(M251*(VLOOKUP(I253,'Option Tables'!$B$23:$F$26,3)))+(L251*(VLOOKUP(I253,'Option Tables'!$B$23:$F$26,4))+(K251*(VLOOKUP(I253,'Option Tables'!$B$23:$F$26,5)))))</f>
        <v>0</v>
      </c>
      <c r="O257" s="355">
        <f>$D257*((O251*(VLOOKUP(I253,'Option Tables'!$B$23:$F$26,2)))+(N251*(VLOOKUP(I253,'Option Tables'!$B$23:$F$26,3)))+(M251*(VLOOKUP(I253,'Option Tables'!$B$23:$F$26,4))+(L251*(VLOOKUP(I253,'Option Tables'!$B$23:$F$26,5)))))</f>
        <v>0</v>
      </c>
      <c r="P257" s="465">
        <f>$D257*((P251*(VLOOKUP(I253,'Option Tables'!$B$23:$F$26,2)))+(O251*(VLOOKUP(I253,'Option Tables'!$B$23:$F$26,3)))+(N251*(VLOOKUP(I253,'Option Tables'!$B$23:$F$26,4))+(M251*(VLOOKUP(I253,'Option Tables'!$B$23:$F$26,5)))))</f>
        <v>0</v>
      </c>
      <c r="Q257" s="96"/>
    </row>
    <row r="258" spans="1:18" ht="15.75" customHeight="1" thickBot="1">
      <c r="B258" s="97"/>
      <c r="C258" s="144" t="str">
        <f>IF(D258&lt;&gt;1,"Must equal %100","")</f>
        <v/>
      </c>
      <c r="D258" s="71">
        <f t="shared" ref="D258:P258" si="24">SUM(D254:D257)</f>
        <v>1</v>
      </c>
      <c r="E258" s="466">
        <f t="shared" si="24"/>
        <v>0</v>
      </c>
      <c r="F258" s="466">
        <f t="shared" si="24"/>
        <v>0</v>
      </c>
      <c r="G258" s="466">
        <f t="shared" si="24"/>
        <v>0</v>
      </c>
      <c r="H258" s="466">
        <f t="shared" si="24"/>
        <v>0</v>
      </c>
      <c r="I258" s="466">
        <f t="shared" si="24"/>
        <v>358.6294095870341</v>
      </c>
      <c r="J258" s="466">
        <f t="shared" si="24"/>
        <v>403.80682699646593</v>
      </c>
      <c r="K258" s="466">
        <f t="shared" si="24"/>
        <v>271.47918276221594</v>
      </c>
      <c r="L258" s="466">
        <f t="shared" si="24"/>
        <v>159.50396716373865</v>
      </c>
      <c r="M258" s="466">
        <f t="shared" si="24"/>
        <v>92.761618379236367</v>
      </c>
      <c r="N258" s="466">
        <f t="shared" si="24"/>
        <v>25.811137164872726</v>
      </c>
      <c r="O258" s="466">
        <f t="shared" si="24"/>
        <v>7.3250717787545456</v>
      </c>
      <c r="P258" s="467">
        <f t="shared" si="24"/>
        <v>0</v>
      </c>
      <c r="Q258" s="96"/>
      <c r="R258" s="140"/>
    </row>
    <row r="259" spans="1:18" ht="15.75" customHeight="1" thickBot="1">
      <c r="B259" s="85" t="s">
        <v>262</v>
      </c>
      <c r="C259" s="257" t="str">
        <f>VLOOKUP(B259,NodeList!$D$5:$E$73,2,FALSE)</f>
        <v>AggDiv BR-2</v>
      </c>
      <c r="D259" s="91"/>
      <c r="E259" s="450"/>
      <c r="F259" s="451"/>
      <c r="G259" s="452"/>
      <c r="H259" s="453" t="s">
        <v>54</v>
      </c>
      <c r="I259" s="68">
        <v>33</v>
      </c>
      <c r="J259" s="454"/>
      <c r="K259" s="454"/>
      <c r="L259" s="454"/>
      <c r="M259" s="454"/>
      <c r="N259" s="454"/>
      <c r="O259" s="454"/>
      <c r="P259" s="455"/>
      <c r="Q259" s="96"/>
    </row>
    <row r="260" spans="1:18" ht="15.75" customHeight="1">
      <c r="A260" s="172"/>
      <c r="B260" s="94"/>
      <c r="C260" s="66" t="s">
        <v>57</v>
      </c>
      <c r="D260" s="69"/>
      <c r="E260" s="456">
        <f>VLOOKUP($B259,'Diversion Data'!$B$3:$O$227,3,FALSE)</f>
        <v>0</v>
      </c>
      <c r="F260" s="456">
        <f>VLOOKUP($B259,'Diversion Data'!$B$3:$O$227,4,FALSE)</f>
        <v>0</v>
      </c>
      <c r="G260" s="456">
        <f>VLOOKUP($B259,'Diversion Data'!$B$3:$O$227,5,FALSE)</f>
        <v>0</v>
      </c>
      <c r="H260" s="456">
        <f>VLOOKUP($B259,'Diversion Data'!$B$3:$O$227,6,FALSE)</f>
        <v>0</v>
      </c>
      <c r="I260" s="456">
        <f>VLOOKUP($B259,'Diversion Data'!$B$3:$O$227,7,FALSE)</f>
        <v>338.005</v>
      </c>
      <c r="J260" s="456">
        <f>VLOOKUP($B259,'Diversion Data'!$B$3:$O$227,8,FALSE)</f>
        <v>897.68125000000009</v>
      </c>
      <c r="K260" s="456">
        <f>VLOOKUP($B259,'Diversion Data'!$B$3:$O$227,9,FALSE)</f>
        <v>844.00750000000005</v>
      </c>
      <c r="L260" s="456">
        <f>VLOOKUP($B259,'Diversion Data'!$B$3:$O$227,10,FALSE)</f>
        <v>328.33375000000001</v>
      </c>
      <c r="M260" s="456">
        <f>VLOOKUP($B259,'Diversion Data'!$B$3:$O$227,11,FALSE)</f>
        <v>134.25</v>
      </c>
      <c r="N260" s="456">
        <f>VLOOKUP($B259,'Diversion Data'!$B$3:$O$227,12,FALSE)</f>
        <v>0</v>
      </c>
      <c r="O260" s="456">
        <f>VLOOKUP($B259,'Diversion Data'!$B$3:$O$227,13,FALSE)</f>
        <v>0</v>
      </c>
      <c r="P260" s="457">
        <f>VLOOKUP($B259,'Diversion Data'!$B$3:$O$227,14,FALSE)</f>
        <v>0</v>
      </c>
      <c r="Q260" s="96"/>
    </row>
    <row r="261" spans="1:18" ht="15.75" customHeight="1">
      <c r="A261" s="172"/>
      <c r="B261" s="95"/>
      <c r="C261" s="72" t="s">
        <v>56</v>
      </c>
      <c r="D261" s="70"/>
      <c r="E261" s="458">
        <f>VLOOKUP($I259,'Option Tables'!$B$3:$N$19,2,FALSE)*E260</f>
        <v>0</v>
      </c>
      <c r="F261" s="458">
        <f>VLOOKUP($I259,'Option Tables'!$B$3:$N$19,3,FALSE)*F260</f>
        <v>0</v>
      </c>
      <c r="G261" s="458">
        <f>VLOOKUP($I259,'Option Tables'!$B$3:$N$19,4,FALSE)*G260</f>
        <v>0</v>
      </c>
      <c r="H261" s="458">
        <f>VLOOKUP($I259,'Option Tables'!$B$3:$N$19,5,FALSE)*H260</f>
        <v>0</v>
      </c>
      <c r="I261" s="458">
        <f>VLOOKUP($I259,'Option Tables'!$B$3:$N$19,6,FALSE)*I260</f>
        <v>223.08330000000001</v>
      </c>
      <c r="J261" s="458">
        <f>VLOOKUP($I259,'Option Tables'!$B$3:$N$19,7,FALSE)*J260</f>
        <v>592.46962500000006</v>
      </c>
      <c r="K261" s="458">
        <f>VLOOKUP($I259,'Option Tables'!$B$3:$N$19,8,FALSE)*K260</f>
        <v>557.04495000000009</v>
      </c>
      <c r="L261" s="458">
        <f>VLOOKUP($I259,'Option Tables'!$B$3:$N$19,9,FALSE)*L260</f>
        <v>216.700275</v>
      </c>
      <c r="M261" s="458">
        <f>VLOOKUP($I259,'Option Tables'!$B$3:$N$19,10,FALSE)*M260</f>
        <v>88.605000000000004</v>
      </c>
      <c r="N261" s="458">
        <f>VLOOKUP($I259,'Option Tables'!$B$3:$N$19,11,FALSE)*N260</f>
        <v>0</v>
      </c>
      <c r="O261" s="458">
        <f>VLOOKUP($I259,'Option Tables'!$B$3:$N$19,12,FALSE)*O260</f>
        <v>0</v>
      </c>
      <c r="P261" s="459">
        <f>VLOOKUP($I259,'Option Tables'!$B$3:$N$19,13,FALSE)*P260</f>
        <v>0</v>
      </c>
      <c r="Q261" s="96"/>
    </row>
    <row r="262" spans="1:18" ht="15.75" customHeight="1" thickBot="1">
      <c r="A262" s="172"/>
      <c r="B262" s="95"/>
      <c r="C262" s="66"/>
      <c r="D262" s="62"/>
      <c r="E262" s="355"/>
      <c r="F262" s="355"/>
      <c r="G262" s="355"/>
      <c r="H262" s="355"/>
      <c r="I262" s="355"/>
      <c r="J262" s="355"/>
      <c r="K262" s="355"/>
      <c r="L262" s="355"/>
      <c r="M262" s="460"/>
      <c r="N262" s="460"/>
      <c r="O262" s="460"/>
      <c r="P262" s="461"/>
      <c r="Q262" s="96"/>
    </row>
    <row r="263" spans="1:18" ht="15.75" customHeight="1" thickBot="1">
      <c r="A263" s="172"/>
      <c r="B263" s="254" t="s">
        <v>73</v>
      </c>
      <c r="C263" s="105" t="s">
        <v>73</v>
      </c>
      <c r="D263" s="105" t="s">
        <v>74</v>
      </c>
      <c r="E263" s="462"/>
      <c r="F263" s="463"/>
      <c r="G263" s="464"/>
      <c r="H263" s="464" t="s">
        <v>55</v>
      </c>
      <c r="I263" s="68">
        <v>2</v>
      </c>
      <c r="J263" s="460"/>
      <c r="K263" s="460"/>
      <c r="L263" s="460"/>
      <c r="M263" s="460"/>
      <c r="N263" s="460"/>
      <c r="O263" s="460"/>
      <c r="P263" s="461"/>
      <c r="Q263" s="96"/>
    </row>
    <row r="264" spans="1:18" ht="15.75" customHeight="1">
      <c r="A264" s="172"/>
      <c r="B264" s="255" t="str">
        <f>"("&amp;VLOOKUP(C264,NodeList!$D$5:$E$68,2,FALSE)&amp;")"</f>
        <v>(Chapman Canal)</v>
      </c>
      <c r="C264" s="256" t="s">
        <v>134</v>
      </c>
      <c r="D264" s="388">
        <v>1</v>
      </c>
      <c r="E264" s="355">
        <f>$D264*((E261*(VLOOKUP(I263,'Option Tables'!$B$23:$F$26,2)))+(P261*(VLOOKUP(I263,'Option Tables'!$B$23:$F$26,3)))+(O261*(VLOOKUP(I263,'Option Tables'!$B$23:$F$26,4))+(N261*(VLOOKUP(I263,'Option Tables'!$B$23:$F$26,5)))))</f>
        <v>0</v>
      </c>
      <c r="F264" s="355">
        <f>$D264*((F261*(VLOOKUP(I263,'Option Tables'!$B$23:$F$26,2)))+(E261*(VLOOKUP(I263,'Option Tables'!$B$23:$F$26,3)))+(P261*(VLOOKUP(I263,'Option Tables'!$B$23:$F$26,4))+(O261*(VLOOKUP(I263,'Option Tables'!$B$23:$F$26,5)))))</f>
        <v>0</v>
      </c>
      <c r="G264" s="355">
        <f>$D264*((G261*(VLOOKUP(I263,'Option Tables'!$B$23:$F$26,2)))+(F261*(VLOOKUP(I263,'Option Tables'!$B$23:$F$26,3)))+(E261*(VLOOKUP(I263,'Option Tables'!$B$23:$F$26,4))+(P261*(VLOOKUP(I263,'Option Tables'!$B$23:$F$26,5)))))</f>
        <v>0</v>
      </c>
      <c r="H264" s="355">
        <f>$D264*((H261*(VLOOKUP(I263,'Option Tables'!$B$23:$F$26,2)))+(G261*(VLOOKUP(I263,'Option Tables'!$B$23:$F$26,3)))+(F261*(VLOOKUP(I263,'Option Tables'!$B$23:$F$26,4))+(E261*(VLOOKUP(I263,'Option Tables'!$B$23:$F$26,5)))))</f>
        <v>0</v>
      </c>
      <c r="I264" s="355">
        <f>$D264*((I261*(VLOOKUP(I263,'Option Tables'!$B$23:$F$26,2)))+(H261*(VLOOKUP(I263,'Option Tables'!$B$23:$F$26,3)))+(G261*(VLOOKUP(I263,'Option Tables'!$B$23:$F$26,4))+(F261*(VLOOKUP(I263,'Option Tables'!$B$23:$F$26,5)))))</f>
        <v>156.15831</v>
      </c>
      <c r="J264" s="355">
        <f>$D264*((J261*(VLOOKUP(I263,'Option Tables'!$B$23:$F$26,2)))+(I261*(VLOOKUP(I263,'Option Tables'!$B$23:$F$26,3)))+(H261*(VLOOKUP(I263,'Option Tables'!$B$23:$F$26,4))+(G261*(VLOOKUP(I263,'Option Tables'!$B$23:$F$26,5)))))</f>
        <v>459.34539750000005</v>
      </c>
      <c r="K264" s="355">
        <f>$D264*((K261*(VLOOKUP(I263,'Option Tables'!$B$23:$F$26,2)))+(J261*(VLOOKUP(I263,'Option Tables'!$B$23:$F$26,3)))+(I261*(VLOOKUP(I263,'Option Tables'!$B$23:$F$26,4))+(H261*(VLOOKUP(I263,'Option Tables'!$B$23:$F$26,5)))))</f>
        <v>530.73372000000006</v>
      </c>
      <c r="L264" s="355">
        <f>$D264*((L261*(VLOOKUP(I263,'Option Tables'!$B$23:$F$26,2)))+(K261*(VLOOKUP(I263,'Option Tables'!$B$23:$F$26,3)))+(J261*(VLOOKUP(I263,'Option Tables'!$B$23:$F$26,4))+(I261*(VLOOKUP(I263,'Option Tables'!$B$23:$F$26,5)))))</f>
        <v>322.34614499999998</v>
      </c>
      <c r="M264" s="355">
        <f>$D264*((M261*(VLOOKUP(I263,'Option Tables'!$B$23:$F$26,2)))+(L261*(VLOOKUP(I263,'Option Tables'!$B$23:$F$26,3)))+(K261*(VLOOKUP(I263,'Option Tables'!$B$23:$F$26,4))+(J261*(VLOOKUP(I263,'Option Tables'!$B$23:$F$26,5)))))</f>
        <v>161.06805000000003</v>
      </c>
      <c r="N264" s="355">
        <f>$D264*((N261*(VLOOKUP(I263,'Option Tables'!$B$23:$F$26,2)))+(M261*(VLOOKUP(I263,'Option Tables'!$B$23:$F$26,3)))+(L261*(VLOOKUP(I263,'Option Tables'!$B$23:$F$26,4))+(K261*(VLOOKUP(I263,'Option Tables'!$B$23:$F$26,5)))))</f>
        <v>39.391027500000007</v>
      </c>
      <c r="O264" s="355">
        <f>$D264*((O261*(VLOOKUP(I263,'Option Tables'!$B$23:$F$26,2)))+(N261*(VLOOKUP(I263,'Option Tables'!$B$23:$F$26,3)))+(M261*(VLOOKUP(I263,'Option Tables'!$B$23:$F$26,4))+(L261*(VLOOKUP(I263,'Option Tables'!$B$23:$F$26,5)))))</f>
        <v>8.8605</v>
      </c>
      <c r="P264" s="465">
        <f>$D264*((P261*(VLOOKUP(I263,'Option Tables'!$B$23:$F$26,2)))+(O261*(VLOOKUP(I263,'Option Tables'!$B$23:$F$26,3)))+(N261*(VLOOKUP(I263,'Option Tables'!$B$23:$F$26,4))+(M261*(VLOOKUP(I263,'Option Tables'!$B$23:$F$26,5)))))</f>
        <v>0</v>
      </c>
      <c r="Q264" s="96"/>
    </row>
    <row r="265" spans="1:18" ht="15.75" customHeight="1">
      <c r="A265" s="172"/>
      <c r="B265" s="255"/>
      <c r="C265" s="256"/>
      <c r="D265" s="388">
        <v>0</v>
      </c>
      <c r="E265" s="355">
        <f>$D265*((E261*(VLOOKUP(I263,'Option Tables'!$B$23:$F$26,2)))+(P261*(VLOOKUP(I263,'Option Tables'!$B$23:$F$26,3)))+(O261*(VLOOKUP(I263,'Option Tables'!$B$23:$F$26,4))+(N261*(VLOOKUP(I263,'Option Tables'!$B$23:$F$26,5)))))</f>
        <v>0</v>
      </c>
      <c r="F265" s="355">
        <f>$D265*((F261*(VLOOKUP(I263,'Option Tables'!$B$23:$F$26,2)))+(E261*(VLOOKUP(I263,'Option Tables'!$B$23:$F$26,3)))+(P261*(VLOOKUP(I263,'Option Tables'!$B$23:$F$26,4))+(O261*(VLOOKUP(I263,'Option Tables'!$B$23:$F$26,5)))))</f>
        <v>0</v>
      </c>
      <c r="G265" s="355">
        <f>$D265*((G261*(VLOOKUP(I263,'Option Tables'!$B$23:$F$26,2)))+(F261*(VLOOKUP(I263,'Option Tables'!$B$23:$F$26,3)))+(E261*(VLOOKUP(I263,'Option Tables'!$B$23:$F$26,4))+(P261*(VLOOKUP(I263,'Option Tables'!$B$23:$F$26,5)))))</f>
        <v>0</v>
      </c>
      <c r="H265" s="355">
        <f>$D265*((H261*(VLOOKUP(I263,'Option Tables'!$B$23:$F$26,2)))+(G261*(VLOOKUP(I263,'Option Tables'!$B$23:$F$26,3)))+(F261*(VLOOKUP(I263,'Option Tables'!$B$23:$F$26,4))+(E261*(VLOOKUP(I263,'Option Tables'!$B$23:$F$26,5)))))</f>
        <v>0</v>
      </c>
      <c r="I265" s="355">
        <f>$D265*((I261*(VLOOKUP(I263,'Option Tables'!$B$23:$F$26,2)))+(H261*(VLOOKUP(I263,'Option Tables'!$B$23:$F$26,3)))+(G261*(VLOOKUP(I263,'Option Tables'!$B$23:$F$26,4))+(F261*(VLOOKUP(I263,'Option Tables'!$B$23:$F$26,5)))))</f>
        <v>0</v>
      </c>
      <c r="J265" s="355">
        <f>$D265*((J261*(VLOOKUP(I263,'Option Tables'!$B$23:$F$26,2)))+(I261*(VLOOKUP(I263,'Option Tables'!$B$23:$F$26,3)))+(H261*(VLOOKUP(I263,'Option Tables'!$B$23:$F$26,4))+(G261*(VLOOKUP(I263,'Option Tables'!$B$23:$F$26,5)))))</f>
        <v>0</v>
      </c>
      <c r="K265" s="355">
        <f>$D265*((K261*(VLOOKUP(I263,'Option Tables'!$B$23:$F$26,2)))+(J261*(VLOOKUP(I263,'Option Tables'!$B$23:$F$26,3)))+(I261*(VLOOKUP(I263,'Option Tables'!$B$23:$F$26,4))+(H261*(VLOOKUP(I263,'Option Tables'!$B$23:$F$26,5)))))</f>
        <v>0</v>
      </c>
      <c r="L265" s="355">
        <f>$D265*((L261*(VLOOKUP(I263,'Option Tables'!$B$23:$F$26,2)))+(K261*(VLOOKUP(I263,'Option Tables'!$B$23:$F$26,3)))+(J261*(VLOOKUP(I263,'Option Tables'!$B$23:$F$26,4))+(I261*(VLOOKUP(I263,'Option Tables'!$B$23:$F$26,5)))))</f>
        <v>0</v>
      </c>
      <c r="M265" s="355">
        <f>$D265*((M261*(VLOOKUP(I263,'Option Tables'!$B$23:$F$26,2)))+(L261*(VLOOKUP(I263,'Option Tables'!$B$23:$F$26,3)))+(K261*(VLOOKUP(I263,'Option Tables'!$B$23:$F$26,4))+(J261*(VLOOKUP(I263,'Option Tables'!$B$23:$F$26,5)))))</f>
        <v>0</v>
      </c>
      <c r="N265" s="355">
        <f>$D265*((N261*(VLOOKUP(I263,'Option Tables'!$B$23:$F$26,2)))+(M261*(VLOOKUP(I263,'Option Tables'!$B$23:$F$26,3)))+(L261*(VLOOKUP(I263,'Option Tables'!$B$23:$F$26,4))+(K261*(VLOOKUP(I263,'Option Tables'!$B$23:$F$26,5)))))</f>
        <v>0</v>
      </c>
      <c r="O265" s="355">
        <f>$D265*((O261*(VLOOKUP(I263,'Option Tables'!$B$23:$F$26,2)))+(N261*(VLOOKUP(I263,'Option Tables'!$B$23:$F$26,3)))+(M261*(VLOOKUP(I263,'Option Tables'!$B$23:$F$26,4))+(L261*(VLOOKUP(I263,'Option Tables'!$B$23:$F$26,5)))))</f>
        <v>0</v>
      </c>
      <c r="P265" s="465">
        <f>$D265*((P261*(VLOOKUP(I263,'Option Tables'!$B$23:$F$26,2)))+(O261*(VLOOKUP(I263,'Option Tables'!$B$23:$F$26,3)))+(N261*(VLOOKUP(I263,'Option Tables'!$B$23:$F$26,4))+(M261*(VLOOKUP(I263,'Option Tables'!$B$23:$F$26,5)))))</f>
        <v>0</v>
      </c>
      <c r="Q265" s="96"/>
    </row>
    <row r="266" spans="1:18" ht="15.75" customHeight="1">
      <c r="A266" s="172"/>
      <c r="B266" s="95"/>
      <c r="C266" s="256"/>
      <c r="D266" s="388">
        <v>0</v>
      </c>
      <c r="E266" s="355">
        <f>$D266*((E261*(VLOOKUP(I263,'Option Tables'!$B$23:$F$26,2)))+(P261*(VLOOKUP(I263,'Option Tables'!$B$23:$F$26,3)))+(O261*(VLOOKUP(I263,'Option Tables'!$B$23:$F$26,4))+(N261*(VLOOKUP(I263,'Option Tables'!$B$23:$F$26,5)))))</f>
        <v>0</v>
      </c>
      <c r="F266" s="355">
        <f>$D266*((F261*(VLOOKUP(I263,'Option Tables'!$B$23:$F$26,2)))+(E261*(VLOOKUP(I263,'Option Tables'!$B$23:$F$26,3)))+(P261*(VLOOKUP(I263,'Option Tables'!$B$23:$F$26,4))+(O261*(VLOOKUP(I263,'Option Tables'!$B$23:$F$26,5)))))</f>
        <v>0</v>
      </c>
      <c r="G266" s="355">
        <f>$D266*((G261*(VLOOKUP(I263,'Option Tables'!$B$23:$F$26,2)))+(F261*(VLOOKUP(I263,'Option Tables'!$B$23:$F$26,3)))+(E261*(VLOOKUP(I263,'Option Tables'!$B$23:$F$26,4))+(P261*(VLOOKUP(I263,'Option Tables'!$B$23:$F$26,5)))))</f>
        <v>0</v>
      </c>
      <c r="H266" s="355">
        <f>$D266*((H261*(VLOOKUP(I263,'Option Tables'!$B$23:$F$26,2)))+(G261*(VLOOKUP(I263,'Option Tables'!$B$23:$F$26,3)))+(F261*(VLOOKUP(I263,'Option Tables'!$B$23:$F$26,4))+(E261*(VLOOKUP(I263,'Option Tables'!$B$23:$F$26,5)))))</f>
        <v>0</v>
      </c>
      <c r="I266" s="355">
        <f>$D266*((I261*(VLOOKUP(I263,'Option Tables'!$B$23:$F$26,2)))+(H261*(VLOOKUP(I263,'Option Tables'!$B$23:$F$26,3)))+(G261*(VLOOKUP(I263,'Option Tables'!$B$23:$F$26,4))+(F261*(VLOOKUP(I263,'Option Tables'!$B$23:$F$26,5)))))</f>
        <v>0</v>
      </c>
      <c r="J266" s="355">
        <f>$D266*((J261*(VLOOKUP(I263,'Option Tables'!$B$23:$F$26,2)))+(I261*(VLOOKUP(I263,'Option Tables'!$B$23:$F$26,3)))+(H261*(VLOOKUP(I263,'Option Tables'!$B$23:$F$26,4))+(G261*(VLOOKUP(I263,'Option Tables'!$B$23:$F$26,5)))))</f>
        <v>0</v>
      </c>
      <c r="K266" s="355">
        <f>$D266*((K261*(VLOOKUP(I263,'Option Tables'!$B$23:$F$26,2)))+(J261*(VLOOKUP(I263,'Option Tables'!$B$23:$F$26,3)))+(I261*(VLOOKUP(I263,'Option Tables'!$B$23:$F$26,4))+(H261*(VLOOKUP(I263,'Option Tables'!$B$23:$F$26,5)))))</f>
        <v>0</v>
      </c>
      <c r="L266" s="355">
        <f>$D266*((L261*(VLOOKUP(I263,'Option Tables'!$B$23:$F$26,2)))+(K261*(VLOOKUP(I263,'Option Tables'!$B$23:$F$26,3)))+(J261*(VLOOKUP(I263,'Option Tables'!$B$23:$F$26,4))+(I261*(VLOOKUP(I263,'Option Tables'!$B$23:$F$26,5)))))</f>
        <v>0</v>
      </c>
      <c r="M266" s="355">
        <f>$D266*((M261*(VLOOKUP(I263,'Option Tables'!$B$23:$F$26,2)))+(L261*(VLOOKUP(I263,'Option Tables'!$B$23:$F$26,3)))+(K261*(VLOOKUP(I263,'Option Tables'!$B$23:$F$26,4))+(J261*(VLOOKUP(I263,'Option Tables'!$B$23:$F$26,5)))))</f>
        <v>0</v>
      </c>
      <c r="N266" s="355">
        <f>$D266*((N261*(VLOOKUP(I263,'Option Tables'!$B$23:$F$26,2)))+(M261*(VLOOKUP(I263,'Option Tables'!$B$23:$F$26,3)))+(L261*(VLOOKUP(I263,'Option Tables'!$B$23:$F$26,4))+(K261*(VLOOKUP(I263,'Option Tables'!$B$23:$F$26,5)))))</f>
        <v>0</v>
      </c>
      <c r="O266" s="355">
        <f>$D266*((O261*(VLOOKUP(I263,'Option Tables'!$B$23:$F$26,2)))+(N261*(VLOOKUP(I263,'Option Tables'!$B$23:$F$26,3)))+(M261*(VLOOKUP(I263,'Option Tables'!$B$23:$F$26,4))+(L261*(VLOOKUP(I263,'Option Tables'!$B$23:$F$26,5)))))</f>
        <v>0</v>
      </c>
      <c r="P266" s="465">
        <f>$D266*((P261*(VLOOKUP(I263,'Option Tables'!$B$23:$F$26,2)))+(O261*(VLOOKUP(I263,'Option Tables'!$B$23:$F$26,3)))+(N261*(VLOOKUP(I263,'Option Tables'!$B$23:$F$26,4))+(M261*(VLOOKUP(I263,'Option Tables'!$B$23:$F$26,5)))))</f>
        <v>0</v>
      </c>
      <c r="Q266" s="96"/>
    </row>
    <row r="267" spans="1:18" ht="15.75" customHeight="1">
      <c r="A267" s="172"/>
      <c r="B267" s="95"/>
      <c r="C267" s="256"/>
      <c r="D267" s="388">
        <v>0</v>
      </c>
      <c r="E267" s="355">
        <f>$D267*((E261*(VLOOKUP(I263,'Option Tables'!$B$23:$F$26,2)))+(P261*(VLOOKUP(I263,'Option Tables'!$B$23:$F$26,3)))+(O261*(VLOOKUP(I263,'Option Tables'!$B$23:$F$26,4))+(N261*(VLOOKUP(I263,'Option Tables'!$B$23:$F$26,5)))))</f>
        <v>0</v>
      </c>
      <c r="F267" s="355">
        <f>$D267*((F261*(VLOOKUP(I263,'Option Tables'!$B$23:$F$26,2)))+(E261*(VLOOKUP(I263,'Option Tables'!$B$23:$F$26,3)))+(P261*(VLOOKUP(I263,'Option Tables'!$B$23:$F$26,4))+(O261*(VLOOKUP(I263,'Option Tables'!$B$23:$F$26,5)))))</f>
        <v>0</v>
      </c>
      <c r="G267" s="355">
        <f>$D267*((G261*(VLOOKUP(I263,'Option Tables'!$B$23:$F$26,2)))+(F261*(VLOOKUP(I263,'Option Tables'!$B$23:$F$26,3)))+(E261*(VLOOKUP(I263,'Option Tables'!$B$23:$F$26,4))+(P261*(VLOOKUP(I263,'Option Tables'!$B$23:$F$26,5)))))</f>
        <v>0</v>
      </c>
      <c r="H267" s="355">
        <f>$D267*((H261*(VLOOKUP(I263,'Option Tables'!$B$23:$F$26,2)))+(G261*(VLOOKUP(I263,'Option Tables'!$B$23:$F$26,3)))+(F261*(VLOOKUP(I263,'Option Tables'!$B$23:$F$26,4))+(E261*(VLOOKUP(I263,'Option Tables'!$B$23:$F$26,5)))))</f>
        <v>0</v>
      </c>
      <c r="I267" s="355">
        <f>$D267*((I261*(VLOOKUP(I263,'Option Tables'!$B$23:$F$26,2)))+(H261*(VLOOKUP(I263,'Option Tables'!$B$23:$F$26,3)))+(G261*(VLOOKUP(I263,'Option Tables'!$B$23:$F$26,4))+(F261*(VLOOKUP(I263,'Option Tables'!$B$23:$F$26,5)))))</f>
        <v>0</v>
      </c>
      <c r="J267" s="355">
        <f>$D267*((J261*(VLOOKUP(I263,'Option Tables'!$B$23:$F$26,2)))+(I261*(VLOOKUP(I263,'Option Tables'!$B$23:$F$26,3)))+(H261*(VLOOKUP(I263,'Option Tables'!$B$23:$F$26,4))+(G261*(VLOOKUP(I263,'Option Tables'!$B$23:$F$26,5)))))</f>
        <v>0</v>
      </c>
      <c r="K267" s="355">
        <f>$D267*((K261*(VLOOKUP(I263,'Option Tables'!$B$23:$F$26,2)))+(J261*(VLOOKUP(I263,'Option Tables'!$B$23:$F$26,3)))+(I261*(VLOOKUP(I263,'Option Tables'!$B$23:$F$26,4))+(H261*(VLOOKUP(I263,'Option Tables'!$B$23:$F$26,5)))))</f>
        <v>0</v>
      </c>
      <c r="L267" s="355">
        <f>$D267*((L261*(VLOOKUP(I263,'Option Tables'!$B$23:$F$26,2)))+(K261*(VLOOKUP(I263,'Option Tables'!$B$23:$F$26,3)))+(J261*(VLOOKUP(I263,'Option Tables'!$B$23:$F$26,4))+(I261*(VLOOKUP(I263,'Option Tables'!$B$23:$F$26,5)))))</f>
        <v>0</v>
      </c>
      <c r="M267" s="355">
        <f>$D267*((M261*(VLOOKUP(I263,'Option Tables'!$B$23:$F$26,2)))+(L261*(VLOOKUP(I263,'Option Tables'!$B$23:$F$26,3)))+(K261*(VLOOKUP(I263,'Option Tables'!$B$23:$F$26,4))+(J261*(VLOOKUP(I263,'Option Tables'!$B$23:$F$26,5)))))</f>
        <v>0</v>
      </c>
      <c r="N267" s="355">
        <f>$D267*((N261*(VLOOKUP(I263,'Option Tables'!$B$23:$F$26,2)))+(M261*(VLOOKUP(I263,'Option Tables'!$B$23:$F$26,3)))+(L261*(VLOOKUP(I263,'Option Tables'!$B$23:$F$26,4))+(K261*(VLOOKUP(I263,'Option Tables'!$B$23:$F$26,5)))))</f>
        <v>0</v>
      </c>
      <c r="O267" s="355">
        <f>$D267*((O261*(VLOOKUP(I263,'Option Tables'!$B$23:$F$26,2)))+(N261*(VLOOKUP(I263,'Option Tables'!$B$23:$F$26,3)))+(M261*(VLOOKUP(I263,'Option Tables'!$B$23:$F$26,4))+(L261*(VLOOKUP(I263,'Option Tables'!$B$23:$F$26,5)))))</f>
        <v>0</v>
      </c>
      <c r="P267" s="465">
        <f>$D267*((P261*(VLOOKUP(I263,'Option Tables'!$B$23:$F$26,2)))+(O261*(VLOOKUP(I263,'Option Tables'!$B$23:$F$26,3)))+(N261*(VLOOKUP(I263,'Option Tables'!$B$23:$F$26,4))+(M261*(VLOOKUP(I263,'Option Tables'!$B$23:$F$26,5)))))</f>
        <v>0</v>
      </c>
      <c r="Q267" s="96"/>
    </row>
    <row r="268" spans="1:18" ht="15.75" customHeight="1" thickBot="1">
      <c r="A268" s="172"/>
      <c r="B268" s="97"/>
      <c r="C268" s="144" t="str">
        <f>IF(D268&lt;&gt;1,"Must equal %100","")</f>
        <v/>
      </c>
      <c r="D268" s="71">
        <f t="shared" ref="D268:P268" si="25">SUM(D264:D267)</f>
        <v>1</v>
      </c>
      <c r="E268" s="466">
        <f t="shared" si="25"/>
        <v>0</v>
      </c>
      <c r="F268" s="466">
        <f t="shared" si="25"/>
        <v>0</v>
      </c>
      <c r="G268" s="466">
        <f t="shared" si="25"/>
        <v>0</v>
      </c>
      <c r="H268" s="466">
        <f t="shared" si="25"/>
        <v>0</v>
      </c>
      <c r="I268" s="466">
        <f t="shared" si="25"/>
        <v>156.15831</v>
      </c>
      <c r="J268" s="466">
        <f t="shared" si="25"/>
        <v>459.34539750000005</v>
      </c>
      <c r="K268" s="466">
        <f t="shared" si="25"/>
        <v>530.73372000000006</v>
      </c>
      <c r="L268" s="466">
        <f t="shared" si="25"/>
        <v>322.34614499999998</v>
      </c>
      <c r="M268" s="466">
        <f t="shared" si="25"/>
        <v>161.06805000000003</v>
      </c>
      <c r="N268" s="466">
        <f t="shared" si="25"/>
        <v>39.391027500000007</v>
      </c>
      <c r="O268" s="466">
        <f t="shared" si="25"/>
        <v>8.8605</v>
      </c>
      <c r="P268" s="467">
        <f t="shared" si="25"/>
        <v>0</v>
      </c>
      <c r="Q268" s="96"/>
      <c r="R268" s="140"/>
    </row>
    <row r="269" spans="1:18" ht="15.75" customHeight="1" thickBot="1">
      <c r="A269" s="142" t="s">
        <v>264</v>
      </c>
      <c r="B269" s="95"/>
      <c r="C269" s="205"/>
      <c r="D269" s="98"/>
      <c r="E269" s="355"/>
      <c r="F269" s="358"/>
      <c r="G269" s="358"/>
      <c r="H269" s="358"/>
      <c r="I269" s="358"/>
      <c r="J269" s="355"/>
      <c r="K269" s="355"/>
      <c r="L269" s="355"/>
      <c r="M269" s="355"/>
      <c r="N269" s="355"/>
      <c r="O269" s="355"/>
      <c r="P269" s="465"/>
      <c r="Q269" s="96"/>
    </row>
    <row r="270" spans="1:18" ht="15.75" customHeight="1" thickBot="1">
      <c r="B270" s="85" t="s">
        <v>167</v>
      </c>
      <c r="C270" s="284" t="str">
        <f>VLOOKUP(B270,NodeList!$D$5:$E$73,2,FALSE)</f>
        <v>Confluence Yellow Creek / Bear River</v>
      </c>
      <c r="D270" s="91"/>
      <c r="E270" s="450"/>
      <c r="F270" s="451"/>
      <c r="G270" s="452"/>
      <c r="H270" s="453" t="s">
        <v>54</v>
      </c>
      <c r="I270" s="68">
        <v>40</v>
      </c>
      <c r="J270" s="454"/>
      <c r="K270" s="454"/>
      <c r="L270" s="454"/>
      <c r="M270" s="454"/>
      <c r="N270" s="454"/>
      <c r="O270" s="454"/>
      <c r="P270" s="455"/>
      <c r="Q270" s="96"/>
    </row>
    <row r="271" spans="1:18" ht="15.75" customHeight="1">
      <c r="B271" s="94"/>
      <c r="C271" s="66" t="s">
        <v>57</v>
      </c>
      <c r="D271" s="69"/>
      <c r="E271" s="456">
        <f>VLOOKUP($B270,'Diversion Data'!$B$3:$O$227,3,FALSE)</f>
        <v>0</v>
      </c>
      <c r="F271" s="456">
        <f>VLOOKUP($B270,'Diversion Data'!$B$3:$O$227,4,FALSE)</f>
        <v>0</v>
      </c>
      <c r="G271" s="456">
        <f>VLOOKUP($B270,'Diversion Data'!$B$3:$O$227,5,FALSE)</f>
        <v>0</v>
      </c>
      <c r="H271" s="456">
        <f>VLOOKUP($B270,'Diversion Data'!$B$3:$O$227,6,FALSE)</f>
        <v>0</v>
      </c>
      <c r="I271" s="456">
        <f>VLOOKUP($B270,'Diversion Data'!$B$3:$O$227,7,FALSE)</f>
        <v>0</v>
      </c>
      <c r="J271" s="456">
        <f>VLOOKUP($B270,'Diversion Data'!$B$3:$O$227,8,FALSE)</f>
        <v>0</v>
      </c>
      <c r="K271" s="456">
        <f>VLOOKUP($B270,'Diversion Data'!$B$3:$O$227,9,FALSE)</f>
        <v>0</v>
      </c>
      <c r="L271" s="456">
        <f>VLOOKUP($B270,'Diversion Data'!$B$3:$O$227,10,FALSE)</f>
        <v>0</v>
      </c>
      <c r="M271" s="456">
        <f>VLOOKUP($B270,'Diversion Data'!$B$3:$O$227,11,FALSE)</f>
        <v>0</v>
      </c>
      <c r="N271" s="456">
        <f>VLOOKUP($B270,'Diversion Data'!$B$3:$O$227,12,FALSE)</f>
        <v>0</v>
      </c>
      <c r="O271" s="456">
        <f>VLOOKUP($B270,'Diversion Data'!$B$3:$O$227,13,FALSE)</f>
        <v>0</v>
      </c>
      <c r="P271" s="457">
        <f>VLOOKUP($B270,'Diversion Data'!$B$3:$O$227,14,FALSE)</f>
        <v>0</v>
      </c>
      <c r="Q271" s="96"/>
    </row>
    <row r="272" spans="1:18" ht="15.75" customHeight="1">
      <c r="B272" s="95"/>
      <c r="C272" s="72" t="s">
        <v>56</v>
      </c>
      <c r="D272" s="70"/>
      <c r="E272" s="458">
        <f>VLOOKUP($I270,'Option Tables'!$B$3:$N$19,2,FALSE)*E271</f>
        <v>0</v>
      </c>
      <c r="F272" s="458">
        <f>VLOOKUP($I270,'Option Tables'!$B$3:$N$19,3,FALSE)*F271</f>
        <v>0</v>
      </c>
      <c r="G272" s="458">
        <f>VLOOKUP($I270,'Option Tables'!$B$3:$N$19,4,FALSE)*G271</f>
        <v>0</v>
      </c>
      <c r="H272" s="458">
        <f>VLOOKUP($I270,'Option Tables'!$B$3:$N$19,5,FALSE)*H271</f>
        <v>0</v>
      </c>
      <c r="I272" s="458">
        <f>VLOOKUP($I270,'Option Tables'!$B$3:$N$19,6,FALSE)*I271</f>
        <v>0</v>
      </c>
      <c r="J272" s="458">
        <f>VLOOKUP($I270,'Option Tables'!$B$3:$N$19,7,FALSE)*J271</f>
        <v>0</v>
      </c>
      <c r="K272" s="458">
        <f>VLOOKUP($I270,'Option Tables'!$B$3:$N$19,8,FALSE)*K271</f>
        <v>0</v>
      </c>
      <c r="L272" s="458">
        <f>VLOOKUP($I270,'Option Tables'!$B$3:$N$19,9,FALSE)*L271</f>
        <v>0</v>
      </c>
      <c r="M272" s="458">
        <f>VLOOKUP($I270,'Option Tables'!$B$3:$N$19,10,FALSE)*M271</f>
        <v>0</v>
      </c>
      <c r="N272" s="458">
        <f>VLOOKUP($I270,'Option Tables'!$B$3:$N$19,11,FALSE)*N271</f>
        <v>0</v>
      </c>
      <c r="O272" s="458">
        <f>VLOOKUP($I270,'Option Tables'!$B$3:$N$19,12,FALSE)*O271</f>
        <v>0</v>
      </c>
      <c r="P272" s="459">
        <f>VLOOKUP($I270,'Option Tables'!$B$3:$N$19,13,FALSE)*P271</f>
        <v>0</v>
      </c>
      <c r="Q272" s="96"/>
    </row>
    <row r="273" spans="1:18" ht="15.75" customHeight="1" thickBot="1">
      <c r="B273" s="95"/>
      <c r="C273" s="66"/>
      <c r="D273" s="62"/>
      <c r="E273" s="355"/>
      <c r="F273" s="355"/>
      <c r="G273" s="355"/>
      <c r="H273" s="355"/>
      <c r="I273" s="355"/>
      <c r="J273" s="355"/>
      <c r="K273" s="355"/>
      <c r="L273" s="355"/>
      <c r="M273" s="460"/>
      <c r="N273" s="460"/>
      <c r="O273" s="460"/>
      <c r="P273" s="461"/>
      <c r="Q273" s="96"/>
    </row>
    <row r="274" spans="1:18" ht="15.75" customHeight="1" thickBot="1">
      <c r="B274" s="254" t="s">
        <v>73</v>
      </c>
      <c r="C274" s="105" t="s">
        <v>73</v>
      </c>
      <c r="D274" s="105" t="s">
        <v>74</v>
      </c>
      <c r="E274" s="462"/>
      <c r="F274" s="463"/>
      <c r="G274" s="464"/>
      <c r="H274" s="464" t="s">
        <v>55</v>
      </c>
      <c r="I274" s="68">
        <v>2</v>
      </c>
      <c r="J274" s="460"/>
      <c r="K274" s="460"/>
      <c r="L274" s="460"/>
      <c r="M274" s="460"/>
      <c r="N274" s="460"/>
      <c r="O274" s="460"/>
      <c r="P274" s="461"/>
      <c r="Q274" s="96"/>
    </row>
    <row r="275" spans="1:18" ht="15.75" customHeight="1">
      <c r="B275" s="255" t="e">
        <f>"("&amp;VLOOKUP(C275,NodeList!$D$5:$E$68,2,FALSE)&amp;")"</f>
        <v>#N/A</v>
      </c>
      <c r="C275" s="256"/>
      <c r="D275" s="388">
        <v>1</v>
      </c>
      <c r="E275" s="355">
        <f>$D275*((E272*(VLOOKUP(I274,'Option Tables'!$B$23:$F$26,2)))+(P272*(VLOOKUP(I274,'Option Tables'!$B$23:$F$26,3)))+(O272*(VLOOKUP(I274,'Option Tables'!$B$23:$F$26,4))+(N272*(VLOOKUP(I274,'Option Tables'!$B$23:$F$26,5)))))</f>
        <v>0</v>
      </c>
      <c r="F275" s="355">
        <f>$D275*((F272*(VLOOKUP(I274,'Option Tables'!$B$23:$F$26,2)))+(E272*(VLOOKUP(I274,'Option Tables'!$B$23:$F$26,3)))+(P272*(VLOOKUP(I274,'Option Tables'!$B$23:$F$26,4))+(O272*(VLOOKUP(I274,'Option Tables'!$B$23:$F$26,5)))))</f>
        <v>0</v>
      </c>
      <c r="G275" s="355">
        <f>$D275*((G272*(VLOOKUP(I274,'Option Tables'!$B$23:$F$26,2)))+(F272*(VLOOKUP(I274,'Option Tables'!$B$23:$F$26,3)))+(E272*(VLOOKUP(I274,'Option Tables'!$B$23:$F$26,4))+(P272*(VLOOKUP(I274,'Option Tables'!$B$23:$F$26,5)))))</f>
        <v>0</v>
      </c>
      <c r="H275" s="355">
        <f>$D275*((H272*(VLOOKUP(I274,'Option Tables'!$B$23:$F$26,2)))+(G272*(VLOOKUP(I274,'Option Tables'!$B$23:$F$26,3)))+(F272*(VLOOKUP(I274,'Option Tables'!$B$23:$F$26,4))+(E272*(VLOOKUP(I274,'Option Tables'!$B$23:$F$26,5)))))</f>
        <v>0</v>
      </c>
      <c r="I275" s="355">
        <f>$D275*((I272*(VLOOKUP(I274,'Option Tables'!$B$23:$F$26,2)))+(H272*(VLOOKUP(I274,'Option Tables'!$B$23:$F$26,3)))+(G272*(VLOOKUP(I274,'Option Tables'!$B$23:$F$26,4))+(F272*(VLOOKUP(I274,'Option Tables'!$B$23:$F$26,5)))))</f>
        <v>0</v>
      </c>
      <c r="J275" s="355">
        <f>$D275*((J272*(VLOOKUP(I274,'Option Tables'!$B$23:$F$26,2)))+(I272*(VLOOKUP(I274,'Option Tables'!$B$23:$F$26,3)))+(H272*(VLOOKUP(I274,'Option Tables'!$B$23:$F$26,4))+(G272*(VLOOKUP(I274,'Option Tables'!$B$23:$F$26,5)))))</f>
        <v>0</v>
      </c>
      <c r="K275" s="355">
        <f>$D275*((K272*(VLOOKUP(I274,'Option Tables'!$B$23:$F$26,2)))+(J272*(VLOOKUP(I274,'Option Tables'!$B$23:$F$26,3)))+(I272*(VLOOKUP(I274,'Option Tables'!$B$23:$F$26,4))+(H272*(VLOOKUP(I274,'Option Tables'!$B$23:$F$26,5)))))</f>
        <v>0</v>
      </c>
      <c r="L275" s="355">
        <f>$D275*((L272*(VLOOKUP(I274,'Option Tables'!$B$23:$F$26,2)))+(K272*(VLOOKUP(I274,'Option Tables'!$B$23:$F$26,3)))+(J272*(VLOOKUP(I274,'Option Tables'!$B$23:$F$26,4))+(I272*(VLOOKUP(I274,'Option Tables'!$B$23:$F$26,5)))))</f>
        <v>0</v>
      </c>
      <c r="M275" s="355">
        <f>$D275*((M272*(VLOOKUP(I274,'Option Tables'!$B$23:$F$26,2)))+(L272*(VLOOKUP(I274,'Option Tables'!$B$23:$F$26,3)))+(K272*(VLOOKUP(I274,'Option Tables'!$B$23:$F$26,4))+(J272*(VLOOKUP(I274,'Option Tables'!$B$23:$F$26,5)))))</f>
        <v>0</v>
      </c>
      <c r="N275" s="355">
        <f>$D275*((N272*(VLOOKUP(I274,'Option Tables'!$B$23:$F$26,2)))+(M272*(VLOOKUP(I274,'Option Tables'!$B$23:$F$26,3)))+(L272*(VLOOKUP(I274,'Option Tables'!$B$23:$F$26,4))+(K272*(VLOOKUP(I274,'Option Tables'!$B$23:$F$26,5)))))</f>
        <v>0</v>
      </c>
      <c r="O275" s="355">
        <f>$D275*((O272*(VLOOKUP(I274,'Option Tables'!$B$23:$F$26,2)))+(N272*(VLOOKUP(I274,'Option Tables'!$B$23:$F$26,3)))+(M272*(VLOOKUP(I274,'Option Tables'!$B$23:$F$26,4))+(L272*(VLOOKUP(I274,'Option Tables'!$B$23:$F$26,5)))))</f>
        <v>0</v>
      </c>
      <c r="P275" s="465">
        <f>$D275*((P272*(VLOOKUP(I274,'Option Tables'!$B$23:$F$26,2)))+(O272*(VLOOKUP(I274,'Option Tables'!$B$23:$F$26,3)))+(N272*(VLOOKUP(I274,'Option Tables'!$B$23:$F$26,4))+(M272*(VLOOKUP(I274,'Option Tables'!$B$23:$F$26,5)))))</f>
        <v>0</v>
      </c>
      <c r="Q275" s="96"/>
    </row>
    <row r="276" spans="1:18" ht="15.75" customHeight="1">
      <c r="B276" s="255"/>
      <c r="C276" s="256"/>
      <c r="D276" s="388">
        <v>0</v>
      </c>
      <c r="E276" s="355">
        <f>$D276*((E272*(VLOOKUP(I274,'Option Tables'!$B$23:$F$26,2)))+(P272*(VLOOKUP(I274,'Option Tables'!$B$23:$F$26,3)))+(O272*(VLOOKUP(I274,'Option Tables'!$B$23:$F$26,4))+(N272*(VLOOKUP(I274,'Option Tables'!$B$23:$F$26,5)))))</f>
        <v>0</v>
      </c>
      <c r="F276" s="355">
        <f>$D276*((F272*(VLOOKUP(I274,'Option Tables'!$B$23:$F$26,2)))+(E272*(VLOOKUP(I274,'Option Tables'!$B$23:$F$26,3)))+(P272*(VLOOKUP(I274,'Option Tables'!$B$23:$F$26,4))+(O272*(VLOOKUP(I274,'Option Tables'!$B$23:$F$26,5)))))</f>
        <v>0</v>
      </c>
      <c r="G276" s="355">
        <f>$D276*((G272*(VLOOKUP(I274,'Option Tables'!$B$23:$F$26,2)))+(F272*(VLOOKUP(I274,'Option Tables'!$B$23:$F$26,3)))+(E272*(VLOOKUP(I274,'Option Tables'!$B$23:$F$26,4))+(P272*(VLOOKUP(I274,'Option Tables'!$B$23:$F$26,5)))))</f>
        <v>0</v>
      </c>
      <c r="H276" s="355">
        <f>$D276*((H272*(VLOOKUP(I274,'Option Tables'!$B$23:$F$26,2)))+(G272*(VLOOKUP(I274,'Option Tables'!$B$23:$F$26,3)))+(F272*(VLOOKUP(I274,'Option Tables'!$B$23:$F$26,4))+(E272*(VLOOKUP(I274,'Option Tables'!$B$23:$F$26,5)))))</f>
        <v>0</v>
      </c>
      <c r="I276" s="355">
        <f>$D276*((I272*(VLOOKUP(I274,'Option Tables'!$B$23:$F$26,2)))+(H272*(VLOOKUP(I274,'Option Tables'!$B$23:$F$26,3)))+(G272*(VLOOKUP(I274,'Option Tables'!$B$23:$F$26,4))+(F272*(VLOOKUP(I274,'Option Tables'!$B$23:$F$26,5)))))</f>
        <v>0</v>
      </c>
      <c r="J276" s="355">
        <f>$D276*((J272*(VLOOKUP(I274,'Option Tables'!$B$23:$F$26,2)))+(I272*(VLOOKUP(I274,'Option Tables'!$B$23:$F$26,3)))+(H272*(VLOOKUP(I274,'Option Tables'!$B$23:$F$26,4))+(G272*(VLOOKUP(I274,'Option Tables'!$B$23:$F$26,5)))))</f>
        <v>0</v>
      </c>
      <c r="K276" s="355">
        <f>$D276*((K272*(VLOOKUP(I274,'Option Tables'!$B$23:$F$26,2)))+(J272*(VLOOKUP(I274,'Option Tables'!$B$23:$F$26,3)))+(I272*(VLOOKUP(I274,'Option Tables'!$B$23:$F$26,4))+(H272*(VLOOKUP(I274,'Option Tables'!$B$23:$F$26,5)))))</f>
        <v>0</v>
      </c>
      <c r="L276" s="355">
        <f>$D276*((L272*(VLOOKUP(I274,'Option Tables'!$B$23:$F$26,2)))+(K272*(VLOOKUP(I274,'Option Tables'!$B$23:$F$26,3)))+(J272*(VLOOKUP(I274,'Option Tables'!$B$23:$F$26,4))+(I272*(VLOOKUP(I274,'Option Tables'!$B$23:$F$26,5)))))</f>
        <v>0</v>
      </c>
      <c r="M276" s="355">
        <f>$D276*((M272*(VLOOKUP(I274,'Option Tables'!$B$23:$F$26,2)))+(L272*(VLOOKUP(I274,'Option Tables'!$B$23:$F$26,3)))+(K272*(VLOOKUP(I274,'Option Tables'!$B$23:$F$26,4))+(J272*(VLOOKUP(I274,'Option Tables'!$B$23:$F$26,5)))))</f>
        <v>0</v>
      </c>
      <c r="N276" s="355">
        <f>$D276*((N272*(VLOOKUP(I274,'Option Tables'!$B$23:$F$26,2)))+(M272*(VLOOKUP(I274,'Option Tables'!$B$23:$F$26,3)))+(L272*(VLOOKUP(I274,'Option Tables'!$B$23:$F$26,4))+(K272*(VLOOKUP(I274,'Option Tables'!$B$23:$F$26,5)))))</f>
        <v>0</v>
      </c>
      <c r="O276" s="355">
        <f>$D276*((O272*(VLOOKUP(I274,'Option Tables'!$B$23:$F$26,2)))+(N272*(VLOOKUP(I274,'Option Tables'!$B$23:$F$26,3)))+(M272*(VLOOKUP(I274,'Option Tables'!$B$23:$F$26,4))+(L272*(VLOOKUP(I274,'Option Tables'!$B$23:$F$26,5)))))</f>
        <v>0</v>
      </c>
      <c r="P276" s="465">
        <f>$D276*((P272*(VLOOKUP(I274,'Option Tables'!$B$23:$F$26,2)))+(O272*(VLOOKUP(I274,'Option Tables'!$B$23:$F$26,3)))+(N272*(VLOOKUP(I274,'Option Tables'!$B$23:$F$26,4))+(M272*(VLOOKUP(I274,'Option Tables'!$B$23:$F$26,5)))))</f>
        <v>0</v>
      </c>
      <c r="Q276" s="96"/>
    </row>
    <row r="277" spans="1:18" ht="15.75" customHeight="1">
      <c r="B277" s="95"/>
      <c r="C277" s="256"/>
      <c r="D277" s="388">
        <v>0</v>
      </c>
      <c r="E277" s="355">
        <f>$D277*((E272*(VLOOKUP(I274,'Option Tables'!$B$23:$F$26,2)))+(P272*(VLOOKUP(I274,'Option Tables'!$B$23:$F$26,3)))+(O272*(VLOOKUP(I274,'Option Tables'!$B$23:$F$26,4))+(N272*(VLOOKUP(I274,'Option Tables'!$B$23:$F$26,5)))))</f>
        <v>0</v>
      </c>
      <c r="F277" s="355">
        <f>$D277*((F272*(VLOOKUP(I274,'Option Tables'!$B$23:$F$26,2)))+(E272*(VLOOKUP(I274,'Option Tables'!$B$23:$F$26,3)))+(P272*(VLOOKUP(I274,'Option Tables'!$B$23:$F$26,4))+(O272*(VLOOKUP(I274,'Option Tables'!$B$23:$F$26,5)))))</f>
        <v>0</v>
      </c>
      <c r="G277" s="355">
        <f>$D277*((G272*(VLOOKUP(I274,'Option Tables'!$B$23:$F$26,2)))+(F272*(VLOOKUP(I274,'Option Tables'!$B$23:$F$26,3)))+(E272*(VLOOKUP(I274,'Option Tables'!$B$23:$F$26,4))+(P272*(VLOOKUP(I274,'Option Tables'!$B$23:$F$26,5)))))</f>
        <v>0</v>
      </c>
      <c r="H277" s="355">
        <f>$D277*((H272*(VLOOKUP(I274,'Option Tables'!$B$23:$F$26,2)))+(G272*(VLOOKUP(I274,'Option Tables'!$B$23:$F$26,3)))+(F272*(VLOOKUP(I274,'Option Tables'!$B$23:$F$26,4))+(E272*(VLOOKUP(I274,'Option Tables'!$B$23:$F$26,5)))))</f>
        <v>0</v>
      </c>
      <c r="I277" s="355">
        <f>$D277*((I272*(VLOOKUP(I274,'Option Tables'!$B$23:$F$26,2)))+(H272*(VLOOKUP(I274,'Option Tables'!$B$23:$F$26,3)))+(G272*(VLOOKUP(I274,'Option Tables'!$B$23:$F$26,4))+(F272*(VLOOKUP(I274,'Option Tables'!$B$23:$F$26,5)))))</f>
        <v>0</v>
      </c>
      <c r="J277" s="355">
        <f>$D277*((J272*(VLOOKUP(I274,'Option Tables'!$B$23:$F$26,2)))+(I272*(VLOOKUP(I274,'Option Tables'!$B$23:$F$26,3)))+(H272*(VLOOKUP(I274,'Option Tables'!$B$23:$F$26,4))+(G272*(VLOOKUP(I274,'Option Tables'!$B$23:$F$26,5)))))</f>
        <v>0</v>
      </c>
      <c r="K277" s="355">
        <f>$D277*((K272*(VLOOKUP(I274,'Option Tables'!$B$23:$F$26,2)))+(J272*(VLOOKUP(I274,'Option Tables'!$B$23:$F$26,3)))+(I272*(VLOOKUP(I274,'Option Tables'!$B$23:$F$26,4))+(H272*(VLOOKUP(I274,'Option Tables'!$B$23:$F$26,5)))))</f>
        <v>0</v>
      </c>
      <c r="L277" s="355">
        <f>$D277*((L272*(VLOOKUP(I274,'Option Tables'!$B$23:$F$26,2)))+(K272*(VLOOKUP(I274,'Option Tables'!$B$23:$F$26,3)))+(J272*(VLOOKUP(I274,'Option Tables'!$B$23:$F$26,4))+(I272*(VLOOKUP(I274,'Option Tables'!$B$23:$F$26,5)))))</f>
        <v>0</v>
      </c>
      <c r="M277" s="355">
        <f>$D277*((M272*(VLOOKUP(I274,'Option Tables'!$B$23:$F$26,2)))+(L272*(VLOOKUP(I274,'Option Tables'!$B$23:$F$26,3)))+(K272*(VLOOKUP(I274,'Option Tables'!$B$23:$F$26,4))+(J272*(VLOOKUP(I274,'Option Tables'!$B$23:$F$26,5)))))</f>
        <v>0</v>
      </c>
      <c r="N277" s="355">
        <f>$D277*((N272*(VLOOKUP(I274,'Option Tables'!$B$23:$F$26,2)))+(M272*(VLOOKUP(I274,'Option Tables'!$B$23:$F$26,3)))+(L272*(VLOOKUP(I274,'Option Tables'!$B$23:$F$26,4))+(K272*(VLOOKUP(I274,'Option Tables'!$B$23:$F$26,5)))))</f>
        <v>0</v>
      </c>
      <c r="O277" s="355">
        <f>$D277*((O272*(VLOOKUP(I274,'Option Tables'!$B$23:$F$26,2)))+(N272*(VLOOKUP(I274,'Option Tables'!$B$23:$F$26,3)))+(M272*(VLOOKUP(I274,'Option Tables'!$B$23:$F$26,4))+(L272*(VLOOKUP(I274,'Option Tables'!$B$23:$F$26,5)))))</f>
        <v>0</v>
      </c>
      <c r="P277" s="465">
        <f>$D277*((P272*(VLOOKUP(I274,'Option Tables'!$B$23:$F$26,2)))+(O272*(VLOOKUP(I274,'Option Tables'!$B$23:$F$26,3)))+(N272*(VLOOKUP(I274,'Option Tables'!$B$23:$F$26,4))+(M272*(VLOOKUP(I274,'Option Tables'!$B$23:$F$26,5)))))</f>
        <v>0</v>
      </c>
      <c r="Q277" s="96"/>
    </row>
    <row r="278" spans="1:18" ht="15.75" customHeight="1">
      <c r="B278" s="95"/>
      <c r="C278" s="256"/>
      <c r="D278" s="388">
        <v>0</v>
      </c>
      <c r="E278" s="355">
        <f>$D278*((E272*(VLOOKUP(I274,'Option Tables'!$B$23:$F$26,2)))+(P272*(VLOOKUP(I274,'Option Tables'!$B$23:$F$26,3)))+(O272*(VLOOKUP(I274,'Option Tables'!$B$23:$F$26,4))+(N272*(VLOOKUP(I274,'Option Tables'!$B$23:$F$26,5)))))</f>
        <v>0</v>
      </c>
      <c r="F278" s="355">
        <f>$D278*((F272*(VLOOKUP(I274,'Option Tables'!$B$23:$F$26,2)))+(E272*(VLOOKUP(I274,'Option Tables'!$B$23:$F$26,3)))+(P272*(VLOOKUP(I274,'Option Tables'!$B$23:$F$26,4))+(O272*(VLOOKUP(I274,'Option Tables'!$B$23:$F$26,5)))))</f>
        <v>0</v>
      </c>
      <c r="G278" s="355">
        <f>$D278*((G272*(VLOOKUP(I274,'Option Tables'!$B$23:$F$26,2)))+(F272*(VLOOKUP(I274,'Option Tables'!$B$23:$F$26,3)))+(E272*(VLOOKUP(I274,'Option Tables'!$B$23:$F$26,4))+(P272*(VLOOKUP(I274,'Option Tables'!$B$23:$F$26,5)))))</f>
        <v>0</v>
      </c>
      <c r="H278" s="355">
        <f>$D278*((H272*(VLOOKUP(I274,'Option Tables'!$B$23:$F$26,2)))+(G272*(VLOOKUP(I274,'Option Tables'!$B$23:$F$26,3)))+(F272*(VLOOKUP(I274,'Option Tables'!$B$23:$F$26,4))+(E272*(VLOOKUP(I274,'Option Tables'!$B$23:$F$26,5)))))</f>
        <v>0</v>
      </c>
      <c r="I278" s="355">
        <f>$D278*((I272*(VLOOKUP(I274,'Option Tables'!$B$23:$F$26,2)))+(H272*(VLOOKUP(I274,'Option Tables'!$B$23:$F$26,3)))+(G272*(VLOOKUP(I274,'Option Tables'!$B$23:$F$26,4))+(F272*(VLOOKUP(I274,'Option Tables'!$B$23:$F$26,5)))))</f>
        <v>0</v>
      </c>
      <c r="J278" s="355">
        <f>$D278*((J272*(VLOOKUP(I274,'Option Tables'!$B$23:$F$26,2)))+(I272*(VLOOKUP(I274,'Option Tables'!$B$23:$F$26,3)))+(H272*(VLOOKUP(I274,'Option Tables'!$B$23:$F$26,4))+(G272*(VLOOKUP(I274,'Option Tables'!$B$23:$F$26,5)))))</f>
        <v>0</v>
      </c>
      <c r="K278" s="355">
        <f>$D278*((K272*(VLOOKUP(I274,'Option Tables'!$B$23:$F$26,2)))+(J272*(VLOOKUP(I274,'Option Tables'!$B$23:$F$26,3)))+(I272*(VLOOKUP(I274,'Option Tables'!$B$23:$F$26,4))+(H272*(VLOOKUP(I274,'Option Tables'!$B$23:$F$26,5)))))</f>
        <v>0</v>
      </c>
      <c r="L278" s="355">
        <f>$D278*((L272*(VLOOKUP(I274,'Option Tables'!$B$23:$F$26,2)))+(K272*(VLOOKUP(I274,'Option Tables'!$B$23:$F$26,3)))+(J272*(VLOOKUP(I274,'Option Tables'!$B$23:$F$26,4))+(I272*(VLOOKUP(I274,'Option Tables'!$B$23:$F$26,5)))))</f>
        <v>0</v>
      </c>
      <c r="M278" s="355">
        <f>$D278*((M272*(VLOOKUP(I274,'Option Tables'!$B$23:$F$26,2)))+(L272*(VLOOKUP(I274,'Option Tables'!$B$23:$F$26,3)))+(K272*(VLOOKUP(I274,'Option Tables'!$B$23:$F$26,4))+(J272*(VLOOKUP(I274,'Option Tables'!$B$23:$F$26,5)))))</f>
        <v>0</v>
      </c>
      <c r="N278" s="355">
        <f>$D278*((N272*(VLOOKUP(I274,'Option Tables'!$B$23:$F$26,2)))+(M272*(VLOOKUP(I274,'Option Tables'!$B$23:$F$26,3)))+(L272*(VLOOKUP(I274,'Option Tables'!$B$23:$F$26,4))+(K272*(VLOOKUP(I274,'Option Tables'!$B$23:$F$26,5)))))</f>
        <v>0</v>
      </c>
      <c r="O278" s="355">
        <f>$D278*((O272*(VLOOKUP(I274,'Option Tables'!$B$23:$F$26,2)))+(N272*(VLOOKUP(I274,'Option Tables'!$B$23:$F$26,3)))+(M272*(VLOOKUP(I274,'Option Tables'!$B$23:$F$26,4))+(L272*(VLOOKUP(I274,'Option Tables'!$B$23:$F$26,5)))))</f>
        <v>0</v>
      </c>
      <c r="P278" s="465">
        <f>$D278*((P272*(VLOOKUP(I274,'Option Tables'!$B$23:$F$26,2)))+(O272*(VLOOKUP(I274,'Option Tables'!$B$23:$F$26,3)))+(N272*(VLOOKUP(I274,'Option Tables'!$B$23:$F$26,4))+(M272*(VLOOKUP(I274,'Option Tables'!$B$23:$F$26,5)))))</f>
        <v>0</v>
      </c>
      <c r="Q278" s="96"/>
    </row>
    <row r="279" spans="1:18" ht="15.75" customHeight="1" thickBot="1">
      <c r="B279" s="97"/>
      <c r="C279" s="144" t="str">
        <f>IF(D279&lt;&gt;1,"Must equal %100","")</f>
        <v/>
      </c>
      <c r="D279" s="71">
        <f t="shared" ref="D279:P279" si="26">SUM(D275:D278)</f>
        <v>1</v>
      </c>
      <c r="E279" s="466">
        <f t="shared" si="26"/>
        <v>0</v>
      </c>
      <c r="F279" s="466">
        <f t="shared" si="26"/>
        <v>0</v>
      </c>
      <c r="G279" s="466">
        <f t="shared" si="26"/>
        <v>0</v>
      </c>
      <c r="H279" s="466">
        <f t="shared" si="26"/>
        <v>0</v>
      </c>
      <c r="I279" s="466">
        <f t="shared" si="26"/>
        <v>0</v>
      </c>
      <c r="J279" s="466">
        <f t="shared" si="26"/>
        <v>0</v>
      </c>
      <c r="K279" s="466">
        <f t="shared" si="26"/>
        <v>0</v>
      </c>
      <c r="L279" s="466">
        <f t="shared" si="26"/>
        <v>0</v>
      </c>
      <c r="M279" s="466">
        <f t="shared" si="26"/>
        <v>0</v>
      </c>
      <c r="N279" s="466">
        <f t="shared" si="26"/>
        <v>0</v>
      </c>
      <c r="O279" s="466">
        <f t="shared" si="26"/>
        <v>0</v>
      </c>
      <c r="P279" s="467">
        <f t="shared" si="26"/>
        <v>0</v>
      </c>
      <c r="Q279" s="96"/>
      <c r="R279" s="140"/>
    </row>
    <row r="280" spans="1:18" ht="15.75" customHeight="1" thickBot="1">
      <c r="A280" s="172"/>
      <c r="B280" s="85" t="s">
        <v>134</v>
      </c>
      <c r="C280" s="257" t="str">
        <f>VLOOKUP(B280,NodeList!$D$5:$E$73,2,FALSE)</f>
        <v>Chapman Canal</v>
      </c>
      <c r="D280" s="91"/>
      <c r="E280" s="450"/>
      <c r="F280" s="451"/>
      <c r="G280" s="452"/>
      <c r="H280" s="453" t="s">
        <v>54</v>
      </c>
      <c r="I280" s="68">
        <v>27</v>
      </c>
      <c r="J280" s="454"/>
      <c r="K280" s="454"/>
      <c r="L280" s="454"/>
      <c r="M280" s="454"/>
      <c r="N280" s="454"/>
      <c r="O280" s="454"/>
      <c r="P280" s="455"/>
      <c r="Q280" s="96"/>
    </row>
    <row r="281" spans="1:18" ht="15.75" customHeight="1">
      <c r="A281" s="172"/>
      <c r="B281" s="678"/>
      <c r="C281" s="66" t="s">
        <v>57</v>
      </c>
      <c r="D281" s="69"/>
      <c r="E281" s="456">
        <f>VLOOKUP($B280,'Diversion Data'!$B$3:$O$227,3,FALSE)</f>
        <v>0</v>
      </c>
      <c r="F281" s="456">
        <f>VLOOKUP($B280,'Diversion Data'!$B$3:$O$227,4,FALSE)</f>
        <v>0</v>
      </c>
      <c r="G281" s="456">
        <f>VLOOKUP($B280,'Diversion Data'!$B$3:$O$227,5,FALSE)</f>
        <v>0</v>
      </c>
      <c r="H281" s="456">
        <f>VLOOKUP($B280,'Diversion Data'!$B$3:$O$227,6,FALSE)</f>
        <v>0</v>
      </c>
      <c r="I281" s="456">
        <f>VLOOKUP($B280,'Diversion Data'!$B$3:$O$227,7,FALSE)</f>
        <v>3022.4831058057848</v>
      </c>
      <c r="J281" s="456">
        <f>VLOOKUP($B280,'Diversion Data'!$B$3:$O$227,8,FALSE)</f>
        <v>2823.6777423558883</v>
      </c>
      <c r="K281" s="456">
        <f>VLOOKUP($B280,'Diversion Data'!$B$3:$O$227,9,FALSE)</f>
        <v>1468.0009072193698</v>
      </c>
      <c r="L281" s="456">
        <f>VLOOKUP($B280,'Diversion Data'!$B$3:$O$227,10,FALSE)</f>
        <v>392.50756632489669</v>
      </c>
      <c r="M281" s="456">
        <f>VLOOKUP($B280,'Diversion Data'!$B$3:$O$227,11,FALSE)</f>
        <v>338.32462634462809</v>
      </c>
      <c r="N281" s="456">
        <f>VLOOKUP($B280,'Diversion Data'!$B$3:$O$227,12,FALSE)</f>
        <v>0</v>
      </c>
      <c r="O281" s="456">
        <f>VLOOKUP($B280,'Diversion Data'!$B$3:$O$227,13,FALSE)</f>
        <v>0</v>
      </c>
      <c r="P281" s="457">
        <f>VLOOKUP($B280,'Diversion Data'!$B$3:$O$227,14,FALSE)</f>
        <v>0</v>
      </c>
      <c r="Q281" s="96"/>
    </row>
    <row r="282" spans="1:18" ht="15.75" customHeight="1">
      <c r="A282" s="172"/>
      <c r="B282" s="678"/>
      <c r="C282" s="72" t="s">
        <v>56</v>
      </c>
      <c r="D282" s="70"/>
      <c r="E282" s="458">
        <f>VLOOKUP($I280,'Option Tables'!$B$3:$N$19,2,FALSE)*E281</f>
        <v>0</v>
      </c>
      <c r="F282" s="458">
        <f>VLOOKUP($I280,'Option Tables'!$B$3:$N$19,3,FALSE)*F281</f>
        <v>0</v>
      </c>
      <c r="G282" s="458">
        <f>VLOOKUP($I280,'Option Tables'!$B$3:$N$19,4,FALSE)*G281</f>
        <v>0</v>
      </c>
      <c r="H282" s="458">
        <f>VLOOKUP($I280,'Option Tables'!$B$3:$N$19,5,FALSE)*H281</f>
        <v>0</v>
      </c>
      <c r="I282" s="458">
        <f>VLOOKUP($I280,'Option Tables'!$B$3:$N$19,6,FALSE)*I281</f>
        <v>2206.4126672382226</v>
      </c>
      <c r="J282" s="458">
        <f>VLOOKUP($I280,'Option Tables'!$B$3:$N$19,7,FALSE)*J281</f>
        <v>2061.2847519197985</v>
      </c>
      <c r="K282" s="458">
        <f>VLOOKUP($I280,'Option Tables'!$B$3:$N$19,8,FALSE)*K281</f>
        <v>1071.64066227014</v>
      </c>
      <c r="L282" s="458">
        <f>VLOOKUP($I280,'Option Tables'!$B$3:$N$19,9,FALSE)*L281</f>
        <v>286.53052341717455</v>
      </c>
      <c r="M282" s="458">
        <f>VLOOKUP($I280,'Option Tables'!$B$3:$N$19,10,FALSE)*M281</f>
        <v>246.9769772315785</v>
      </c>
      <c r="N282" s="458">
        <f>VLOOKUP($I280,'Option Tables'!$B$3:$N$19,11,FALSE)*N281</f>
        <v>0</v>
      </c>
      <c r="O282" s="458">
        <f>VLOOKUP($I280,'Option Tables'!$B$3:$N$19,12,FALSE)*O281</f>
        <v>0</v>
      </c>
      <c r="P282" s="459">
        <f>VLOOKUP($I280,'Option Tables'!$B$3:$N$19,13,FALSE)*P281</f>
        <v>0</v>
      </c>
      <c r="Q282" s="96"/>
    </row>
    <row r="283" spans="1:18" ht="15.75" customHeight="1" thickBot="1">
      <c r="A283" s="172"/>
      <c r="B283" s="678"/>
      <c r="C283" s="66"/>
      <c r="D283" s="62"/>
      <c r="E283" s="355"/>
      <c r="F283" s="355"/>
      <c r="G283" s="355"/>
      <c r="H283" s="355"/>
      <c r="I283" s="355"/>
      <c r="J283" s="355"/>
      <c r="K283" s="355"/>
      <c r="L283" s="355"/>
      <c r="M283" s="460"/>
      <c r="N283" s="460"/>
      <c r="O283" s="460"/>
      <c r="P283" s="461"/>
      <c r="Q283" s="96"/>
    </row>
    <row r="284" spans="1:18" ht="15.75" customHeight="1" thickBot="1">
      <c r="A284" s="172"/>
      <c r="B284" s="254" t="s">
        <v>73</v>
      </c>
      <c r="C284" s="105" t="s">
        <v>73</v>
      </c>
      <c r="D284" s="105" t="s">
        <v>74</v>
      </c>
      <c r="E284" s="462"/>
      <c r="F284" s="463"/>
      <c r="G284" s="464"/>
      <c r="H284" s="464" t="s">
        <v>55</v>
      </c>
      <c r="I284" s="68">
        <v>2</v>
      </c>
      <c r="J284" s="460"/>
      <c r="K284" s="460"/>
      <c r="L284" s="460"/>
      <c r="M284" s="460"/>
      <c r="N284" s="460"/>
      <c r="O284" s="460"/>
      <c r="P284" s="461"/>
      <c r="Q284" s="96"/>
    </row>
    <row r="285" spans="1:18" ht="15.75" customHeight="1">
      <c r="A285" s="172"/>
      <c r="B285" s="255" t="str">
        <f>"("&amp;VLOOKUP(C285,NodeList!$D$5:$E$68,2,FALSE)&amp;")"</f>
        <v>(AggDiv BR-3)</v>
      </c>
      <c r="C285" s="256" t="s">
        <v>155</v>
      </c>
      <c r="D285" s="388">
        <v>1</v>
      </c>
      <c r="E285" s="355">
        <f>$D285*((E282*(VLOOKUP(I284,'Option Tables'!$B$23:$F$26,2)))+(P282*(VLOOKUP(I284,'Option Tables'!$B$23:$F$26,3)))+(O282*(VLOOKUP(I284,'Option Tables'!$B$23:$F$26,4))+(N282*(VLOOKUP(I284,'Option Tables'!$B$23:$F$26,5)))))</f>
        <v>0</v>
      </c>
      <c r="F285" s="355">
        <f>$D285*((F282*(VLOOKUP(I284,'Option Tables'!$B$23:$F$26,2)))+(E282*(VLOOKUP(I284,'Option Tables'!$B$23:$F$26,3)))+(P282*(VLOOKUP(I284,'Option Tables'!$B$23:$F$26,4))+(O282*(VLOOKUP(I284,'Option Tables'!$B$23:$F$26,5)))))</f>
        <v>0</v>
      </c>
      <c r="G285" s="355">
        <f>$D285*((G282*(VLOOKUP(I284,'Option Tables'!$B$23:$F$26,2)))+(F282*(VLOOKUP(I284,'Option Tables'!$B$23:$F$26,3)))+(E282*(VLOOKUP(I284,'Option Tables'!$B$23:$F$26,4))+(P282*(VLOOKUP(I284,'Option Tables'!$B$23:$F$26,5)))))</f>
        <v>0</v>
      </c>
      <c r="H285" s="355">
        <f>$D285*((H282*(VLOOKUP(I284,'Option Tables'!$B$23:$F$26,2)))+(G282*(VLOOKUP(I284,'Option Tables'!$B$23:$F$26,3)))+(F282*(VLOOKUP(I284,'Option Tables'!$B$23:$F$26,4))+(E282*(VLOOKUP(I284,'Option Tables'!$B$23:$F$26,5)))))</f>
        <v>0</v>
      </c>
      <c r="I285" s="355">
        <f>$D285*((I282*(VLOOKUP(I284,'Option Tables'!$B$23:$F$26,2)))+(H282*(VLOOKUP(I284,'Option Tables'!$B$23:$F$26,3)))+(G282*(VLOOKUP(I284,'Option Tables'!$B$23:$F$26,4))+(F282*(VLOOKUP(I284,'Option Tables'!$B$23:$F$26,5)))))</f>
        <v>1544.4888670667558</v>
      </c>
      <c r="J285" s="355">
        <f>$D285*((J282*(VLOOKUP(I284,'Option Tables'!$B$23:$F$26,2)))+(I282*(VLOOKUP(I284,'Option Tables'!$B$23:$F$26,3)))+(H282*(VLOOKUP(I284,'Option Tables'!$B$23:$F$26,4))+(G282*(VLOOKUP(I284,'Option Tables'!$B$23:$F$26,5)))))</f>
        <v>1884.1818597915033</v>
      </c>
      <c r="K285" s="355">
        <f>$D285*((K282*(VLOOKUP(I284,'Option Tables'!$B$23:$F$26,2)))+(J282*(VLOOKUP(I284,'Option Tables'!$B$23:$F$26,3)))+(I282*(VLOOKUP(I284,'Option Tables'!$B$23:$F$26,4))+(H282*(VLOOKUP(I284,'Option Tables'!$B$23:$F$26,5)))))</f>
        <v>1383.04668069688</v>
      </c>
      <c r="L285" s="355">
        <f>$D285*((L282*(VLOOKUP(I284,'Option Tables'!$B$23:$F$26,2)))+(K282*(VLOOKUP(I284,'Option Tables'!$B$23:$F$26,3)))+(J282*(VLOOKUP(I284,'Option Tables'!$B$23:$F$26,4))+(I282*(VLOOKUP(I284,'Option Tables'!$B$23:$F$26,5)))))</f>
        <v>621.02797403803004</v>
      </c>
      <c r="M285" s="355">
        <f>$D285*((M282*(VLOOKUP(I284,'Option Tables'!$B$23:$F$26,2)))+(L282*(VLOOKUP(I284,'Option Tables'!$B$23:$F$26,3)))+(K282*(VLOOKUP(I284,'Option Tables'!$B$23:$F$26,4))+(J282*(VLOOKUP(I284,'Option Tables'!$B$23:$F$26,5)))))</f>
        <v>337.35405497255385</v>
      </c>
      <c r="N285" s="355">
        <f>$D285*((N282*(VLOOKUP(I284,'Option Tables'!$B$23:$F$26,2)))+(M282*(VLOOKUP(I284,'Option Tables'!$B$23:$F$26,3)))+(L282*(VLOOKUP(I284,'Option Tables'!$B$23:$F$26,4))+(K282*(VLOOKUP(I284,'Option Tables'!$B$23:$F$26,5)))))</f>
        <v>78.048447788033158</v>
      </c>
      <c r="O285" s="355">
        <f>$D285*((O282*(VLOOKUP(I284,'Option Tables'!$B$23:$F$26,2)))+(N282*(VLOOKUP(I284,'Option Tables'!$B$23:$F$26,3)))+(M282*(VLOOKUP(I284,'Option Tables'!$B$23:$F$26,4))+(L282*(VLOOKUP(I284,'Option Tables'!$B$23:$F$26,5)))))</f>
        <v>24.697697723157852</v>
      </c>
      <c r="P285" s="465">
        <f>$D285*((P282*(VLOOKUP(I284,'Option Tables'!$B$23:$F$26,2)))+(O282*(VLOOKUP(I284,'Option Tables'!$B$23:$F$26,3)))+(N282*(VLOOKUP(I284,'Option Tables'!$B$23:$F$26,4))+(M282*(VLOOKUP(I284,'Option Tables'!$B$23:$F$26,5)))))</f>
        <v>0</v>
      </c>
      <c r="Q285" s="96"/>
    </row>
    <row r="286" spans="1:18" ht="15.75" customHeight="1">
      <c r="A286" s="172"/>
      <c r="B286" s="255"/>
      <c r="C286" s="256"/>
      <c r="D286" s="388">
        <v>0</v>
      </c>
      <c r="E286" s="355">
        <f>$D286*((E282*(VLOOKUP(I284,'Option Tables'!$B$23:$F$26,2)))+(P282*(VLOOKUP(I284,'Option Tables'!$B$23:$F$26,3)))+(O282*(VLOOKUP(I284,'Option Tables'!$B$23:$F$26,4))+(N282*(VLOOKUP(I284,'Option Tables'!$B$23:$F$26,5)))))</f>
        <v>0</v>
      </c>
      <c r="F286" s="355">
        <f>$D286*((F282*(VLOOKUP(I284,'Option Tables'!$B$23:$F$26,2)))+(E282*(VLOOKUP(I284,'Option Tables'!$B$23:$F$26,3)))+(P282*(VLOOKUP(I284,'Option Tables'!$B$23:$F$26,4))+(O282*(VLOOKUP(I284,'Option Tables'!$B$23:$F$26,5)))))</f>
        <v>0</v>
      </c>
      <c r="G286" s="355">
        <f>$D286*((G282*(VLOOKUP(I284,'Option Tables'!$B$23:$F$26,2)))+(F282*(VLOOKUP(I284,'Option Tables'!$B$23:$F$26,3)))+(E282*(VLOOKUP(I284,'Option Tables'!$B$23:$F$26,4))+(P282*(VLOOKUP(I284,'Option Tables'!$B$23:$F$26,5)))))</f>
        <v>0</v>
      </c>
      <c r="H286" s="355">
        <f>$D286*((H282*(VLOOKUP(I284,'Option Tables'!$B$23:$F$26,2)))+(G282*(VLOOKUP(I284,'Option Tables'!$B$23:$F$26,3)))+(F282*(VLOOKUP(I284,'Option Tables'!$B$23:$F$26,4))+(E282*(VLOOKUP(I284,'Option Tables'!$B$23:$F$26,5)))))</f>
        <v>0</v>
      </c>
      <c r="I286" s="355">
        <f>$D286*((I282*(VLOOKUP(I284,'Option Tables'!$B$23:$F$26,2)))+(H282*(VLOOKUP(I284,'Option Tables'!$B$23:$F$26,3)))+(G282*(VLOOKUP(I284,'Option Tables'!$B$23:$F$26,4))+(F282*(VLOOKUP(I284,'Option Tables'!$B$23:$F$26,5)))))</f>
        <v>0</v>
      </c>
      <c r="J286" s="355">
        <f>$D286*((J282*(VLOOKUP(I284,'Option Tables'!$B$23:$F$26,2)))+(I282*(VLOOKUP(I284,'Option Tables'!$B$23:$F$26,3)))+(H282*(VLOOKUP(I284,'Option Tables'!$B$23:$F$26,4))+(G282*(VLOOKUP(I284,'Option Tables'!$B$23:$F$26,5)))))</f>
        <v>0</v>
      </c>
      <c r="K286" s="355">
        <f>$D286*((K282*(VLOOKUP(I284,'Option Tables'!$B$23:$F$26,2)))+(J282*(VLOOKUP(I284,'Option Tables'!$B$23:$F$26,3)))+(I282*(VLOOKUP(I284,'Option Tables'!$B$23:$F$26,4))+(H282*(VLOOKUP(I284,'Option Tables'!$B$23:$F$26,5)))))</f>
        <v>0</v>
      </c>
      <c r="L286" s="355">
        <f>$D286*((L282*(VLOOKUP(I284,'Option Tables'!$B$23:$F$26,2)))+(K282*(VLOOKUP(I284,'Option Tables'!$B$23:$F$26,3)))+(J282*(VLOOKUP(I284,'Option Tables'!$B$23:$F$26,4))+(I282*(VLOOKUP(I284,'Option Tables'!$B$23:$F$26,5)))))</f>
        <v>0</v>
      </c>
      <c r="M286" s="355">
        <f>$D286*((M282*(VLOOKUP(I284,'Option Tables'!$B$23:$F$26,2)))+(L282*(VLOOKUP(I284,'Option Tables'!$B$23:$F$26,3)))+(K282*(VLOOKUP(I284,'Option Tables'!$B$23:$F$26,4))+(J282*(VLOOKUP(I284,'Option Tables'!$B$23:$F$26,5)))))</f>
        <v>0</v>
      </c>
      <c r="N286" s="355">
        <f>$D286*((N282*(VLOOKUP(I284,'Option Tables'!$B$23:$F$26,2)))+(M282*(VLOOKUP(I284,'Option Tables'!$B$23:$F$26,3)))+(L282*(VLOOKUP(I284,'Option Tables'!$B$23:$F$26,4))+(K282*(VLOOKUP(I284,'Option Tables'!$B$23:$F$26,5)))))</f>
        <v>0</v>
      </c>
      <c r="O286" s="355">
        <f>$D286*((O282*(VLOOKUP(I284,'Option Tables'!$B$23:$F$26,2)))+(N282*(VLOOKUP(I284,'Option Tables'!$B$23:$F$26,3)))+(M282*(VLOOKUP(I284,'Option Tables'!$B$23:$F$26,4))+(L282*(VLOOKUP(I284,'Option Tables'!$B$23:$F$26,5)))))</f>
        <v>0</v>
      </c>
      <c r="P286" s="465">
        <f>$D286*((P282*(VLOOKUP(I284,'Option Tables'!$B$23:$F$26,2)))+(O282*(VLOOKUP(I284,'Option Tables'!$B$23:$F$26,3)))+(N282*(VLOOKUP(I284,'Option Tables'!$B$23:$F$26,4))+(M282*(VLOOKUP(I284,'Option Tables'!$B$23:$F$26,5)))))</f>
        <v>0</v>
      </c>
      <c r="Q286" s="96"/>
    </row>
    <row r="287" spans="1:18" ht="15.75" customHeight="1">
      <c r="A287" s="172"/>
      <c r="B287" s="95"/>
      <c r="C287" s="256"/>
      <c r="D287" s="388">
        <v>0</v>
      </c>
      <c r="E287" s="355">
        <f>$D287*((E282*(VLOOKUP(I284,'Option Tables'!$B$23:$F$26,2)))+(P282*(VLOOKUP(I284,'Option Tables'!$B$23:$F$26,3)))+(O282*(VLOOKUP(I284,'Option Tables'!$B$23:$F$26,4))+(N282*(VLOOKUP(I284,'Option Tables'!$B$23:$F$26,5)))))</f>
        <v>0</v>
      </c>
      <c r="F287" s="355">
        <f>$D287*((F282*(VLOOKUP(I284,'Option Tables'!$B$23:$F$26,2)))+(E282*(VLOOKUP(I284,'Option Tables'!$B$23:$F$26,3)))+(P282*(VLOOKUP(I284,'Option Tables'!$B$23:$F$26,4))+(O282*(VLOOKUP(I284,'Option Tables'!$B$23:$F$26,5)))))</f>
        <v>0</v>
      </c>
      <c r="G287" s="355">
        <f>$D287*((G282*(VLOOKUP(I284,'Option Tables'!$B$23:$F$26,2)))+(F282*(VLOOKUP(I284,'Option Tables'!$B$23:$F$26,3)))+(E282*(VLOOKUP(I284,'Option Tables'!$B$23:$F$26,4))+(P282*(VLOOKUP(I284,'Option Tables'!$B$23:$F$26,5)))))</f>
        <v>0</v>
      </c>
      <c r="H287" s="355">
        <f>$D287*((H282*(VLOOKUP(I284,'Option Tables'!$B$23:$F$26,2)))+(G282*(VLOOKUP(I284,'Option Tables'!$B$23:$F$26,3)))+(F282*(VLOOKUP(I284,'Option Tables'!$B$23:$F$26,4))+(E282*(VLOOKUP(I284,'Option Tables'!$B$23:$F$26,5)))))</f>
        <v>0</v>
      </c>
      <c r="I287" s="355">
        <f>$D287*((I282*(VLOOKUP(I284,'Option Tables'!$B$23:$F$26,2)))+(H282*(VLOOKUP(I284,'Option Tables'!$B$23:$F$26,3)))+(G282*(VLOOKUP(I284,'Option Tables'!$B$23:$F$26,4))+(F282*(VLOOKUP(I284,'Option Tables'!$B$23:$F$26,5)))))</f>
        <v>0</v>
      </c>
      <c r="J287" s="355">
        <f>$D287*((J282*(VLOOKUP(I284,'Option Tables'!$B$23:$F$26,2)))+(I282*(VLOOKUP(I284,'Option Tables'!$B$23:$F$26,3)))+(H282*(VLOOKUP(I284,'Option Tables'!$B$23:$F$26,4))+(G282*(VLOOKUP(I284,'Option Tables'!$B$23:$F$26,5)))))</f>
        <v>0</v>
      </c>
      <c r="K287" s="355">
        <f>$D287*((K282*(VLOOKUP(I284,'Option Tables'!$B$23:$F$26,2)))+(J282*(VLOOKUP(I284,'Option Tables'!$B$23:$F$26,3)))+(I282*(VLOOKUP(I284,'Option Tables'!$B$23:$F$26,4))+(H282*(VLOOKUP(I284,'Option Tables'!$B$23:$F$26,5)))))</f>
        <v>0</v>
      </c>
      <c r="L287" s="355">
        <f>$D287*((L282*(VLOOKUP(I284,'Option Tables'!$B$23:$F$26,2)))+(K282*(VLOOKUP(I284,'Option Tables'!$B$23:$F$26,3)))+(J282*(VLOOKUP(I284,'Option Tables'!$B$23:$F$26,4))+(I282*(VLOOKUP(I284,'Option Tables'!$B$23:$F$26,5)))))</f>
        <v>0</v>
      </c>
      <c r="M287" s="355">
        <f>$D287*((M282*(VLOOKUP(I284,'Option Tables'!$B$23:$F$26,2)))+(L282*(VLOOKUP(I284,'Option Tables'!$B$23:$F$26,3)))+(K282*(VLOOKUP(I284,'Option Tables'!$B$23:$F$26,4))+(J282*(VLOOKUP(I284,'Option Tables'!$B$23:$F$26,5)))))</f>
        <v>0</v>
      </c>
      <c r="N287" s="355">
        <f>$D287*((N282*(VLOOKUP(I284,'Option Tables'!$B$23:$F$26,2)))+(M282*(VLOOKUP(I284,'Option Tables'!$B$23:$F$26,3)))+(L282*(VLOOKUP(I284,'Option Tables'!$B$23:$F$26,4))+(K282*(VLOOKUP(I284,'Option Tables'!$B$23:$F$26,5)))))</f>
        <v>0</v>
      </c>
      <c r="O287" s="355">
        <f>$D287*((O282*(VLOOKUP(I284,'Option Tables'!$B$23:$F$26,2)))+(N282*(VLOOKUP(I284,'Option Tables'!$B$23:$F$26,3)))+(M282*(VLOOKUP(I284,'Option Tables'!$B$23:$F$26,4))+(L282*(VLOOKUP(I284,'Option Tables'!$B$23:$F$26,5)))))</f>
        <v>0</v>
      </c>
      <c r="P287" s="465">
        <f>$D287*((P282*(VLOOKUP(I284,'Option Tables'!$B$23:$F$26,2)))+(O282*(VLOOKUP(I284,'Option Tables'!$B$23:$F$26,3)))+(N282*(VLOOKUP(I284,'Option Tables'!$B$23:$F$26,4))+(M282*(VLOOKUP(I284,'Option Tables'!$B$23:$F$26,5)))))</f>
        <v>0</v>
      </c>
      <c r="Q287" s="96"/>
    </row>
    <row r="288" spans="1:18" ht="15.75" customHeight="1">
      <c r="A288" s="172"/>
      <c r="B288" s="95"/>
      <c r="C288" s="256"/>
      <c r="D288" s="388">
        <v>0</v>
      </c>
      <c r="E288" s="355">
        <f>$D288*((E282*(VLOOKUP(I284,'Option Tables'!$B$23:$F$26,2)))+(P282*(VLOOKUP(I284,'Option Tables'!$B$23:$F$26,3)))+(O282*(VLOOKUP(I284,'Option Tables'!$B$23:$F$26,4))+(N282*(VLOOKUP(I284,'Option Tables'!$B$23:$F$26,5)))))</f>
        <v>0</v>
      </c>
      <c r="F288" s="355">
        <f>$D288*((F282*(VLOOKUP(I284,'Option Tables'!$B$23:$F$26,2)))+(E282*(VLOOKUP(I284,'Option Tables'!$B$23:$F$26,3)))+(P282*(VLOOKUP(I284,'Option Tables'!$B$23:$F$26,4))+(O282*(VLOOKUP(I284,'Option Tables'!$B$23:$F$26,5)))))</f>
        <v>0</v>
      </c>
      <c r="G288" s="355">
        <f>$D288*((G282*(VLOOKUP(I284,'Option Tables'!$B$23:$F$26,2)))+(F282*(VLOOKUP(I284,'Option Tables'!$B$23:$F$26,3)))+(E282*(VLOOKUP(I284,'Option Tables'!$B$23:$F$26,4))+(P282*(VLOOKUP(I284,'Option Tables'!$B$23:$F$26,5)))))</f>
        <v>0</v>
      </c>
      <c r="H288" s="355">
        <f>$D288*((H282*(VLOOKUP(I284,'Option Tables'!$B$23:$F$26,2)))+(G282*(VLOOKUP(I284,'Option Tables'!$B$23:$F$26,3)))+(F282*(VLOOKUP(I284,'Option Tables'!$B$23:$F$26,4))+(E282*(VLOOKUP(I284,'Option Tables'!$B$23:$F$26,5)))))</f>
        <v>0</v>
      </c>
      <c r="I288" s="355">
        <f>$D288*((I282*(VLOOKUP(I284,'Option Tables'!$B$23:$F$26,2)))+(H282*(VLOOKUP(I284,'Option Tables'!$B$23:$F$26,3)))+(G282*(VLOOKUP(I284,'Option Tables'!$B$23:$F$26,4))+(F282*(VLOOKUP(I284,'Option Tables'!$B$23:$F$26,5)))))</f>
        <v>0</v>
      </c>
      <c r="J288" s="355">
        <f>$D288*((J282*(VLOOKUP(I284,'Option Tables'!$B$23:$F$26,2)))+(I282*(VLOOKUP(I284,'Option Tables'!$B$23:$F$26,3)))+(H282*(VLOOKUP(I284,'Option Tables'!$B$23:$F$26,4))+(G282*(VLOOKUP(I284,'Option Tables'!$B$23:$F$26,5)))))</f>
        <v>0</v>
      </c>
      <c r="K288" s="355">
        <f>$D288*((K282*(VLOOKUP(I284,'Option Tables'!$B$23:$F$26,2)))+(J282*(VLOOKUP(I284,'Option Tables'!$B$23:$F$26,3)))+(I282*(VLOOKUP(I284,'Option Tables'!$B$23:$F$26,4))+(H282*(VLOOKUP(I284,'Option Tables'!$B$23:$F$26,5)))))</f>
        <v>0</v>
      </c>
      <c r="L288" s="355">
        <f>$D288*((L282*(VLOOKUP(I284,'Option Tables'!$B$23:$F$26,2)))+(K282*(VLOOKUP(I284,'Option Tables'!$B$23:$F$26,3)))+(J282*(VLOOKUP(I284,'Option Tables'!$B$23:$F$26,4))+(I282*(VLOOKUP(I284,'Option Tables'!$B$23:$F$26,5)))))</f>
        <v>0</v>
      </c>
      <c r="M288" s="355">
        <f>$D288*((M282*(VLOOKUP(I284,'Option Tables'!$B$23:$F$26,2)))+(L282*(VLOOKUP(I284,'Option Tables'!$B$23:$F$26,3)))+(K282*(VLOOKUP(I284,'Option Tables'!$B$23:$F$26,4))+(J282*(VLOOKUP(I284,'Option Tables'!$B$23:$F$26,5)))))</f>
        <v>0</v>
      </c>
      <c r="N288" s="355">
        <f>$D288*((N282*(VLOOKUP(I284,'Option Tables'!$B$23:$F$26,2)))+(M282*(VLOOKUP(I284,'Option Tables'!$B$23:$F$26,3)))+(L282*(VLOOKUP(I284,'Option Tables'!$B$23:$F$26,4))+(K282*(VLOOKUP(I284,'Option Tables'!$B$23:$F$26,5)))))</f>
        <v>0</v>
      </c>
      <c r="O288" s="355">
        <f>$D288*((O282*(VLOOKUP(I284,'Option Tables'!$B$23:$F$26,2)))+(N282*(VLOOKUP(I284,'Option Tables'!$B$23:$F$26,3)))+(M282*(VLOOKUP(I284,'Option Tables'!$B$23:$F$26,4))+(L282*(VLOOKUP(I284,'Option Tables'!$B$23:$F$26,5)))))</f>
        <v>0</v>
      </c>
      <c r="P288" s="465">
        <f>$D288*((P282*(VLOOKUP(I284,'Option Tables'!$B$23:$F$26,2)))+(O282*(VLOOKUP(I284,'Option Tables'!$B$23:$F$26,3)))+(N282*(VLOOKUP(I284,'Option Tables'!$B$23:$F$26,4))+(M282*(VLOOKUP(I284,'Option Tables'!$B$23:$F$26,5)))))</f>
        <v>0</v>
      </c>
      <c r="Q288" s="96"/>
    </row>
    <row r="289" spans="1:18" ht="15.75" customHeight="1" thickBot="1">
      <c r="A289" s="172"/>
      <c r="B289" s="97"/>
      <c r="C289" s="144" t="str">
        <f>IF(D289&lt;&gt;1,"Must equal %100","")</f>
        <v/>
      </c>
      <c r="D289" s="71">
        <f t="shared" ref="D289:P289" si="27">SUM(D285:D288)</f>
        <v>1</v>
      </c>
      <c r="E289" s="466">
        <f t="shared" si="27"/>
        <v>0</v>
      </c>
      <c r="F289" s="466">
        <f t="shared" si="27"/>
        <v>0</v>
      </c>
      <c r="G289" s="466">
        <f t="shared" si="27"/>
        <v>0</v>
      </c>
      <c r="H289" s="466">
        <f t="shared" si="27"/>
        <v>0</v>
      </c>
      <c r="I289" s="466">
        <f t="shared" si="27"/>
        <v>1544.4888670667558</v>
      </c>
      <c r="J289" s="466">
        <f t="shared" si="27"/>
        <v>1884.1818597915033</v>
      </c>
      <c r="K289" s="466">
        <f t="shared" si="27"/>
        <v>1383.04668069688</v>
      </c>
      <c r="L289" s="466">
        <f t="shared" si="27"/>
        <v>621.02797403803004</v>
      </c>
      <c r="M289" s="466">
        <f t="shared" si="27"/>
        <v>337.35405497255385</v>
      </c>
      <c r="N289" s="466">
        <f t="shared" si="27"/>
        <v>78.048447788033158</v>
      </c>
      <c r="O289" s="466">
        <f t="shared" si="27"/>
        <v>24.697697723157852</v>
      </c>
      <c r="P289" s="467">
        <f t="shared" si="27"/>
        <v>0</v>
      </c>
      <c r="Q289" s="96"/>
      <c r="R289" s="140"/>
    </row>
    <row r="290" spans="1:18" ht="15.75" customHeight="1" thickBot="1">
      <c r="B290" s="85" t="s">
        <v>143</v>
      </c>
      <c r="C290" s="284" t="str">
        <f>VLOOKUP(B290,NodeList!$D$5:$E$73,2,FALSE)</f>
        <v>Morris Bros (Lower)</v>
      </c>
      <c r="D290" s="91"/>
      <c r="E290" s="450"/>
      <c r="F290" s="451"/>
      <c r="G290" s="452"/>
      <c r="H290" s="453" t="s">
        <v>54</v>
      </c>
      <c r="I290" s="68">
        <v>36</v>
      </c>
      <c r="J290" s="454"/>
      <c r="K290" s="454"/>
      <c r="L290" s="454"/>
      <c r="M290" s="454"/>
      <c r="N290" s="454"/>
      <c r="O290" s="454"/>
      <c r="P290" s="455"/>
      <c r="Q290" s="96"/>
    </row>
    <row r="291" spans="1:18" ht="15.75" customHeight="1">
      <c r="B291" s="94" t="s">
        <v>188</v>
      </c>
      <c r="C291" s="66" t="s">
        <v>57</v>
      </c>
      <c r="D291" s="69"/>
      <c r="E291" s="456">
        <f>VLOOKUP($B290,'Diversion Data'!$B$3:$O$227,3,FALSE)</f>
        <v>0</v>
      </c>
      <c r="F291" s="456">
        <f>VLOOKUP($B290,'Diversion Data'!$B$3:$O$227,4,FALSE)</f>
        <v>0</v>
      </c>
      <c r="G291" s="456">
        <f>VLOOKUP($B290,'Diversion Data'!$B$3:$O$227,5,FALSE)</f>
        <v>0</v>
      </c>
      <c r="H291" s="456">
        <f>VLOOKUP($B290,'Diversion Data'!$B$3:$O$227,6,FALSE)</f>
        <v>0</v>
      </c>
      <c r="I291" s="456">
        <f>VLOOKUP($B290,'Diversion Data'!$B$3:$O$227,7,FALSE)</f>
        <v>228.96947415764464</v>
      </c>
      <c r="J291" s="456">
        <f>VLOOKUP($B290,'Diversion Data'!$B$3:$O$227,8,FALSE)</f>
        <v>194.68043899989669</v>
      </c>
      <c r="K291" s="456">
        <f>VLOOKUP($B290,'Diversion Data'!$B$3:$O$227,9,FALSE)</f>
        <v>139.33644637613637</v>
      </c>
      <c r="L291" s="456">
        <f>VLOOKUP($B290,'Diversion Data'!$B$3:$O$227,10,FALSE)</f>
        <v>48.576813437086784</v>
      </c>
      <c r="M291" s="456">
        <f>VLOOKUP($B290,'Diversion Data'!$B$3:$O$227,11,FALSE)</f>
        <v>75.333951538429744</v>
      </c>
      <c r="N291" s="456">
        <f>VLOOKUP($B290,'Diversion Data'!$B$3:$O$227,12,FALSE)</f>
        <v>0</v>
      </c>
      <c r="O291" s="456">
        <f>VLOOKUP($B290,'Diversion Data'!$B$3:$O$227,13,FALSE)</f>
        <v>0</v>
      </c>
      <c r="P291" s="457">
        <f>VLOOKUP($B290,'Diversion Data'!$B$3:$O$227,14,FALSE)</f>
        <v>0</v>
      </c>
      <c r="Q291" s="96"/>
    </row>
    <row r="292" spans="1:18" ht="15.75" customHeight="1">
      <c r="B292" s="95"/>
      <c r="C292" s="72" t="s">
        <v>56</v>
      </c>
      <c r="D292" s="70"/>
      <c r="E292" s="458">
        <f>VLOOKUP($I290,'Option Tables'!$B$3:$N$19,2,FALSE)*E291</f>
        <v>0</v>
      </c>
      <c r="F292" s="458">
        <f>VLOOKUP($I290,'Option Tables'!$B$3:$N$19,3,FALSE)*F291</f>
        <v>0</v>
      </c>
      <c r="G292" s="458">
        <f>VLOOKUP($I290,'Option Tables'!$B$3:$N$19,4,FALSE)*G291</f>
        <v>0</v>
      </c>
      <c r="H292" s="458">
        <f>VLOOKUP($I290,'Option Tables'!$B$3:$N$19,5,FALSE)*H291</f>
        <v>0</v>
      </c>
      <c r="I292" s="458">
        <f>VLOOKUP($I290,'Option Tables'!$B$3:$N$19,6,FALSE)*I291</f>
        <v>146.54046346089257</v>
      </c>
      <c r="J292" s="458">
        <f>VLOOKUP($I290,'Option Tables'!$B$3:$N$19,7,FALSE)*J291</f>
        <v>124.59548095993388</v>
      </c>
      <c r="K292" s="458">
        <f>VLOOKUP($I290,'Option Tables'!$B$3:$N$19,8,FALSE)*K291</f>
        <v>89.175325680727269</v>
      </c>
      <c r="L292" s="458">
        <f>VLOOKUP($I290,'Option Tables'!$B$3:$N$19,9,FALSE)*L291</f>
        <v>31.089160599735543</v>
      </c>
      <c r="M292" s="458">
        <f>VLOOKUP($I290,'Option Tables'!$B$3:$N$19,10,FALSE)*M291</f>
        <v>48.213728984595036</v>
      </c>
      <c r="N292" s="458">
        <f>VLOOKUP($I290,'Option Tables'!$B$3:$N$19,11,FALSE)*N291</f>
        <v>0</v>
      </c>
      <c r="O292" s="458">
        <f>VLOOKUP($I290,'Option Tables'!$B$3:$N$19,12,FALSE)*O291</f>
        <v>0</v>
      </c>
      <c r="P292" s="459">
        <f>VLOOKUP($I290,'Option Tables'!$B$3:$N$19,13,FALSE)*P291</f>
        <v>0</v>
      </c>
      <c r="Q292" s="96"/>
    </row>
    <row r="293" spans="1:18" ht="15.75" customHeight="1" thickBot="1">
      <c r="B293" s="95"/>
      <c r="C293" s="66"/>
      <c r="D293" s="62"/>
      <c r="E293" s="355"/>
      <c r="F293" s="355"/>
      <c r="G293" s="355"/>
      <c r="H293" s="355"/>
      <c r="I293" s="355"/>
      <c r="J293" s="355"/>
      <c r="K293" s="355"/>
      <c r="L293" s="355"/>
      <c r="M293" s="460"/>
      <c r="N293" s="460"/>
      <c r="O293" s="460"/>
      <c r="P293" s="461"/>
      <c r="Q293" s="96"/>
    </row>
    <row r="294" spans="1:18" ht="15.75" customHeight="1" thickBot="1">
      <c r="B294" s="254" t="s">
        <v>73</v>
      </c>
      <c r="C294" s="105" t="s">
        <v>73</v>
      </c>
      <c r="D294" s="105" t="s">
        <v>74</v>
      </c>
      <c r="E294" s="462"/>
      <c r="F294" s="463"/>
      <c r="G294" s="464"/>
      <c r="H294" s="464" t="s">
        <v>55</v>
      </c>
      <c r="I294" s="68">
        <v>2</v>
      </c>
      <c r="J294" s="460"/>
      <c r="K294" s="460"/>
      <c r="L294" s="460"/>
      <c r="M294" s="460"/>
      <c r="N294" s="460"/>
      <c r="O294" s="460"/>
      <c r="P294" s="461"/>
      <c r="Q294" s="96"/>
    </row>
    <row r="295" spans="1:18" ht="15.75" customHeight="1">
      <c r="B295" s="255" t="str">
        <f>"("&amp;VLOOKUP(C295,NodeList!$D$5:$E$68,2,FALSE)&amp;")"</f>
        <v>(AggDiv BR-3)</v>
      </c>
      <c r="C295" s="256" t="s">
        <v>155</v>
      </c>
      <c r="D295" s="388">
        <v>0.3</v>
      </c>
      <c r="E295" s="355">
        <f>$D295*((E292*(VLOOKUP(I294,'Option Tables'!$B$23:$F$26,2)))+(P292*(VLOOKUP(I294,'Option Tables'!$B$23:$F$26,3)))+(O292*(VLOOKUP(I294,'Option Tables'!$B$23:$F$26,4))+(N292*(VLOOKUP(I294,'Option Tables'!$B$23:$F$26,5)))))</f>
        <v>0</v>
      </c>
      <c r="F295" s="355">
        <f>$D295*((F292*(VLOOKUP(I294,'Option Tables'!$B$23:$F$26,2)))+(E292*(VLOOKUP(I294,'Option Tables'!$B$23:$F$26,3)))+(P292*(VLOOKUP(I294,'Option Tables'!$B$23:$F$26,4))+(O292*(VLOOKUP(I294,'Option Tables'!$B$23:$F$26,5)))))</f>
        <v>0</v>
      </c>
      <c r="G295" s="355">
        <f>$D295*((G292*(VLOOKUP(I294,'Option Tables'!$B$23:$F$26,2)))+(F292*(VLOOKUP(I294,'Option Tables'!$B$23:$F$26,3)))+(E292*(VLOOKUP(I294,'Option Tables'!$B$23:$F$26,4))+(P292*(VLOOKUP(I294,'Option Tables'!$B$23:$F$26,5)))))</f>
        <v>0</v>
      </c>
      <c r="H295" s="355">
        <f>$D295*((H292*(VLOOKUP(I294,'Option Tables'!$B$23:$F$26,2)))+(G292*(VLOOKUP(I294,'Option Tables'!$B$23:$F$26,3)))+(F292*(VLOOKUP(I294,'Option Tables'!$B$23:$F$26,4))+(E292*(VLOOKUP(I294,'Option Tables'!$B$23:$F$26,5)))))</f>
        <v>0</v>
      </c>
      <c r="I295" s="355">
        <f>$D295*((I292*(VLOOKUP(I294,'Option Tables'!$B$23:$F$26,2)))+(H292*(VLOOKUP(I294,'Option Tables'!$B$23:$F$26,3)))+(G292*(VLOOKUP(I294,'Option Tables'!$B$23:$F$26,4))+(F292*(VLOOKUP(I294,'Option Tables'!$B$23:$F$26,5)))))</f>
        <v>30.773497326787435</v>
      </c>
      <c r="J295" s="355">
        <f>$D295*((J292*(VLOOKUP(I294,'Option Tables'!$B$23:$F$26,2)))+(I292*(VLOOKUP(I294,'Option Tables'!$B$23:$F$26,3)))+(H292*(VLOOKUP(I294,'Option Tables'!$B$23:$F$26,4))+(G292*(VLOOKUP(I294,'Option Tables'!$B$23:$F$26,5)))))</f>
        <v>34.957478809239667</v>
      </c>
      <c r="K295" s="355">
        <f>$D295*((K292*(VLOOKUP(I294,'Option Tables'!$B$23:$F$26,2)))+(J292*(VLOOKUP(I294,'Option Tables'!$B$23:$F$26,3)))+(I292*(VLOOKUP(I294,'Option Tables'!$B$23:$F$26,4))+(H292*(VLOOKUP(I294,'Option Tables'!$B$23:$F$26,5)))))</f>
        <v>30.598761154375534</v>
      </c>
      <c r="L295" s="355">
        <f>$D295*((L292*(VLOOKUP(I294,'Option Tables'!$B$23:$F$26,2)))+(K292*(VLOOKUP(I294,'Option Tables'!$B$23:$F$26,3)))+(J292*(VLOOKUP(I294,'Option Tables'!$B$23:$F$26,4))+(I292*(VLOOKUP(I294,'Option Tables'!$B$23:$F$26,5)))))</f>
        <v>15.617107695586117</v>
      </c>
      <c r="M295" s="355">
        <f>$D295*((M292*(VLOOKUP(I294,'Option Tables'!$B$23:$F$26,2)))+(L292*(VLOOKUP(I294,'Option Tables'!$B$23:$F$26,3)))+(K292*(VLOOKUP(I294,'Option Tables'!$B$23:$F$26,4))+(J292*(VLOOKUP(I294,'Option Tables'!$B$23:$F$26,5)))))</f>
        <v>14.665492493170907</v>
      </c>
      <c r="N295" s="355">
        <f>$D295*((N292*(VLOOKUP(I294,'Option Tables'!$B$23:$F$26,2)))+(M292*(VLOOKUP(I294,'Option Tables'!$B$23:$F$26,3)))+(L292*(VLOOKUP(I294,'Option Tables'!$B$23:$F$26,4))+(K292*(VLOOKUP(I294,'Option Tables'!$B$23:$F$26,5)))))</f>
        <v>3.8254985570677684</v>
      </c>
      <c r="O295" s="355">
        <f>$D295*((O292*(VLOOKUP(I294,'Option Tables'!$B$23:$F$26,2)))+(N292*(VLOOKUP(I294,'Option Tables'!$B$23:$F$26,3)))+(M292*(VLOOKUP(I294,'Option Tables'!$B$23:$F$26,4))+(L292*(VLOOKUP(I294,'Option Tables'!$B$23:$F$26,5)))))</f>
        <v>1.4464118695378512</v>
      </c>
      <c r="P295" s="465">
        <f>$D295*((P292*(VLOOKUP(I294,'Option Tables'!$B$23:$F$26,2)))+(O292*(VLOOKUP(I294,'Option Tables'!$B$23:$F$26,3)))+(N292*(VLOOKUP(I294,'Option Tables'!$B$23:$F$26,4))+(M292*(VLOOKUP(I294,'Option Tables'!$B$23:$F$26,5)))))</f>
        <v>0</v>
      </c>
      <c r="Q295" s="96"/>
    </row>
    <row r="296" spans="1:18" ht="15.75" customHeight="1">
      <c r="B296" s="255" t="str">
        <f>"("&amp;VLOOKUP(C296,NodeList!$D$5:$E$68,2,FALSE)&amp;")"</f>
        <v>(Woodruff Narrows Reservoir)</v>
      </c>
      <c r="C296" s="256" t="s">
        <v>162</v>
      </c>
      <c r="D296" s="388">
        <v>0.7</v>
      </c>
      <c r="E296" s="355">
        <f>$D296*((E292*(VLOOKUP(I294,'Option Tables'!$B$23:$F$26,2)))+(P292*(VLOOKUP(I294,'Option Tables'!$B$23:$F$26,3)))+(O292*(VLOOKUP(I294,'Option Tables'!$B$23:$F$26,4))+(N292*(VLOOKUP(I294,'Option Tables'!$B$23:$F$26,5)))))</f>
        <v>0</v>
      </c>
      <c r="F296" s="355">
        <f>$D296*((F292*(VLOOKUP(I294,'Option Tables'!$B$23:$F$26,2)))+(E292*(VLOOKUP(I294,'Option Tables'!$B$23:$F$26,3)))+(P292*(VLOOKUP(I294,'Option Tables'!$B$23:$F$26,4))+(O292*(VLOOKUP(I294,'Option Tables'!$B$23:$F$26,5)))))</f>
        <v>0</v>
      </c>
      <c r="G296" s="355">
        <f>$D296*((G292*(VLOOKUP(I294,'Option Tables'!$B$23:$F$26,2)))+(F292*(VLOOKUP(I294,'Option Tables'!$B$23:$F$26,3)))+(E292*(VLOOKUP(I294,'Option Tables'!$B$23:$F$26,4))+(P292*(VLOOKUP(I294,'Option Tables'!$B$23:$F$26,5)))))</f>
        <v>0</v>
      </c>
      <c r="H296" s="355">
        <f>$D296*((H292*(VLOOKUP(I294,'Option Tables'!$B$23:$F$26,2)))+(G292*(VLOOKUP(I294,'Option Tables'!$B$23:$F$26,3)))+(F292*(VLOOKUP(I294,'Option Tables'!$B$23:$F$26,4))+(E292*(VLOOKUP(I294,'Option Tables'!$B$23:$F$26,5)))))</f>
        <v>0</v>
      </c>
      <c r="I296" s="355">
        <f>$D296*((I292*(VLOOKUP(I294,'Option Tables'!$B$23:$F$26,2)))+(H292*(VLOOKUP(I294,'Option Tables'!$B$23:$F$26,3)))+(G292*(VLOOKUP(I294,'Option Tables'!$B$23:$F$26,4))+(F292*(VLOOKUP(I294,'Option Tables'!$B$23:$F$26,5)))))</f>
        <v>71.804827095837354</v>
      </c>
      <c r="J296" s="355">
        <f>$D296*((J292*(VLOOKUP(I294,'Option Tables'!$B$23:$F$26,2)))+(I292*(VLOOKUP(I294,'Option Tables'!$B$23:$F$26,3)))+(H292*(VLOOKUP(I294,'Option Tables'!$B$23:$F$26,4))+(G292*(VLOOKUP(I294,'Option Tables'!$B$23:$F$26,5)))))</f>
        <v>81.567450554892559</v>
      </c>
      <c r="K296" s="355">
        <f>$D296*((K292*(VLOOKUP(I294,'Option Tables'!$B$23:$F$26,2)))+(J292*(VLOOKUP(I294,'Option Tables'!$B$23:$F$26,3)))+(I292*(VLOOKUP(I294,'Option Tables'!$B$23:$F$26,4))+(H292*(VLOOKUP(I294,'Option Tables'!$B$23:$F$26,5)))))</f>
        <v>71.397109360209583</v>
      </c>
      <c r="L296" s="355">
        <f>$D296*((L292*(VLOOKUP(I294,'Option Tables'!$B$23:$F$26,2)))+(K292*(VLOOKUP(I294,'Option Tables'!$B$23:$F$26,3)))+(J292*(VLOOKUP(I294,'Option Tables'!$B$23:$F$26,4))+(I292*(VLOOKUP(I294,'Option Tables'!$B$23:$F$26,5)))))</f>
        <v>36.439917956367609</v>
      </c>
      <c r="M296" s="355">
        <f>$D296*((M292*(VLOOKUP(I294,'Option Tables'!$B$23:$F$26,2)))+(L292*(VLOOKUP(I294,'Option Tables'!$B$23:$F$26,3)))+(K292*(VLOOKUP(I294,'Option Tables'!$B$23:$F$26,4))+(J292*(VLOOKUP(I294,'Option Tables'!$B$23:$F$26,5)))))</f>
        <v>34.219482484065452</v>
      </c>
      <c r="N296" s="355">
        <f>$D296*((N292*(VLOOKUP(I294,'Option Tables'!$B$23:$F$26,2)))+(M292*(VLOOKUP(I294,'Option Tables'!$B$23:$F$26,3)))+(L292*(VLOOKUP(I294,'Option Tables'!$B$23:$F$26,4))+(K292*(VLOOKUP(I294,'Option Tables'!$B$23:$F$26,5)))))</f>
        <v>8.9261632998247933</v>
      </c>
      <c r="O296" s="355">
        <f>$D296*((O292*(VLOOKUP(I294,'Option Tables'!$B$23:$F$26,2)))+(N292*(VLOOKUP(I294,'Option Tables'!$B$23:$F$26,3)))+(M292*(VLOOKUP(I294,'Option Tables'!$B$23:$F$26,4))+(L292*(VLOOKUP(I294,'Option Tables'!$B$23:$F$26,5)))))</f>
        <v>3.374961028921653</v>
      </c>
      <c r="P296" s="465">
        <f>$D296*((P292*(VLOOKUP(I294,'Option Tables'!$B$23:$F$26,2)))+(O292*(VLOOKUP(I294,'Option Tables'!$B$23:$F$26,3)))+(N292*(VLOOKUP(I294,'Option Tables'!$B$23:$F$26,4))+(M292*(VLOOKUP(I294,'Option Tables'!$B$23:$F$26,5)))))</f>
        <v>0</v>
      </c>
      <c r="Q296" s="96"/>
    </row>
    <row r="297" spans="1:18" ht="15.75" customHeight="1">
      <c r="B297" s="95"/>
      <c r="C297" s="256"/>
      <c r="D297" s="388">
        <v>0</v>
      </c>
      <c r="E297" s="355">
        <f>$D297*((E292*(VLOOKUP(I294,'Option Tables'!$B$23:$F$26,2)))+(P292*(VLOOKUP(I294,'Option Tables'!$B$23:$F$26,3)))+(O292*(VLOOKUP(I294,'Option Tables'!$B$23:$F$26,4))+(N292*(VLOOKUP(I294,'Option Tables'!$B$23:$F$26,5)))))</f>
        <v>0</v>
      </c>
      <c r="F297" s="355">
        <f>$D297*((F292*(VLOOKUP(I294,'Option Tables'!$B$23:$F$26,2)))+(E292*(VLOOKUP(I294,'Option Tables'!$B$23:$F$26,3)))+(P292*(VLOOKUP(I294,'Option Tables'!$B$23:$F$26,4))+(O292*(VLOOKUP(I294,'Option Tables'!$B$23:$F$26,5)))))</f>
        <v>0</v>
      </c>
      <c r="G297" s="355">
        <f>$D297*((G292*(VLOOKUP(I294,'Option Tables'!$B$23:$F$26,2)))+(F292*(VLOOKUP(I294,'Option Tables'!$B$23:$F$26,3)))+(E292*(VLOOKUP(I294,'Option Tables'!$B$23:$F$26,4))+(P292*(VLOOKUP(I294,'Option Tables'!$B$23:$F$26,5)))))</f>
        <v>0</v>
      </c>
      <c r="H297" s="355">
        <f>$D297*((H292*(VLOOKUP(I294,'Option Tables'!$B$23:$F$26,2)))+(G292*(VLOOKUP(I294,'Option Tables'!$B$23:$F$26,3)))+(F292*(VLOOKUP(I294,'Option Tables'!$B$23:$F$26,4))+(E292*(VLOOKUP(I294,'Option Tables'!$B$23:$F$26,5)))))</f>
        <v>0</v>
      </c>
      <c r="I297" s="355">
        <f>$D297*((I292*(VLOOKUP(I294,'Option Tables'!$B$23:$F$26,2)))+(H292*(VLOOKUP(I294,'Option Tables'!$B$23:$F$26,3)))+(G292*(VLOOKUP(I294,'Option Tables'!$B$23:$F$26,4))+(F292*(VLOOKUP(I294,'Option Tables'!$B$23:$F$26,5)))))</f>
        <v>0</v>
      </c>
      <c r="J297" s="355">
        <f>$D297*((J292*(VLOOKUP(I294,'Option Tables'!$B$23:$F$26,2)))+(I292*(VLOOKUP(I294,'Option Tables'!$B$23:$F$26,3)))+(H292*(VLOOKUP(I294,'Option Tables'!$B$23:$F$26,4))+(G292*(VLOOKUP(I294,'Option Tables'!$B$23:$F$26,5)))))</f>
        <v>0</v>
      </c>
      <c r="K297" s="355">
        <f>$D297*((K292*(VLOOKUP(I294,'Option Tables'!$B$23:$F$26,2)))+(J292*(VLOOKUP(I294,'Option Tables'!$B$23:$F$26,3)))+(I292*(VLOOKUP(I294,'Option Tables'!$B$23:$F$26,4))+(H292*(VLOOKUP(I294,'Option Tables'!$B$23:$F$26,5)))))</f>
        <v>0</v>
      </c>
      <c r="L297" s="355">
        <f>$D297*((L292*(VLOOKUP(I294,'Option Tables'!$B$23:$F$26,2)))+(K292*(VLOOKUP(I294,'Option Tables'!$B$23:$F$26,3)))+(J292*(VLOOKUP(I294,'Option Tables'!$B$23:$F$26,4))+(I292*(VLOOKUP(I294,'Option Tables'!$B$23:$F$26,5)))))</f>
        <v>0</v>
      </c>
      <c r="M297" s="355">
        <f>$D297*((M292*(VLOOKUP(I294,'Option Tables'!$B$23:$F$26,2)))+(L292*(VLOOKUP(I294,'Option Tables'!$B$23:$F$26,3)))+(K292*(VLOOKUP(I294,'Option Tables'!$B$23:$F$26,4))+(J292*(VLOOKUP(I294,'Option Tables'!$B$23:$F$26,5)))))</f>
        <v>0</v>
      </c>
      <c r="N297" s="355">
        <f>$D297*((N292*(VLOOKUP(I294,'Option Tables'!$B$23:$F$26,2)))+(M292*(VLOOKUP(I294,'Option Tables'!$B$23:$F$26,3)))+(L292*(VLOOKUP(I294,'Option Tables'!$B$23:$F$26,4))+(K292*(VLOOKUP(I294,'Option Tables'!$B$23:$F$26,5)))))</f>
        <v>0</v>
      </c>
      <c r="O297" s="355">
        <f>$D297*((O292*(VLOOKUP(I294,'Option Tables'!$B$23:$F$26,2)))+(N292*(VLOOKUP(I294,'Option Tables'!$B$23:$F$26,3)))+(M292*(VLOOKUP(I294,'Option Tables'!$B$23:$F$26,4))+(L292*(VLOOKUP(I294,'Option Tables'!$B$23:$F$26,5)))))</f>
        <v>0</v>
      </c>
      <c r="P297" s="465">
        <f>$D297*((P292*(VLOOKUP(I294,'Option Tables'!$B$23:$F$26,2)))+(O292*(VLOOKUP(I294,'Option Tables'!$B$23:$F$26,3)))+(N292*(VLOOKUP(I294,'Option Tables'!$B$23:$F$26,4))+(M292*(VLOOKUP(I294,'Option Tables'!$B$23:$F$26,5)))))</f>
        <v>0</v>
      </c>
      <c r="Q297" s="96"/>
    </row>
    <row r="298" spans="1:18" ht="15.75" customHeight="1">
      <c r="B298" s="95"/>
      <c r="C298" s="256"/>
      <c r="D298" s="388">
        <v>0</v>
      </c>
      <c r="E298" s="355">
        <f>$D298*((E292*(VLOOKUP(I294,'Option Tables'!$B$23:$F$26,2)))+(P292*(VLOOKUP(I294,'Option Tables'!$B$23:$F$26,3)))+(O292*(VLOOKUP(I294,'Option Tables'!$B$23:$F$26,4))+(N292*(VLOOKUP(I294,'Option Tables'!$B$23:$F$26,5)))))</f>
        <v>0</v>
      </c>
      <c r="F298" s="355">
        <f>$D298*((F292*(VLOOKUP(I294,'Option Tables'!$B$23:$F$26,2)))+(E292*(VLOOKUP(I294,'Option Tables'!$B$23:$F$26,3)))+(P292*(VLOOKUP(I294,'Option Tables'!$B$23:$F$26,4))+(O292*(VLOOKUP(I294,'Option Tables'!$B$23:$F$26,5)))))</f>
        <v>0</v>
      </c>
      <c r="G298" s="355">
        <f>$D298*((G292*(VLOOKUP(I294,'Option Tables'!$B$23:$F$26,2)))+(F292*(VLOOKUP(I294,'Option Tables'!$B$23:$F$26,3)))+(E292*(VLOOKUP(I294,'Option Tables'!$B$23:$F$26,4))+(P292*(VLOOKUP(I294,'Option Tables'!$B$23:$F$26,5)))))</f>
        <v>0</v>
      </c>
      <c r="H298" s="355">
        <f>$D298*((H292*(VLOOKUP(I294,'Option Tables'!$B$23:$F$26,2)))+(G292*(VLOOKUP(I294,'Option Tables'!$B$23:$F$26,3)))+(F292*(VLOOKUP(I294,'Option Tables'!$B$23:$F$26,4))+(E292*(VLOOKUP(I294,'Option Tables'!$B$23:$F$26,5)))))</f>
        <v>0</v>
      </c>
      <c r="I298" s="355">
        <f>$D298*((I292*(VLOOKUP(I294,'Option Tables'!$B$23:$F$26,2)))+(H292*(VLOOKUP(I294,'Option Tables'!$B$23:$F$26,3)))+(G292*(VLOOKUP(I294,'Option Tables'!$B$23:$F$26,4))+(F292*(VLOOKUP(I294,'Option Tables'!$B$23:$F$26,5)))))</f>
        <v>0</v>
      </c>
      <c r="J298" s="355">
        <f>$D298*((J292*(VLOOKUP(I294,'Option Tables'!$B$23:$F$26,2)))+(I292*(VLOOKUP(I294,'Option Tables'!$B$23:$F$26,3)))+(H292*(VLOOKUP(I294,'Option Tables'!$B$23:$F$26,4))+(G292*(VLOOKUP(I294,'Option Tables'!$B$23:$F$26,5)))))</f>
        <v>0</v>
      </c>
      <c r="K298" s="355">
        <f>$D298*((K292*(VLOOKUP(I294,'Option Tables'!$B$23:$F$26,2)))+(J292*(VLOOKUP(I294,'Option Tables'!$B$23:$F$26,3)))+(I292*(VLOOKUP(I294,'Option Tables'!$B$23:$F$26,4))+(H292*(VLOOKUP(I294,'Option Tables'!$B$23:$F$26,5)))))</f>
        <v>0</v>
      </c>
      <c r="L298" s="355">
        <f>$D298*((L292*(VLOOKUP(I294,'Option Tables'!$B$23:$F$26,2)))+(K292*(VLOOKUP(I294,'Option Tables'!$B$23:$F$26,3)))+(J292*(VLOOKUP(I294,'Option Tables'!$B$23:$F$26,4))+(I292*(VLOOKUP(I294,'Option Tables'!$B$23:$F$26,5)))))</f>
        <v>0</v>
      </c>
      <c r="M298" s="355">
        <f>$D298*((M292*(VLOOKUP(I294,'Option Tables'!$B$23:$F$26,2)))+(L292*(VLOOKUP(I294,'Option Tables'!$B$23:$F$26,3)))+(K292*(VLOOKUP(I294,'Option Tables'!$B$23:$F$26,4))+(J292*(VLOOKUP(I294,'Option Tables'!$B$23:$F$26,5)))))</f>
        <v>0</v>
      </c>
      <c r="N298" s="355">
        <f>$D298*((N292*(VLOOKUP(I294,'Option Tables'!$B$23:$F$26,2)))+(M292*(VLOOKUP(I294,'Option Tables'!$B$23:$F$26,3)))+(L292*(VLOOKUP(I294,'Option Tables'!$B$23:$F$26,4))+(K292*(VLOOKUP(I294,'Option Tables'!$B$23:$F$26,5)))))</f>
        <v>0</v>
      </c>
      <c r="O298" s="355">
        <f>$D298*((O292*(VLOOKUP(I294,'Option Tables'!$B$23:$F$26,2)))+(N292*(VLOOKUP(I294,'Option Tables'!$B$23:$F$26,3)))+(M292*(VLOOKUP(I294,'Option Tables'!$B$23:$F$26,4))+(L292*(VLOOKUP(I294,'Option Tables'!$B$23:$F$26,5)))))</f>
        <v>0</v>
      </c>
      <c r="P298" s="465">
        <f>$D298*((P292*(VLOOKUP(I294,'Option Tables'!$B$23:$F$26,2)))+(O292*(VLOOKUP(I294,'Option Tables'!$B$23:$F$26,3)))+(N292*(VLOOKUP(I294,'Option Tables'!$B$23:$F$26,4))+(M292*(VLOOKUP(I294,'Option Tables'!$B$23:$F$26,5)))))</f>
        <v>0</v>
      </c>
      <c r="Q298" s="96"/>
    </row>
    <row r="299" spans="1:18" ht="15.75" customHeight="1" thickBot="1">
      <c r="B299" s="97"/>
      <c r="C299" s="144" t="str">
        <f>IF(D299&lt;&gt;1,"Must equal %100","")</f>
        <v/>
      </c>
      <c r="D299" s="71">
        <f t="shared" ref="D299:P299" si="28">SUM(D295:D298)</f>
        <v>1</v>
      </c>
      <c r="E299" s="466">
        <f t="shared" si="28"/>
        <v>0</v>
      </c>
      <c r="F299" s="466">
        <f t="shared" si="28"/>
        <v>0</v>
      </c>
      <c r="G299" s="466">
        <f t="shared" si="28"/>
        <v>0</v>
      </c>
      <c r="H299" s="466">
        <f t="shared" si="28"/>
        <v>0</v>
      </c>
      <c r="I299" s="466">
        <f t="shared" si="28"/>
        <v>102.57832442262479</v>
      </c>
      <c r="J299" s="466">
        <f t="shared" si="28"/>
        <v>116.52492936413222</v>
      </c>
      <c r="K299" s="466">
        <f t="shared" si="28"/>
        <v>101.99587051458512</v>
      </c>
      <c r="L299" s="466">
        <f t="shared" si="28"/>
        <v>52.057025651953722</v>
      </c>
      <c r="M299" s="466">
        <f t="shared" si="28"/>
        <v>48.884974977236361</v>
      </c>
      <c r="N299" s="466">
        <f t="shared" si="28"/>
        <v>12.751661856892561</v>
      </c>
      <c r="O299" s="466">
        <f t="shared" si="28"/>
        <v>4.8213728984595043</v>
      </c>
      <c r="P299" s="467">
        <f t="shared" si="28"/>
        <v>0</v>
      </c>
      <c r="Q299" s="96"/>
      <c r="R299" s="140"/>
    </row>
    <row r="300" spans="1:18" ht="15.75" customHeight="1" thickBot="1">
      <c r="B300" s="85" t="s">
        <v>155</v>
      </c>
      <c r="C300" s="257" t="str">
        <f>VLOOKUP(B300,NodeList!$D$5:$E$73,2,FALSE)</f>
        <v>AggDiv BR-3</v>
      </c>
      <c r="D300" s="91"/>
      <c r="E300" s="450"/>
      <c r="F300" s="451"/>
      <c r="G300" s="452"/>
      <c r="H300" s="453" t="s">
        <v>54</v>
      </c>
      <c r="I300" s="68">
        <v>33</v>
      </c>
      <c r="J300" s="454"/>
      <c r="K300" s="454"/>
      <c r="L300" s="454"/>
      <c r="M300" s="454"/>
      <c r="N300" s="454"/>
      <c r="O300" s="454"/>
      <c r="P300" s="455"/>
      <c r="Q300" s="96"/>
    </row>
    <row r="301" spans="1:18" ht="15.75" customHeight="1">
      <c r="A301" s="172"/>
      <c r="B301" s="94"/>
      <c r="C301" s="66" t="s">
        <v>57</v>
      </c>
      <c r="D301" s="69"/>
      <c r="E301" s="456">
        <f>VLOOKUP($B300,'Diversion Data'!$B$3:$O$227,3,FALSE)</f>
        <v>0</v>
      </c>
      <c r="F301" s="456">
        <f>VLOOKUP($B300,'Diversion Data'!$B$3:$O$227,4,FALSE)</f>
        <v>0</v>
      </c>
      <c r="G301" s="456">
        <f>VLOOKUP($B300,'Diversion Data'!$B$3:$O$227,5,FALSE)</f>
        <v>0</v>
      </c>
      <c r="H301" s="456">
        <f>VLOOKUP($B300,'Diversion Data'!$B$3:$O$227,6,FALSE)</f>
        <v>0</v>
      </c>
      <c r="I301" s="456">
        <f>VLOOKUP($B300,'Diversion Data'!$B$3:$O$227,7,FALSE)</f>
        <v>140.42375000000001</v>
      </c>
      <c r="J301" s="456">
        <f>VLOOKUP($B300,'Diversion Data'!$B$3:$O$227,8,FALSE)</f>
        <v>371.98249999999996</v>
      </c>
      <c r="K301" s="456">
        <f>VLOOKUP($B300,'Diversion Data'!$B$3:$O$227,9,FALSE)</f>
        <v>382.5575</v>
      </c>
      <c r="L301" s="456">
        <f>VLOOKUP($B300,'Diversion Data'!$B$3:$O$227,10,FALSE)</f>
        <v>133.57874999999999</v>
      </c>
      <c r="M301" s="456">
        <f>VLOOKUP($B300,'Diversion Data'!$B$3:$O$227,11,FALSE)</f>
        <v>51.167500000000004</v>
      </c>
      <c r="N301" s="456">
        <f>VLOOKUP($B300,'Diversion Data'!$B$3:$O$227,12,FALSE)</f>
        <v>0</v>
      </c>
      <c r="O301" s="456">
        <f>VLOOKUP($B300,'Diversion Data'!$B$3:$O$227,13,FALSE)</f>
        <v>0</v>
      </c>
      <c r="P301" s="457">
        <f>VLOOKUP($B300,'Diversion Data'!$B$3:$O$227,14,FALSE)</f>
        <v>0</v>
      </c>
      <c r="Q301" s="96"/>
    </row>
    <row r="302" spans="1:18" ht="15.75" customHeight="1">
      <c r="A302" s="172"/>
      <c r="B302" s="95"/>
      <c r="C302" s="72" t="s">
        <v>56</v>
      </c>
      <c r="D302" s="70"/>
      <c r="E302" s="458">
        <f>VLOOKUP($I300,'Option Tables'!$B$3:$N$19,2,FALSE)*E301</f>
        <v>0</v>
      </c>
      <c r="F302" s="458">
        <f>VLOOKUP($I300,'Option Tables'!$B$3:$N$19,3,FALSE)*F301</f>
        <v>0</v>
      </c>
      <c r="G302" s="458">
        <f>VLOOKUP($I300,'Option Tables'!$B$3:$N$19,4,FALSE)*G301</f>
        <v>0</v>
      </c>
      <c r="H302" s="458">
        <f>VLOOKUP($I300,'Option Tables'!$B$3:$N$19,5,FALSE)*H301</f>
        <v>0</v>
      </c>
      <c r="I302" s="458">
        <f>VLOOKUP($I300,'Option Tables'!$B$3:$N$19,6,FALSE)*I301</f>
        <v>92.679675000000017</v>
      </c>
      <c r="J302" s="458">
        <f>VLOOKUP($I300,'Option Tables'!$B$3:$N$19,7,FALSE)*J301</f>
        <v>245.50844999999998</v>
      </c>
      <c r="K302" s="458">
        <f>VLOOKUP($I300,'Option Tables'!$B$3:$N$19,8,FALSE)*K301</f>
        <v>252.48795000000001</v>
      </c>
      <c r="L302" s="458">
        <f>VLOOKUP($I300,'Option Tables'!$B$3:$N$19,9,FALSE)*L301</f>
        <v>88.161974999999998</v>
      </c>
      <c r="M302" s="458">
        <f>VLOOKUP($I300,'Option Tables'!$B$3:$N$19,10,FALSE)*M301</f>
        <v>33.770550000000007</v>
      </c>
      <c r="N302" s="458">
        <f>VLOOKUP($I300,'Option Tables'!$B$3:$N$19,11,FALSE)*N301</f>
        <v>0</v>
      </c>
      <c r="O302" s="458">
        <f>VLOOKUP($I300,'Option Tables'!$B$3:$N$19,12,FALSE)*O301</f>
        <v>0</v>
      </c>
      <c r="P302" s="459">
        <f>VLOOKUP($I300,'Option Tables'!$B$3:$N$19,13,FALSE)*P301</f>
        <v>0</v>
      </c>
      <c r="Q302" s="96"/>
    </row>
    <row r="303" spans="1:18" ht="15.75" customHeight="1" thickBot="1">
      <c r="A303" s="172"/>
      <c r="B303" s="95"/>
      <c r="C303" s="66"/>
      <c r="D303" s="62"/>
      <c r="E303" s="355"/>
      <c r="F303" s="355"/>
      <c r="G303" s="355"/>
      <c r="H303" s="355"/>
      <c r="I303" s="355"/>
      <c r="J303" s="355"/>
      <c r="K303" s="355"/>
      <c r="L303" s="355"/>
      <c r="M303" s="460"/>
      <c r="N303" s="460"/>
      <c r="O303" s="460"/>
      <c r="P303" s="461"/>
      <c r="Q303" s="96"/>
    </row>
    <row r="304" spans="1:18" ht="15.75" customHeight="1" thickBot="1">
      <c r="A304" s="172"/>
      <c r="B304" s="254" t="s">
        <v>73</v>
      </c>
      <c r="C304" s="105" t="s">
        <v>73</v>
      </c>
      <c r="D304" s="105" t="s">
        <v>74</v>
      </c>
      <c r="E304" s="462"/>
      <c r="F304" s="463"/>
      <c r="G304" s="464"/>
      <c r="H304" s="464" t="s">
        <v>55</v>
      </c>
      <c r="I304" s="68">
        <v>2</v>
      </c>
      <c r="J304" s="460"/>
      <c r="K304" s="460"/>
      <c r="L304" s="460"/>
      <c r="M304" s="460"/>
      <c r="N304" s="460"/>
      <c r="O304" s="460"/>
      <c r="P304" s="461"/>
      <c r="Q304" s="96"/>
    </row>
    <row r="305" spans="1:18" ht="15.75" customHeight="1">
      <c r="A305" s="172"/>
      <c r="B305" s="255" t="str">
        <f>"("&amp;VLOOKUP(C305,NodeList!$D$5:$E$68,2,FALSE)&amp;")"</f>
        <v>(Tunnel)</v>
      </c>
      <c r="C305" s="256" t="s">
        <v>265</v>
      </c>
      <c r="D305" s="388">
        <v>1</v>
      </c>
      <c r="E305" s="355">
        <f>$D305*((E302*(VLOOKUP(I304,'Option Tables'!$B$23:$F$26,2)))+(P302*(VLOOKUP(I304,'Option Tables'!$B$23:$F$26,3)))+(O302*(VLOOKUP(I304,'Option Tables'!$B$23:$F$26,4))+(N302*(VLOOKUP(I304,'Option Tables'!$B$23:$F$26,5)))))</f>
        <v>0</v>
      </c>
      <c r="F305" s="355">
        <f>$D305*((F302*(VLOOKUP(I304,'Option Tables'!$B$23:$F$26,2)))+(E302*(VLOOKUP(I304,'Option Tables'!$B$23:$F$26,3)))+(P302*(VLOOKUP(I304,'Option Tables'!$B$23:$F$26,4))+(O302*(VLOOKUP(I304,'Option Tables'!$B$23:$F$26,5)))))</f>
        <v>0</v>
      </c>
      <c r="G305" s="355">
        <f>$D305*((G302*(VLOOKUP(I304,'Option Tables'!$B$23:$F$26,2)))+(F302*(VLOOKUP(I304,'Option Tables'!$B$23:$F$26,3)))+(E302*(VLOOKUP(I304,'Option Tables'!$B$23:$F$26,4))+(P302*(VLOOKUP(I304,'Option Tables'!$B$23:$F$26,5)))))</f>
        <v>0</v>
      </c>
      <c r="H305" s="355">
        <f>$D305*((H302*(VLOOKUP(I304,'Option Tables'!$B$23:$F$26,2)))+(G302*(VLOOKUP(I304,'Option Tables'!$B$23:$F$26,3)))+(F302*(VLOOKUP(I304,'Option Tables'!$B$23:$F$26,4))+(E302*(VLOOKUP(I304,'Option Tables'!$B$23:$F$26,5)))))</f>
        <v>0</v>
      </c>
      <c r="I305" s="355">
        <f>$D305*((I302*(VLOOKUP(I304,'Option Tables'!$B$23:$F$26,2)))+(H302*(VLOOKUP(I304,'Option Tables'!$B$23:$F$26,3)))+(G302*(VLOOKUP(I304,'Option Tables'!$B$23:$F$26,4))+(F302*(VLOOKUP(I304,'Option Tables'!$B$23:$F$26,5)))))</f>
        <v>64.875772500000011</v>
      </c>
      <c r="J305" s="355">
        <f>$D305*((J302*(VLOOKUP(I304,'Option Tables'!$B$23:$F$26,2)))+(I302*(VLOOKUP(I304,'Option Tables'!$B$23:$F$26,3)))+(H302*(VLOOKUP(I304,'Option Tables'!$B$23:$F$26,4))+(G302*(VLOOKUP(I304,'Option Tables'!$B$23:$F$26,5)))))</f>
        <v>190.39184999999998</v>
      </c>
      <c r="K305" s="355">
        <f>$D305*((K302*(VLOOKUP(I304,'Option Tables'!$B$23:$F$26,2)))+(J302*(VLOOKUP(I304,'Option Tables'!$B$23:$F$26,3)))+(I302*(VLOOKUP(I304,'Option Tables'!$B$23:$F$26,4))+(H302*(VLOOKUP(I304,'Option Tables'!$B$23:$F$26,5)))))</f>
        <v>235.1112225</v>
      </c>
      <c r="L305" s="355">
        <f>$D305*((L302*(VLOOKUP(I304,'Option Tables'!$B$23:$F$26,2)))+(K302*(VLOOKUP(I304,'Option Tables'!$B$23:$F$26,3)))+(J302*(VLOOKUP(I304,'Option Tables'!$B$23:$F$26,4))+(I302*(VLOOKUP(I304,'Option Tables'!$B$23:$F$26,5)))))</f>
        <v>136.76181750000001</v>
      </c>
      <c r="M305" s="355">
        <f>$D305*((M302*(VLOOKUP(I304,'Option Tables'!$B$23:$F$26,2)))+(L302*(VLOOKUP(I304,'Option Tables'!$B$23:$F$26,3)))+(K302*(VLOOKUP(I304,'Option Tables'!$B$23:$F$26,4))+(J302*(VLOOKUP(I304,'Option Tables'!$B$23:$F$26,5)))))</f>
        <v>66.520575000000008</v>
      </c>
      <c r="N305" s="355">
        <f>$D305*((N302*(VLOOKUP(I304,'Option Tables'!$B$23:$F$26,2)))+(M302*(VLOOKUP(I304,'Option Tables'!$B$23:$F$26,3)))+(L302*(VLOOKUP(I304,'Option Tables'!$B$23:$F$26,4))+(K302*(VLOOKUP(I304,'Option Tables'!$B$23:$F$26,5)))))</f>
        <v>15.570307500000002</v>
      </c>
      <c r="O305" s="355">
        <f>$D305*((O302*(VLOOKUP(I304,'Option Tables'!$B$23:$F$26,2)))+(N302*(VLOOKUP(I304,'Option Tables'!$B$23:$F$26,3)))+(M302*(VLOOKUP(I304,'Option Tables'!$B$23:$F$26,4))+(L302*(VLOOKUP(I304,'Option Tables'!$B$23:$F$26,5)))))</f>
        <v>3.3770550000000008</v>
      </c>
      <c r="P305" s="465">
        <f>$D305*((P302*(VLOOKUP(I304,'Option Tables'!$B$23:$F$26,2)))+(O302*(VLOOKUP(I304,'Option Tables'!$B$23:$F$26,3)))+(N302*(VLOOKUP(I304,'Option Tables'!$B$23:$F$26,4))+(M302*(VLOOKUP(I304,'Option Tables'!$B$23:$F$26,5)))))</f>
        <v>0</v>
      </c>
      <c r="Q305" s="96"/>
    </row>
    <row r="306" spans="1:18" ht="15.75" customHeight="1">
      <c r="A306" s="172"/>
      <c r="B306" s="255"/>
      <c r="C306" s="256"/>
      <c r="D306" s="388">
        <v>0</v>
      </c>
      <c r="E306" s="355">
        <f>$D306*((E302*(VLOOKUP(I304,'Option Tables'!$B$23:$F$26,2)))+(P302*(VLOOKUP(I304,'Option Tables'!$B$23:$F$26,3)))+(O302*(VLOOKUP(I304,'Option Tables'!$B$23:$F$26,4))+(N302*(VLOOKUP(I304,'Option Tables'!$B$23:$F$26,5)))))</f>
        <v>0</v>
      </c>
      <c r="F306" s="355">
        <f>$D306*((F302*(VLOOKUP(I304,'Option Tables'!$B$23:$F$26,2)))+(E302*(VLOOKUP(I304,'Option Tables'!$B$23:$F$26,3)))+(P302*(VLOOKUP(I304,'Option Tables'!$B$23:$F$26,4))+(O302*(VLOOKUP(I304,'Option Tables'!$B$23:$F$26,5)))))</f>
        <v>0</v>
      </c>
      <c r="G306" s="355">
        <f>$D306*((G302*(VLOOKUP(I304,'Option Tables'!$B$23:$F$26,2)))+(F302*(VLOOKUP(I304,'Option Tables'!$B$23:$F$26,3)))+(E302*(VLOOKUP(I304,'Option Tables'!$B$23:$F$26,4))+(P302*(VLOOKUP(I304,'Option Tables'!$B$23:$F$26,5)))))</f>
        <v>0</v>
      </c>
      <c r="H306" s="355">
        <f>$D306*((H302*(VLOOKUP(I304,'Option Tables'!$B$23:$F$26,2)))+(G302*(VLOOKUP(I304,'Option Tables'!$B$23:$F$26,3)))+(F302*(VLOOKUP(I304,'Option Tables'!$B$23:$F$26,4))+(E302*(VLOOKUP(I304,'Option Tables'!$B$23:$F$26,5)))))</f>
        <v>0</v>
      </c>
      <c r="I306" s="355">
        <f>$D306*((I302*(VLOOKUP(I304,'Option Tables'!$B$23:$F$26,2)))+(H302*(VLOOKUP(I304,'Option Tables'!$B$23:$F$26,3)))+(G302*(VLOOKUP(I304,'Option Tables'!$B$23:$F$26,4))+(F302*(VLOOKUP(I304,'Option Tables'!$B$23:$F$26,5)))))</f>
        <v>0</v>
      </c>
      <c r="J306" s="355">
        <f>$D306*((J302*(VLOOKUP(I304,'Option Tables'!$B$23:$F$26,2)))+(I302*(VLOOKUP(I304,'Option Tables'!$B$23:$F$26,3)))+(H302*(VLOOKUP(I304,'Option Tables'!$B$23:$F$26,4))+(G302*(VLOOKUP(I304,'Option Tables'!$B$23:$F$26,5)))))</f>
        <v>0</v>
      </c>
      <c r="K306" s="355">
        <f>$D306*((K302*(VLOOKUP(I304,'Option Tables'!$B$23:$F$26,2)))+(J302*(VLOOKUP(I304,'Option Tables'!$B$23:$F$26,3)))+(I302*(VLOOKUP(I304,'Option Tables'!$B$23:$F$26,4))+(H302*(VLOOKUP(I304,'Option Tables'!$B$23:$F$26,5)))))</f>
        <v>0</v>
      </c>
      <c r="L306" s="355">
        <f>$D306*((L302*(VLOOKUP(I304,'Option Tables'!$B$23:$F$26,2)))+(K302*(VLOOKUP(I304,'Option Tables'!$B$23:$F$26,3)))+(J302*(VLOOKUP(I304,'Option Tables'!$B$23:$F$26,4))+(I302*(VLOOKUP(I304,'Option Tables'!$B$23:$F$26,5)))))</f>
        <v>0</v>
      </c>
      <c r="M306" s="355">
        <f>$D306*((M302*(VLOOKUP(I304,'Option Tables'!$B$23:$F$26,2)))+(L302*(VLOOKUP(I304,'Option Tables'!$B$23:$F$26,3)))+(K302*(VLOOKUP(I304,'Option Tables'!$B$23:$F$26,4))+(J302*(VLOOKUP(I304,'Option Tables'!$B$23:$F$26,5)))))</f>
        <v>0</v>
      </c>
      <c r="N306" s="355">
        <f>$D306*((N302*(VLOOKUP(I304,'Option Tables'!$B$23:$F$26,2)))+(M302*(VLOOKUP(I304,'Option Tables'!$B$23:$F$26,3)))+(L302*(VLOOKUP(I304,'Option Tables'!$B$23:$F$26,4))+(K302*(VLOOKUP(I304,'Option Tables'!$B$23:$F$26,5)))))</f>
        <v>0</v>
      </c>
      <c r="O306" s="355">
        <f>$D306*((O302*(VLOOKUP(I304,'Option Tables'!$B$23:$F$26,2)))+(N302*(VLOOKUP(I304,'Option Tables'!$B$23:$F$26,3)))+(M302*(VLOOKUP(I304,'Option Tables'!$B$23:$F$26,4))+(L302*(VLOOKUP(I304,'Option Tables'!$B$23:$F$26,5)))))</f>
        <v>0</v>
      </c>
      <c r="P306" s="465">
        <f>$D306*((P302*(VLOOKUP(I304,'Option Tables'!$B$23:$F$26,2)))+(O302*(VLOOKUP(I304,'Option Tables'!$B$23:$F$26,3)))+(N302*(VLOOKUP(I304,'Option Tables'!$B$23:$F$26,4))+(M302*(VLOOKUP(I304,'Option Tables'!$B$23:$F$26,5)))))</f>
        <v>0</v>
      </c>
      <c r="Q306" s="96"/>
    </row>
    <row r="307" spans="1:18" ht="15.75" customHeight="1">
      <c r="A307" s="172"/>
      <c r="B307" s="95"/>
      <c r="C307" s="256"/>
      <c r="D307" s="388">
        <v>0</v>
      </c>
      <c r="E307" s="355">
        <f>$D307*((E302*(VLOOKUP(I304,'Option Tables'!$B$23:$F$26,2)))+(P302*(VLOOKUP(I304,'Option Tables'!$B$23:$F$26,3)))+(O302*(VLOOKUP(I304,'Option Tables'!$B$23:$F$26,4))+(N302*(VLOOKUP(I304,'Option Tables'!$B$23:$F$26,5)))))</f>
        <v>0</v>
      </c>
      <c r="F307" s="355">
        <f>$D307*((F302*(VLOOKUP(I304,'Option Tables'!$B$23:$F$26,2)))+(E302*(VLOOKUP(I304,'Option Tables'!$B$23:$F$26,3)))+(P302*(VLOOKUP(I304,'Option Tables'!$B$23:$F$26,4))+(O302*(VLOOKUP(I304,'Option Tables'!$B$23:$F$26,5)))))</f>
        <v>0</v>
      </c>
      <c r="G307" s="355">
        <f>$D307*((G302*(VLOOKUP(I304,'Option Tables'!$B$23:$F$26,2)))+(F302*(VLOOKUP(I304,'Option Tables'!$B$23:$F$26,3)))+(E302*(VLOOKUP(I304,'Option Tables'!$B$23:$F$26,4))+(P302*(VLOOKUP(I304,'Option Tables'!$B$23:$F$26,5)))))</f>
        <v>0</v>
      </c>
      <c r="H307" s="355">
        <f>$D307*((H302*(VLOOKUP(I304,'Option Tables'!$B$23:$F$26,2)))+(G302*(VLOOKUP(I304,'Option Tables'!$B$23:$F$26,3)))+(F302*(VLOOKUP(I304,'Option Tables'!$B$23:$F$26,4))+(E302*(VLOOKUP(I304,'Option Tables'!$B$23:$F$26,5)))))</f>
        <v>0</v>
      </c>
      <c r="I307" s="355">
        <f>$D307*((I302*(VLOOKUP(I304,'Option Tables'!$B$23:$F$26,2)))+(H302*(VLOOKUP(I304,'Option Tables'!$B$23:$F$26,3)))+(G302*(VLOOKUP(I304,'Option Tables'!$B$23:$F$26,4))+(F302*(VLOOKUP(I304,'Option Tables'!$B$23:$F$26,5)))))</f>
        <v>0</v>
      </c>
      <c r="J307" s="355">
        <f>$D307*((J302*(VLOOKUP(I304,'Option Tables'!$B$23:$F$26,2)))+(I302*(VLOOKUP(I304,'Option Tables'!$B$23:$F$26,3)))+(H302*(VLOOKUP(I304,'Option Tables'!$B$23:$F$26,4))+(G302*(VLOOKUP(I304,'Option Tables'!$B$23:$F$26,5)))))</f>
        <v>0</v>
      </c>
      <c r="K307" s="355">
        <f>$D307*((K302*(VLOOKUP(I304,'Option Tables'!$B$23:$F$26,2)))+(J302*(VLOOKUP(I304,'Option Tables'!$B$23:$F$26,3)))+(I302*(VLOOKUP(I304,'Option Tables'!$B$23:$F$26,4))+(H302*(VLOOKUP(I304,'Option Tables'!$B$23:$F$26,5)))))</f>
        <v>0</v>
      </c>
      <c r="L307" s="355">
        <f>$D307*((L302*(VLOOKUP(I304,'Option Tables'!$B$23:$F$26,2)))+(K302*(VLOOKUP(I304,'Option Tables'!$B$23:$F$26,3)))+(J302*(VLOOKUP(I304,'Option Tables'!$B$23:$F$26,4))+(I302*(VLOOKUP(I304,'Option Tables'!$B$23:$F$26,5)))))</f>
        <v>0</v>
      </c>
      <c r="M307" s="355">
        <f>$D307*((M302*(VLOOKUP(I304,'Option Tables'!$B$23:$F$26,2)))+(L302*(VLOOKUP(I304,'Option Tables'!$B$23:$F$26,3)))+(K302*(VLOOKUP(I304,'Option Tables'!$B$23:$F$26,4))+(J302*(VLOOKUP(I304,'Option Tables'!$B$23:$F$26,5)))))</f>
        <v>0</v>
      </c>
      <c r="N307" s="355">
        <f>$D307*((N302*(VLOOKUP(I304,'Option Tables'!$B$23:$F$26,2)))+(M302*(VLOOKUP(I304,'Option Tables'!$B$23:$F$26,3)))+(L302*(VLOOKUP(I304,'Option Tables'!$B$23:$F$26,4))+(K302*(VLOOKUP(I304,'Option Tables'!$B$23:$F$26,5)))))</f>
        <v>0</v>
      </c>
      <c r="O307" s="355">
        <f>$D307*((O302*(VLOOKUP(I304,'Option Tables'!$B$23:$F$26,2)))+(N302*(VLOOKUP(I304,'Option Tables'!$B$23:$F$26,3)))+(M302*(VLOOKUP(I304,'Option Tables'!$B$23:$F$26,4))+(L302*(VLOOKUP(I304,'Option Tables'!$B$23:$F$26,5)))))</f>
        <v>0</v>
      </c>
      <c r="P307" s="465">
        <f>$D307*((P302*(VLOOKUP(I304,'Option Tables'!$B$23:$F$26,2)))+(O302*(VLOOKUP(I304,'Option Tables'!$B$23:$F$26,3)))+(N302*(VLOOKUP(I304,'Option Tables'!$B$23:$F$26,4))+(M302*(VLOOKUP(I304,'Option Tables'!$B$23:$F$26,5)))))</f>
        <v>0</v>
      </c>
      <c r="Q307" s="96"/>
    </row>
    <row r="308" spans="1:18" ht="15.75" customHeight="1">
      <c r="A308" s="172"/>
      <c r="B308" s="95"/>
      <c r="C308" s="256"/>
      <c r="D308" s="388">
        <v>0</v>
      </c>
      <c r="E308" s="355">
        <f>$D308*((E302*(VLOOKUP(I304,'Option Tables'!$B$23:$F$26,2)))+(P302*(VLOOKUP(I304,'Option Tables'!$B$23:$F$26,3)))+(O302*(VLOOKUP(I304,'Option Tables'!$B$23:$F$26,4))+(N302*(VLOOKUP(I304,'Option Tables'!$B$23:$F$26,5)))))</f>
        <v>0</v>
      </c>
      <c r="F308" s="355">
        <f>$D308*((F302*(VLOOKUP(I304,'Option Tables'!$B$23:$F$26,2)))+(E302*(VLOOKUP(I304,'Option Tables'!$B$23:$F$26,3)))+(P302*(VLOOKUP(I304,'Option Tables'!$B$23:$F$26,4))+(O302*(VLOOKUP(I304,'Option Tables'!$B$23:$F$26,5)))))</f>
        <v>0</v>
      </c>
      <c r="G308" s="355">
        <f>$D308*((G302*(VLOOKUP(I304,'Option Tables'!$B$23:$F$26,2)))+(F302*(VLOOKUP(I304,'Option Tables'!$B$23:$F$26,3)))+(E302*(VLOOKUP(I304,'Option Tables'!$B$23:$F$26,4))+(P302*(VLOOKUP(I304,'Option Tables'!$B$23:$F$26,5)))))</f>
        <v>0</v>
      </c>
      <c r="H308" s="355">
        <f>$D308*((H302*(VLOOKUP(I304,'Option Tables'!$B$23:$F$26,2)))+(G302*(VLOOKUP(I304,'Option Tables'!$B$23:$F$26,3)))+(F302*(VLOOKUP(I304,'Option Tables'!$B$23:$F$26,4))+(E302*(VLOOKUP(I304,'Option Tables'!$B$23:$F$26,5)))))</f>
        <v>0</v>
      </c>
      <c r="I308" s="355">
        <f>$D308*((I302*(VLOOKUP(I304,'Option Tables'!$B$23:$F$26,2)))+(H302*(VLOOKUP(I304,'Option Tables'!$B$23:$F$26,3)))+(G302*(VLOOKUP(I304,'Option Tables'!$B$23:$F$26,4))+(F302*(VLOOKUP(I304,'Option Tables'!$B$23:$F$26,5)))))</f>
        <v>0</v>
      </c>
      <c r="J308" s="355">
        <f>$D308*((J302*(VLOOKUP(I304,'Option Tables'!$B$23:$F$26,2)))+(I302*(VLOOKUP(I304,'Option Tables'!$B$23:$F$26,3)))+(H302*(VLOOKUP(I304,'Option Tables'!$B$23:$F$26,4))+(G302*(VLOOKUP(I304,'Option Tables'!$B$23:$F$26,5)))))</f>
        <v>0</v>
      </c>
      <c r="K308" s="355">
        <f>$D308*((K302*(VLOOKUP(I304,'Option Tables'!$B$23:$F$26,2)))+(J302*(VLOOKUP(I304,'Option Tables'!$B$23:$F$26,3)))+(I302*(VLOOKUP(I304,'Option Tables'!$B$23:$F$26,4))+(H302*(VLOOKUP(I304,'Option Tables'!$B$23:$F$26,5)))))</f>
        <v>0</v>
      </c>
      <c r="L308" s="355">
        <f>$D308*((L302*(VLOOKUP(I304,'Option Tables'!$B$23:$F$26,2)))+(K302*(VLOOKUP(I304,'Option Tables'!$B$23:$F$26,3)))+(J302*(VLOOKUP(I304,'Option Tables'!$B$23:$F$26,4))+(I302*(VLOOKUP(I304,'Option Tables'!$B$23:$F$26,5)))))</f>
        <v>0</v>
      </c>
      <c r="M308" s="355">
        <f>$D308*((M302*(VLOOKUP(I304,'Option Tables'!$B$23:$F$26,2)))+(L302*(VLOOKUP(I304,'Option Tables'!$B$23:$F$26,3)))+(K302*(VLOOKUP(I304,'Option Tables'!$B$23:$F$26,4))+(J302*(VLOOKUP(I304,'Option Tables'!$B$23:$F$26,5)))))</f>
        <v>0</v>
      </c>
      <c r="N308" s="355">
        <f>$D308*((N302*(VLOOKUP(I304,'Option Tables'!$B$23:$F$26,2)))+(M302*(VLOOKUP(I304,'Option Tables'!$B$23:$F$26,3)))+(L302*(VLOOKUP(I304,'Option Tables'!$B$23:$F$26,4))+(K302*(VLOOKUP(I304,'Option Tables'!$B$23:$F$26,5)))))</f>
        <v>0</v>
      </c>
      <c r="O308" s="355">
        <f>$D308*((O302*(VLOOKUP(I304,'Option Tables'!$B$23:$F$26,2)))+(N302*(VLOOKUP(I304,'Option Tables'!$B$23:$F$26,3)))+(M302*(VLOOKUP(I304,'Option Tables'!$B$23:$F$26,4))+(L302*(VLOOKUP(I304,'Option Tables'!$B$23:$F$26,5)))))</f>
        <v>0</v>
      </c>
      <c r="P308" s="465">
        <f>$D308*((P302*(VLOOKUP(I304,'Option Tables'!$B$23:$F$26,2)))+(O302*(VLOOKUP(I304,'Option Tables'!$B$23:$F$26,3)))+(N302*(VLOOKUP(I304,'Option Tables'!$B$23:$F$26,4))+(M302*(VLOOKUP(I304,'Option Tables'!$B$23:$F$26,5)))))</f>
        <v>0</v>
      </c>
      <c r="Q308" s="96"/>
    </row>
    <row r="309" spans="1:18" ht="15.75" customHeight="1" thickBot="1">
      <c r="A309" s="172"/>
      <c r="B309" s="97"/>
      <c r="C309" s="144" t="str">
        <f>IF(D309&lt;&gt;1,"Must equal %100","")</f>
        <v/>
      </c>
      <c r="D309" s="71">
        <f t="shared" ref="D309:P309" si="29">SUM(D305:D308)</f>
        <v>1</v>
      </c>
      <c r="E309" s="466">
        <f t="shared" si="29"/>
        <v>0</v>
      </c>
      <c r="F309" s="466">
        <f t="shared" si="29"/>
        <v>0</v>
      </c>
      <c r="G309" s="466">
        <f t="shared" si="29"/>
        <v>0</v>
      </c>
      <c r="H309" s="466">
        <f t="shared" si="29"/>
        <v>0</v>
      </c>
      <c r="I309" s="466">
        <f t="shared" si="29"/>
        <v>64.875772500000011</v>
      </c>
      <c r="J309" s="466">
        <f t="shared" si="29"/>
        <v>190.39184999999998</v>
      </c>
      <c r="K309" s="466">
        <f t="shared" si="29"/>
        <v>235.1112225</v>
      </c>
      <c r="L309" s="466">
        <f t="shared" si="29"/>
        <v>136.76181750000001</v>
      </c>
      <c r="M309" s="466">
        <f t="shared" si="29"/>
        <v>66.520575000000008</v>
      </c>
      <c r="N309" s="466">
        <f t="shared" si="29"/>
        <v>15.570307500000002</v>
      </c>
      <c r="O309" s="466">
        <f t="shared" si="29"/>
        <v>3.3770550000000008</v>
      </c>
      <c r="P309" s="467">
        <f t="shared" si="29"/>
        <v>0</v>
      </c>
      <c r="Q309" s="96"/>
      <c r="R309" s="140"/>
    </row>
    <row r="310" spans="1:18" ht="15.75" customHeight="1" thickBot="1">
      <c r="B310" s="85" t="s">
        <v>265</v>
      </c>
      <c r="C310" s="257" t="str">
        <f>VLOOKUP(B310,NodeList!$D$5:$E$73,2,FALSE)</f>
        <v>Tunnel</v>
      </c>
      <c r="D310" s="91"/>
      <c r="E310" s="450"/>
      <c r="F310" s="451"/>
      <c r="G310" s="452"/>
      <c r="H310" s="453" t="s">
        <v>54</v>
      </c>
      <c r="I310" s="68">
        <v>36</v>
      </c>
      <c r="J310" s="454"/>
      <c r="K310" s="454"/>
      <c r="L310" s="454"/>
      <c r="M310" s="454"/>
      <c r="N310" s="454"/>
      <c r="O310" s="454"/>
      <c r="P310" s="455"/>
      <c r="Q310" s="96"/>
    </row>
    <row r="311" spans="1:18" ht="15.75" customHeight="1">
      <c r="B311" s="94"/>
      <c r="C311" s="66" t="s">
        <v>57</v>
      </c>
      <c r="D311" s="69"/>
      <c r="E311" s="456">
        <f>VLOOKUP($B310,'Diversion Data'!$B$3:$O$227,3,FALSE)</f>
        <v>0</v>
      </c>
      <c r="F311" s="456">
        <f>VLOOKUP($B310,'Diversion Data'!$B$3:$O$227,4,FALSE)</f>
        <v>0</v>
      </c>
      <c r="G311" s="456">
        <f>VLOOKUP($B310,'Diversion Data'!$B$3:$O$227,5,FALSE)</f>
        <v>0</v>
      </c>
      <c r="H311" s="456">
        <f>VLOOKUP($B310,'Diversion Data'!$B$3:$O$227,6,FALSE)</f>
        <v>0</v>
      </c>
      <c r="I311" s="456">
        <f>VLOOKUP($B310,'Diversion Data'!$B$3:$O$227,7,FALSE)</f>
        <v>979.77975327045453</v>
      </c>
      <c r="J311" s="456">
        <f>VLOOKUP($B310,'Diversion Data'!$B$3:$O$227,8,FALSE)</f>
        <v>952.82728098688006</v>
      </c>
      <c r="K311" s="456">
        <f>VLOOKUP($B310,'Diversion Data'!$B$3:$O$227,9,FALSE)</f>
        <v>310.46096293274798</v>
      </c>
      <c r="L311" s="456">
        <f>VLOOKUP($B310,'Diversion Data'!$B$3:$O$227,10,FALSE)</f>
        <v>103.27184078667358</v>
      </c>
      <c r="M311" s="456">
        <f>VLOOKUP($B310,'Diversion Data'!$B$3:$O$227,11,FALSE)</f>
        <v>63.103624236053719</v>
      </c>
      <c r="N311" s="456">
        <f>VLOOKUP($B310,'Diversion Data'!$B$3:$O$227,12,FALSE)</f>
        <v>0</v>
      </c>
      <c r="O311" s="456">
        <f>VLOOKUP($B310,'Diversion Data'!$B$3:$O$227,13,FALSE)</f>
        <v>0</v>
      </c>
      <c r="P311" s="457">
        <f>VLOOKUP($B310,'Diversion Data'!$B$3:$O$227,14,FALSE)</f>
        <v>0</v>
      </c>
      <c r="Q311" s="96"/>
    </row>
    <row r="312" spans="1:18" ht="15.75" customHeight="1">
      <c r="B312" s="95"/>
      <c r="C312" s="72" t="s">
        <v>56</v>
      </c>
      <c r="D312" s="70"/>
      <c r="E312" s="458">
        <f>VLOOKUP($I310,'Option Tables'!$B$3:$N$19,2,FALSE)*E311</f>
        <v>0</v>
      </c>
      <c r="F312" s="458">
        <f>VLOOKUP($I310,'Option Tables'!$B$3:$N$19,3,FALSE)*F311</f>
        <v>0</v>
      </c>
      <c r="G312" s="458">
        <f>VLOOKUP($I310,'Option Tables'!$B$3:$N$19,4,FALSE)*G311</f>
        <v>0</v>
      </c>
      <c r="H312" s="458">
        <f>VLOOKUP($I310,'Option Tables'!$B$3:$N$19,5,FALSE)*H311</f>
        <v>0</v>
      </c>
      <c r="I312" s="458">
        <f>VLOOKUP($I310,'Option Tables'!$B$3:$N$19,6,FALSE)*I311</f>
        <v>627.05904209309097</v>
      </c>
      <c r="J312" s="458">
        <f>VLOOKUP($I310,'Option Tables'!$B$3:$N$19,7,FALSE)*J311</f>
        <v>609.80945983160325</v>
      </c>
      <c r="K312" s="458">
        <f>VLOOKUP($I310,'Option Tables'!$B$3:$N$19,8,FALSE)*K311</f>
        <v>198.69501627695871</v>
      </c>
      <c r="L312" s="458">
        <f>VLOOKUP($I310,'Option Tables'!$B$3:$N$19,9,FALSE)*L311</f>
        <v>66.093978103471088</v>
      </c>
      <c r="M312" s="458">
        <f>VLOOKUP($I310,'Option Tables'!$B$3:$N$19,10,FALSE)*M311</f>
        <v>40.386319511074383</v>
      </c>
      <c r="N312" s="458">
        <f>VLOOKUP($I310,'Option Tables'!$B$3:$N$19,11,FALSE)*N311</f>
        <v>0</v>
      </c>
      <c r="O312" s="458">
        <f>VLOOKUP($I310,'Option Tables'!$B$3:$N$19,12,FALSE)*O311</f>
        <v>0</v>
      </c>
      <c r="P312" s="459">
        <f>VLOOKUP($I310,'Option Tables'!$B$3:$N$19,13,FALSE)*P311</f>
        <v>0</v>
      </c>
      <c r="Q312" s="96"/>
    </row>
    <row r="313" spans="1:18" ht="15.75" customHeight="1" thickBot="1">
      <c r="B313" s="95"/>
      <c r="C313" s="66"/>
      <c r="D313" s="62"/>
      <c r="E313" s="355"/>
      <c r="F313" s="355"/>
      <c r="G313" s="355"/>
      <c r="H313" s="355"/>
      <c r="I313" s="355"/>
      <c r="J313" s="355"/>
      <c r="K313" s="355"/>
      <c r="L313" s="355"/>
      <c r="M313" s="460"/>
      <c r="N313" s="460"/>
      <c r="O313" s="460"/>
      <c r="P313" s="461"/>
      <c r="Q313" s="96"/>
    </row>
    <row r="314" spans="1:18" ht="15.75" customHeight="1" thickBot="1">
      <c r="B314" s="254" t="s">
        <v>73</v>
      </c>
      <c r="C314" s="105" t="s">
        <v>73</v>
      </c>
      <c r="D314" s="105" t="s">
        <v>74</v>
      </c>
      <c r="E314" s="462"/>
      <c r="F314" s="463"/>
      <c r="G314" s="464"/>
      <c r="H314" s="464" t="s">
        <v>55</v>
      </c>
      <c r="I314" s="68">
        <v>2</v>
      </c>
      <c r="J314" s="460"/>
      <c r="K314" s="460"/>
      <c r="L314" s="460"/>
      <c r="M314" s="460"/>
      <c r="N314" s="460"/>
      <c r="O314" s="460"/>
      <c r="P314" s="461"/>
      <c r="Q314" s="96"/>
    </row>
    <row r="315" spans="1:18" ht="15.75" customHeight="1">
      <c r="B315" s="255" t="str">
        <f>"("&amp;VLOOKUP(C315,NodeList!$D$5:$E$68,2,FALSE)&amp;")"</f>
        <v>(Woodruff Narrows Reservoir)</v>
      </c>
      <c r="C315" s="256" t="s">
        <v>162</v>
      </c>
      <c r="D315" s="388">
        <v>1</v>
      </c>
      <c r="E315" s="355">
        <f>$D315*((E312*(VLOOKUP(I314,'Option Tables'!$B$23:$F$26,2)))+(P312*(VLOOKUP(I314,'Option Tables'!$B$23:$F$26,3)))+(O312*(VLOOKUP(I314,'Option Tables'!$B$23:$F$26,4))+(N312*(VLOOKUP(I314,'Option Tables'!$B$23:$F$26,5)))))</f>
        <v>0</v>
      </c>
      <c r="F315" s="355">
        <f>$D315*((F312*(VLOOKUP(I314,'Option Tables'!$B$23:$F$26,2)))+(E312*(VLOOKUP(I314,'Option Tables'!$B$23:$F$26,3)))+(P312*(VLOOKUP(I314,'Option Tables'!$B$23:$F$26,4))+(O312*(VLOOKUP(I314,'Option Tables'!$B$23:$F$26,5)))))</f>
        <v>0</v>
      </c>
      <c r="G315" s="355">
        <f>$D315*((G312*(VLOOKUP(I314,'Option Tables'!$B$23:$F$26,2)))+(F312*(VLOOKUP(I314,'Option Tables'!$B$23:$F$26,3)))+(E312*(VLOOKUP(I314,'Option Tables'!$B$23:$F$26,4))+(P312*(VLOOKUP(I314,'Option Tables'!$B$23:$F$26,5)))))</f>
        <v>0</v>
      </c>
      <c r="H315" s="355">
        <f>$D315*((H312*(VLOOKUP(I314,'Option Tables'!$B$23:$F$26,2)))+(G312*(VLOOKUP(I314,'Option Tables'!$B$23:$F$26,3)))+(F312*(VLOOKUP(I314,'Option Tables'!$B$23:$F$26,4))+(E312*(VLOOKUP(I314,'Option Tables'!$B$23:$F$26,5)))))</f>
        <v>0</v>
      </c>
      <c r="I315" s="355">
        <f>$D315*((I312*(VLOOKUP(I314,'Option Tables'!$B$23:$F$26,2)))+(H312*(VLOOKUP(I314,'Option Tables'!$B$23:$F$26,3)))+(G312*(VLOOKUP(I314,'Option Tables'!$B$23:$F$26,4))+(F312*(VLOOKUP(I314,'Option Tables'!$B$23:$F$26,5)))))</f>
        <v>438.94132946516368</v>
      </c>
      <c r="J315" s="355">
        <f>$D315*((J312*(VLOOKUP(I314,'Option Tables'!$B$23:$F$26,2)))+(I312*(VLOOKUP(I314,'Option Tables'!$B$23:$F$26,3)))+(H312*(VLOOKUP(I314,'Option Tables'!$B$23:$F$26,4))+(G312*(VLOOKUP(I314,'Option Tables'!$B$23:$F$26,5)))))</f>
        <v>552.27843030074041</v>
      </c>
      <c r="K315" s="355">
        <f>$D315*((K312*(VLOOKUP(I314,'Option Tables'!$B$23:$F$26,2)))+(J312*(VLOOKUP(I314,'Option Tables'!$B$23:$F$26,3)))+(I312*(VLOOKUP(I314,'Option Tables'!$B$23:$F$26,4))+(H312*(VLOOKUP(I314,'Option Tables'!$B$23:$F$26,5)))))</f>
        <v>323.75430756950084</v>
      </c>
      <c r="L315" s="355">
        <f>$D315*((L312*(VLOOKUP(I314,'Option Tables'!$B$23:$F$26,2)))+(K312*(VLOOKUP(I314,'Option Tables'!$B$23:$F$26,3)))+(J312*(VLOOKUP(I314,'Option Tables'!$B$23:$F$26,4))+(I312*(VLOOKUP(I314,'Option Tables'!$B$23:$F$26,5)))))</f>
        <v>146.98573391098182</v>
      </c>
      <c r="M315" s="355">
        <f>$D315*((M312*(VLOOKUP(I314,'Option Tables'!$B$23:$F$26,2)))+(L312*(VLOOKUP(I314,'Option Tables'!$B$23:$F$26,3)))+(K312*(VLOOKUP(I314,'Option Tables'!$B$23:$F$26,4))+(J312*(VLOOKUP(I314,'Option Tables'!$B$23:$F$26,5)))))</f>
        <v>61.358720906142153</v>
      </c>
      <c r="N315" s="355">
        <f>$D315*((N312*(VLOOKUP(I314,'Option Tables'!$B$23:$F$26,2)))+(M312*(VLOOKUP(I314,'Option Tables'!$B$23:$F$26,3)))+(L312*(VLOOKUP(I314,'Option Tables'!$B$23:$F$26,4))+(K312*(VLOOKUP(I314,'Option Tables'!$B$23:$F$26,5)))))</f>
        <v>14.686661712561985</v>
      </c>
      <c r="O315" s="355">
        <f>$D315*((O312*(VLOOKUP(I314,'Option Tables'!$B$23:$F$26,2)))+(N312*(VLOOKUP(I314,'Option Tables'!$B$23:$F$26,3)))+(M312*(VLOOKUP(I314,'Option Tables'!$B$23:$F$26,4))+(L312*(VLOOKUP(I314,'Option Tables'!$B$23:$F$26,5)))))</f>
        <v>4.0386319511074387</v>
      </c>
      <c r="P315" s="465">
        <f>$D315*((P312*(VLOOKUP(I314,'Option Tables'!$B$23:$F$26,2)))+(O312*(VLOOKUP(I314,'Option Tables'!$B$23:$F$26,3)))+(N312*(VLOOKUP(I314,'Option Tables'!$B$23:$F$26,4))+(M312*(VLOOKUP(I314,'Option Tables'!$B$23:$F$26,5)))))</f>
        <v>0</v>
      </c>
      <c r="Q315" s="96"/>
    </row>
    <row r="316" spans="1:18" ht="15.75" customHeight="1">
      <c r="B316" s="95"/>
      <c r="C316" s="256"/>
      <c r="D316" s="388">
        <v>0</v>
      </c>
      <c r="E316" s="355">
        <f>$D316*((E312*(VLOOKUP(I314,'Option Tables'!$B$23:$F$26,2)))+(P312*(VLOOKUP(I314,'Option Tables'!$B$23:$F$26,3)))+(O312*(VLOOKUP(I314,'Option Tables'!$B$23:$F$26,4))+(N312*(VLOOKUP(I314,'Option Tables'!$B$23:$F$26,5)))))</f>
        <v>0</v>
      </c>
      <c r="F316" s="355">
        <f>$D316*((F312*(VLOOKUP(I314,'Option Tables'!$B$23:$F$26,2)))+(E312*(VLOOKUP(I314,'Option Tables'!$B$23:$F$26,3)))+(P312*(VLOOKUP(I314,'Option Tables'!$B$23:$F$26,4))+(O312*(VLOOKUP(I314,'Option Tables'!$B$23:$F$26,5)))))</f>
        <v>0</v>
      </c>
      <c r="G316" s="355">
        <f>$D316*((G312*(VLOOKUP(I314,'Option Tables'!$B$23:$F$26,2)))+(F312*(VLOOKUP(I314,'Option Tables'!$B$23:$F$26,3)))+(E312*(VLOOKUP(I314,'Option Tables'!$B$23:$F$26,4))+(P312*(VLOOKUP(I314,'Option Tables'!$B$23:$F$26,5)))))</f>
        <v>0</v>
      </c>
      <c r="H316" s="355">
        <f>$D316*((H312*(VLOOKUP(I314,'Option Tables'!$B$23:$F$26,2)))+(G312*(VLOOKUP(I314,'Option Tables'!$B$23:$F$26,3)))+(F312*(VLOOKUP(I314,'Option Tables'!$B$23:$F$26,4))+(E312*(VLOOKUP(I314,'Option Tables'!$B$23:$F$26,5)))))</f>
        <v>0</v>
      </c>
      <c r="I316" s="355">
        <f>$D316*((I312*(VLOOKUP(I314,'Option Tables'!$B$23:$F$26,2)))+(H312*(VLOOKUP(I314,'Option Tables'!$B$23:$F$26,3)))+(G312*(VLOOKUP(I314,'Option Tables'!$B$23:$F$26,4))+(F312*(VLOOKUP(I314,'Option Tables'!$B$23:$F$26,5)))))</f>
        <v>0</v>
      </c>
      <c r="J316" s="355">
        <f>$D316*((J312*(VLOOKUP(I314,'Option Tables'!$B$23:$F$26,2)))+(I312*(VLOOKUP(I314,'Option Tables'!$B$23:$F$26,3)))+(H312*(VLOOKUP(I314,'Option Tables'!$B$23:$F$26,4))+(G312*(VLOOKUP(I314,'Option Tables'!$B$23:$F$26,5)))))</f>
        <v>0</v>
      </c>
      <c r="K316" s="355">
        <f>$D316*((K312*(VLOOKUP(I314,'Option Tables'!$B$23:$F$26,2)))+(J312*(VLOOKUP(I314,'Option Tables'!$B$23:$F$26,3)))+(I312*(VLOOKUP(I314,'Option Tables'!$B$23:$F$26,4))+(H312*(VLOOKUP(I314,'Option Tables'!$B$23:$F$26,5)))))</f>
        <v>0</v>
      </c>
      <c r="L316" s="355">
        <f>$D316*((L312*(VLOOKUP(I314,'Option Tables'!$B$23:$F$26,2)))+(K312*(VLOOKUP(I314,'Option Tables'!$B$23:$F$26,3)))+(J312*(VLOOKUP(I314,'Option Tables'!$B$23:$F$26,4))+(I312*(VLOOKUP(I314,'Option Tables'!$B$23:$F$26,5)))))</f>
        <v>0</v>
      </c>
      <c r="M316" s="355">
        <f>$D316*((M312*(VLOOKUP(I314,'Option Tables'!$B$23:$F$26,2)))+(L312*(VLOOKUP(I314,'Option Tables'!$B$23:$F$26,3)))+(K312*(VLOOKUP(I314,'Option Tables'!$B$23:$F$26,4))+(J312*(VLOOKUP(I314,'Option Tables'!$B$23:$F$26,5)))))</f>
        <v>0</v>
      </c>
      <c r="N316" s="355">
        <f>$D316*((N312*(VLOOKUP(I314,'Option Tables'!$B$23:$F$26,2)))+(M312*(VLOOKUP(I314,'Option Tables'!$B$23:$F$26,3)))+(L312*(VLOOKUP(I314,'Option Tables'!$B$23:$F$26,4))+(K312*(VLOOKUP(I314,'Option Tables'!$B$23:$F$26,5)))))</f>
        <v>0</v>
      </c>
      <c r="O316" s="355">
        <f>$D316*((O312*(VLOOKUP(I314,'Option Tables'!$B$23:$F$26,2)))+(N312*(VLOOKUP(I314,'Option Tables'!$B$23:$F$26,3)))+(M312*(VLOOKUP(I314,'Option Tables'!$B$23:$F$26,4))+(L312*(VLOOKUP(I314,'Option Tables'!$B$23:$F$26,5)))))</f>
        <v>0</v>
      </c>
      <c r="P316" s="465">
        <f>$D316*((P312*(VLOOKUP(I314,'Option Tables'!$B$23:$F$26,2)))+(O312*(VLOOKUP(I314,'Option Tables'!$B$23:$F$26,3)))+(N312*(VLOOKUP(I314,'Option Tables'!$B$23:$F$26,4))+(M312*(VLOOKUP(I314,'Option Tables'!$B$23:$F$26,5)))))</f>
        <v>0</v>
      </c>
      <c r="Q316" s="96"/>
    </row>
    <row r="317" spans="1:18" ht="15.75" customHeight="1">
      <c r="B317" s="95"/>
      <c r="C317" s="256"/>
      <c r="D317" s="388">
        <v>0</v>
      </c>
      <c r="E317" s="355">
        <f>$D317*((E312*(VLOOKUP(I314,'Option Tables'!$B$23:$F$26,2)))+(P312*(VLOOKUP(I314,'Option Tables'!$B$23:$F$26,3)))+(O312*(VLOOKUP(I314,'Option Tables'!$B$23:$F$26,4))+(N312*(VLOOKUP(I314,'Option Tables'!$B$23:$F$26,5)))))</f>
        <v>0</v>
      </c>
      <c r="F317" s="355">
        <f>$D317*((F312*(VLOOKUP(I314,'Option Tables'!$B$23:$F$26,2)))+(E312*(VLOOKUP(I314,'Option Tables'!$B$23:$F$26,3)))+(P312*(VLOOKUP(I314,'Option Tables'!$B$23:$F$26,4))+(O312*(VLOOKUP(I314,'Option Tables'!$B$23:$F$26,5)))))</f>
        <v>0</v>
      </c>
      <c r="G317" s="355">
        <f>$D317*((G312*(VLOOKUP(I314,'Option Tables'!$B$23:$F$26,2)))+(F312*(VLOOKUP(I314,'Option Tables'!$B$23:$F$26,3)))+(E312*(VLOOKUP(I314,'Option Tables'!$B$23:$F$26,4))+(P312*(VLOOKUP(I314,'Option Tables'!$B$23:$F$26,5)))))</f>
        <v>0</v>
      </c>
      <c r="H317" s="355">
        <f>$D317*((H312*(VLOOKUP(I314,'Option Tables'!$B$23:$F$26,2)))+(G312*(VLOOKUP(I314,'Option Tables'!$B$23:$F$26,3)))+(F312*(VLOOKUP(I314,'Option Tables'!$B$23:$F$26,4))+(E312*(VLOOKUP(I314,'Option Tables'!$B$23:$F$26,5)))))</f>
        <v>0</v>
      </c>
      <c r="I317" s="355">
        <f>$D317*((I312*(VLOOKUP(I314,'Option Tables'!$B$23:$F$26,2)))+(H312*(VLOOKUP(I314,'Option Tables'!$B$23:$F$26,3)))+(G312*(VLOOKUP(I314,'Option Tables'!$B$23:$F$26,4))+(F312*(VLOOKUP(I314,'Option Tables'!$B$23:$F$26,5)))))</f>
        <v>0</v>
      </c>
      <c r="J317" s="355">
        <f>$D317*((J312*(VLOOKUP(I314,'Option Tables'!$B$23:$F$26,2)))+(I312*(VLOOKUP(I314,'Option Tables'!$B$23:$F$26,3)))+(H312*(VLOOKUP(I314,'Option Tables'!$B$23:$F$26,4))+(G312*(VLOOKUP(I314,'Option Tables'!$B$23:$F$26,5)))))</f>
        <v>0</v>
      </c>
      <c r="K317" s="355">
        <f>$D317*((K312*(VLOOKUP(I314,'Option Tables'!$B$23:$F$26,2)))+(J312*(VLOOKUP(I314,'Option Tables'!$B$23:$F$26,3)))+(I312*(VLOOKUP(I314,'Option Tables'!$B$23:$F$26,4))+(H312*(VLOOKUP(I314,'Option Tables'!$B$23:$F$26,5)))))</f>
        <v>0</v>
      </c>
      <c r="L317" s="355">
        <f>$D317*((L312*(VLOOKUP(I314,'Option Tables'!$B$23:$F$26,2)))+(K312*(VLOOKUP(I314,'Option Tables'!$B$23:$F$26,3)))+(J312*(VLOOKUP(I314,'Option Tables'!$B$23:$F$26,4))+(I312*(VLOOKUP(I314,'Option Tables'!$B$23:$F$26,5)))))</f>
        <v>0</v>
      </c>
      <c r="M317" s="355">
        <f>$D317*((M312*(VLOOKUP(I314,'Option Tables'!$B$23:$F$26,2)))+(L312*(VLOOKUP(I314,'Option Tables'!$B$23:$F$26,3)))+(K312*(VLOOKUP(I314,'Option Tables'!$B$23:$F$26,4))+(J312*(VLOOKUP(I314,'Option Tables'!$B$23:$F$26,5)))))</f>
        <v>0</v>
      </c>
      <c r="N317" s="355">
        <f>$D317*((N312*(VLOOKUP(I314,'Option Tables'!$B$23:$F$26,2)))+(M312*(VLOOKUP(I314,'Option Tables'!$B$23:$F$26,3)))+(L312*(VLOOKUP(I314,'Option Tables'!$B$23:$F$26,4))+(K312*(VLOOKUP(I314,'Option Tables'!$B$23:$F$26,5)))))</f>
        <v>0</v>
      </c>
      <c r="O317" s="355">
        <f>$D317*((O312*(VLOOKUP(I314,'Option Tables'!$B$23:$F$26,2)))+(N312*(VLOOKUP(I314,'Option Tables'!$B$23:$F$26,3)))+(M312*(VLOOKUP(I314,'Option Tables'!$B$23:$F$26,4))+(L312*(VLOOKUP(I314,'Option Tables'!$B$23:$F$26,5)))))</f>
        <v>0</v>
      </c>
      <c r="P317" s="465">
        <f>$D317*((P312*(VLOOKUP(I314,'Option Tables'!$B$23:$F$26,2)))+(O312*(VLOOKUP(I314,'Option Tables'!$B$23:$F$26,3)))+(N312*(VLOOKUP(I314,'Option Tables'!$B$23:$F$26,4))+(M312*(VLOOKUP(I314,'Option Tables'!$B$23:$F$26,5)))))</f>
        <v>0</v>
      </c>
      <c r="Q317" s="96"/>
    </row>
    <row r="318" spans="1:18" ht="15.75" customHeight="1">
      <c r="B318" s="95"/>
      <c r="C318" s="256"/>
      <c r="D318" s="388">
        <v>0</v>
      </c>
      <c r="E318" s="355">
        <f>$D318*((E312*(VLOOKUP(I314,'Option Tables'!$B$23:$F$26,2)))+(P312*(VLOOKUP(I314,'Option Tables'!$B$23:$F$26,3)))+(O312*(VLOOKUP(I314,'Option Tables'!$B$23:$F$26,4))+(N312*(VLOOKUP(I314,'Option Tables'!$B$23:$F$26,5)))))</f>
        <v>0</v>
      </c>
      <c r="F318" s="355">
        <f>$D318*((F312*(VLOOKUP(I314,'Option Tables'!$B$23:$F$26,2)))+(E312*(VLOOKUP(I314,'Option Tables'!$B$23:$F$26,3)))+(P312*(VLOOKUP(I314,'Option Tables'!$B$23:$F$26,4))+(O312*(VLOOKUP(I314,'Option Tables'!$B$23:$F$26,5)))))</f>
        <v>0</v>
      </c>
      <c r="G318" s="355">
        <f>$D318*((G312*(VLOOKUP(I314,'Option Tables'!$B$23:$F$26,2)))+(F312*(VLOOKUP(I314,'Option Tables'!$B$23:$F$26,3)))+(E312*(VLOOKUP(I314,'Option Tables'!$B$23:$F$26,4))+(P312*(VLOOKUP(I314,'Option Tables'!$B$23:$F$26,5)))))</f>
        <v>0</v>
      </c>
      <c r="H318" s="355">
        <f>$D318*((H312*(VLOOKUP(I314,'Option Tables'!$B$23:$F$26,2)))+(G312*(VLOOKUP(I314,'Option Tables'!$B$23:$F$26,3)))+(F312*(VLOOKUP(I314,'Option Tables'!$B$23:$F$26,4))+(E312*(VLOOKUP(I314,'Option Tables'!$B$23:$F$26,5)))))</f>
        <v>0</v>
      </c>
      <c r="I318" s="355">
        <f>$D318*((I312*(VLOOKUP(I314,'Option Tables'!$B$23:$F$26,2)))+(H312*(VLOOKUP(I314,'Option Tables'!$B$23:$F$26,3)))+(G312*(VLOOKUP(I314,'Option Tables'!$B$23:$F$26,4))+(F312*(VLOOKUP(I314,'Option Tables'!$B$23:$F$26,5)))))</f>
        <v>0</v>
      </c>
      <c r="J318" s="355">
        <f>$D318*((J312*(VLOOKUP(I314,'Option Tables'!$B$23:$F$26,2)))+(I312*(VLOOKUP(I314,'Option Tables'!$B$23:$F$26,3)))+(H312*(VLOOKUP(I314,'Option Tables'!$B$23:$F$26,4))+(G312*(VLOOKUP(I314,'Option Tables'!$B$23:$F$26,5)))))</f>
        <v>0</v>
      </c>
      <c r="K318" s="355">
        <f>$D318*((K312*(VLOOKUP(I314,'Option Tables'!$B$23:$F$26,2)))+(J312*(VLOOKUP(I314,'Option Tables'!$B$23:$F$26,3)))+(I312*(VLOOKUP(I314,'Option Tables'!$B$23:$F$26,4))+(H312*(VLOOKUP(I314,'Option Tables'!$B$23:$F$26,5)))))</f>
        <v>0</v>
      </c>
      <c r="L318" s="355">
        <f>$D318*((L312*(VLOOKUP(I314,'Option Tables'!$B$23:$F$26,2)))+(K312*(VLOOKUP(I314,'Option Tables'!$B$23:$F$26,3)))+(J312*(VLOOKUP(I314,'Option Tables'!$B$23:$F$26,4))+(I312*(VLOOKUP(I314,'Option Tables'!$B$23:$F$26,5)))))</f>
        <v>0</v>
      </c>
      <c r="M318" s="355">
        <f>$D318*((M312*(VLOOKUP(I314,'Option Tables'!$B$23:$F$26,2)))+(L312*(VLOOKUP(I314,'Option Tables'!$B$23:$F$26,3)))+(K312*(VLOOKUP(I314,'Option Tables'!$B$23:$F$26,4))+(J312*(VLOOKUP(I314,'Option Tables'!$B$23:$F$26,5)))))</f>
        <v>0</v>
      </c>
      <c r="N318" s="355">
        <f>$D318*((N312*(VLOOKUP(I314,'Option Tables'!$B$23:$F$26,2)))+(M312*(VLOOKUP(I314,'Option Tables'!$B$23:$F$26,3)))+(L312*(VLOOKUP(I314,'Option Tables'!$B$23:$F$26,4))+(K312*(VLOOKUP(I314,'Option Tables'!$B$23:$F$26,5)))))</f>
        <v>0</v>
      </c>
      <c r="O318" s="355">
        <f>$D318*((O312*(VLOOKUP(I314,'Option Tables'!$B$23:$F$26,2)))+(N312*(VLOOKUP(I314,'Option Tables'!$B$23:$F$26,3)))+(M312*(VLOOKUP(I314,'Option Tables'!$B$23:$F$26,4))+(L312*(VLOOKUP(I314,'Option Tables'!$B$23:$F$26,5)))))</f>
        <v>0</v>
      </c>
      <c r="P318" s="465">
        <f>$D318*((P312*(VLOOKUP(I314,'Option Tables'!$B$23:$F$26,2)))+(O312*(VLOOKUP(I314,'Option Tables'!$B$23:$F$26,3)))+(N312*(VLOOKUP(I314,'Option Tables'!$B$23:$F$26,4))+(M312*(VLOOKUP(I314,'Option Tables'!$B$23:$F$26,5)))))</f>
        <v>0</v>
      </c>
      <c r="Q318" s="96"/>
    </row>
    <row r="319" spans="1:18" ht="15.75" customHeight="1" thickBot="1">
      <c r="B319" s="97"/>
      <c r="C319" s="144" t="str">
        <f>IF(D319&lt;&gt;1,"Must equal %100","")</f>
        <v/>
      </c>
      <c r="D319" s="71">
        <f t="shared" ref="D319:P319" si="30">SUM(D315:D318)</f>
        <v>1</v>
      </c>
      <c r="E319" s="466">
        <f t="shared" si="30"/>
        <v>0</v>
      </c>
      <c r="F319" s="466">
        <f t="shared" si="30"/>
        <v>0</v>
      </c>
      <c r="G319" s="466">
        <f t="shared" si="30"/>
        <v>0</v>
      </c>
      <c r="H319" s="466">
        <f t="shared" si="30"/>
        <v>0</v>
      </c>
      <c r="I319" s="466">
        <f t="shared" si="30"/>
        <v>438.94132946516368</v>
      </c>
      <c r="J319" s="466">
        <f t="shared" si="30"/>
        <v>552.27843030074041</v>
      </c>
      <c r="K319" s="466">
        <f t="shared" si="30"/>
        <v>323.75430756950084</v>
      </c>
      <c r="L319" s="466">
        <f t="shared" si="30"/>
        <v>146.98573391098182</v>
      </c>
      <c r="M319" s="466">
        <f t="shared" si="30"/>
        <v>61.358720906142153</v>
      </c>
      <c r="N319" s="466">
        <f t="shared" si="30"/>
        <v>14.686661712561985</v>
      </c>
      <c r="O319" s="466">
        <f t="shared" si="30"/>
        <v>4.0386319511074387</v>
      </c>
      <c r="P319" s="467">
        <f t="shared" si="30"/>
        <v>0</v>
      </c>
      <c r="Q319" s="96"/>
      <c r="R319" s="140"/>
    </row>
    <row r="320" spans="1:18" ht="15.75" customHeight="1" thickBot="1">
      <c r="A320" s="142" t="s">
        <v>267</v>
      </c>
      <c r="B320" s="95"/>
      <c r="C320" s="205"/>
      <c r="D320" s="98"/>
      <c r="E320" s="355"/>
      <c r="F320" s="358"/>
      <c r="G320" s="358"/>
      <c r="H320" s="358"/>
      <c r="I320" s="358"/>
      <c r="J320" s="355"/>
      <c r="K320" s="355"/>
      <c r="L320" s="355"/>
      <c r="M320" s="355"/>
      <c r="N320" s="355"/>
      <c r="O320" s="355"/>
      <c r="P320" s="465"/>
      <c r="Q320" s="96"/>
    </row>
    <row r="321" spans="2:18" ht="15.75" customHeight="1" thickBot="1">
      <c r="B321" s="85" t="s">
        <v>120</v>
      </c>
      <c r="C321" s="284" t="str">
        <f>VLOOKUP(B321,NodeList!$D$5:$E$73,2,FALSE)</f>
        <v>USGS 10020100:  Bear R. ab res. nr Woodruff, UT</v>
      </c>
      <c r="D321" s="91"/>
      <c r="E321" s="450"/>
      <c r="F321" s="451"/>
      <c r="G321" s="452"/>
      <c r="H321" s="453" t="s">
        <v>54</v>
      </c>
      <c r="I321" s="68">
        <v>15</v>
      </c>
      <c r="J321" s="454"/>
      <c r="K321" s="454"/>
      <c r="L321" s="454"/>
      <c r="M321" s="454"/>
      <c r="N321" s="454"/>
      <c r="O321" s="454"/>
      <c r="P321" s="455"/>
      <c r="Q321" s="96"/>
    </row>
    <row r="322" spans="2:18" ht="15.75" customHeight="1">
      <c r="B322" s="94"/>
      <c r="C322" s="66" t="s">
        <v>57</v>
      </c>
      <c r="D322" s="69"/>
      <c r="E322" s="456">
        <f>VLOOKUP($B321,'Diversion Data'!$B$3:$O$227,3,FALSE)</f>
        <v>0</v>
      </c>
      <c r="F322" s="456">
        <f>VLOOKUP($B321,'Diversion Data'!$B$3:$O$227,4,FALSE)</f>
        <v>0</v>
      </c>
      <c r="G322" s="456">
        <f>VLOOKUP($B321,'Diversion Data'!$B$3:$O$227,5,FALSE)</f>
        <v>0</v>
      </c>
      <c r="H322" s="456">
        <f>VLOOKUP($B321,'Diversion Data'!$B$3:$O$227,6,FALSE)</f>
        <v>0</v>
      </c>
      <c r="I322" s="456">
        <f>VLOOKUP($B321,'Diversion Data'!$B$3:$O$227,7,FALSE)</f>
        <v>0</v>
      </c>
      <c r="J322" s="456">
        <f>VLOOKUP($B321,'Diversion Data'!$B$3:$O$227,8,FALSE)</f>
        <v>0</v>
      </c>
      <c r="K322" s="456">
        <f>VLOOKUP($B321,'Diversion Data'!$B$3:$O$227,9,FALSE)</f>
        <v>0</v>
      </c>
      <c r="L322" s="456">
        <f>VLOOKUP($B321,'Diversion Data'!$B$3:$O$227,10,FALSE)</f>
        <v>0</v>
      </c>
      <c r="M322" s="456">
        <f>VLOOKUP($B321,'Diversion Data'!$B$3:$O$227,11,FALSE)</f>
        <v>0</v>
      </c>
      <c r="N322" s="456">
        <f>VLOOKUP($B321,'Diversion Data'!$B$3:$O$227,12,FALSE)</f>
        <v>0</v>
      </c>
      <c r="O322" s="456">
        <f>VLOOKUP($B321,'Diversion Data'!$B$3:$O$227,13,FALSE)</f>
        <v>0</v>
      </c>
      <c r="P322" s="457">
        <f>VLOOKUP($B321,'Diversion Data'!$B$3:$O$227,14,FALSE)</f>
        <v>0</v>
      </c>
      <c r="Q322" s="96"/>
    </row>
    <row r="323" spans="2:18" ht="15.75" customHeight="1">
      <c r="B323" s="95"/>
      <c r="C323" s="72" t="s">
        <v>56</v>
      </c>
      <c r="D323" s="70"/>
      <c r="E323" s="458">
        <f>VLOOKUP($I321,'Option Tables'!$B$3:$N$19,2,FALSE)*E322</f>
        <v>0</v>
      </c>
      <c r="F323" s="458">
        <f>VLOOKUP($I321,'Option Tables'!$B$3:$N$19,3,FALSE)*F322</f>
        <v>0</v>
      </c>
      <c r="G323" s="458">
        <f>VLOOKUP($I321,'Option Tables'!$B$3:$N$19,4,FALSE)*G322</f>
        <v>0</v>
      </c>
      <c r="H323" s="458">
        <f>VLOOKUP($I321,'Option Tables'!$B$3:$N$19,5,FALSE)*H322</f>
        <v>0</v>
      </c>
      <c r="I323" s="458">
        <f>VLOOKUP($I321,'Option Tables'!$B$3:$N$19,6,FALSE)*I322</f>
        <v>0</v>
      </c>
      <c r="J323" s="458">
        <f>VLOOKUP($I321,'Option Tables'!$B$3:$N$19,7,FALSE)*J322</f>
        <v>0</v>
      </c>
      <c r="K323" s="458">
        <f>VLOOKUP($I321,'Option Tables'!$B$3:$N$19,8,FALSE)*K322</f>
        <v>0</v>
      </c>
      <c r="L323" s="458">
        <f>VLOOKUP($I321,'Option Tables'!$B$3:$N$19,9,FALSE)*L322</f>
        <v>0</v>
      </c>
      <c r="M323" s="458">
        <f>VLOOKUP($I321,'Option Tables'!$B$3:$N$19,10,FALSE)*M322</f>
        <v>0</v>
      </c>
      <c r="N323" s="458">
        <f>VLOOKUP($I321,'Option Tables'!$B$3:$N$19,11,FALSE)*N322</f>
        <v>0</v>
      </c>
      <c r="O323" s="458">
        <f>VLOOKUP($I321,'Option Tables'!$B$3:$N$19,12,FALSE)*O322</f>
        <v>0</v>
      </c>
      <c r="P323" s="459">
        <f>VLOOKUP($I321,'Option Tables'!$B$3:$N$19,13,FALSE)*P322</f>
        <v>0</v>
      </c>
      <c r="Q323" s="96"/>
    </row>
    <row r="324" spans="2:18" ht="15.75" customHeight="1" thickBot="1">
      <c r="B324" s="95"/>
      <c r="C324" s="66"/>
      <c r="D324" s="62"/>
      <c r="E324" s="355"/>
      <c r="F324" s="355"/>
      <c r="G324" s="355"/>
      <c r="H324" s="355"/>
      <c r="I324" s="355"/>
      <c r="J324" s="355"/>
      <c r="K324" s="355"/>
      <c r="L324" s="355"/>
      <c r="M324" s="460"/>
      <c r="N324" s="460"/>
      <c r="O324" s="460"/>
      <c r="P324" s="461"/>
      <c r="Q324" s="96"/>
    </row>
    <row r="325" spans="2:18" ht="15.75" customHeight="1" thickBot="1">
      <c r="B325" s="254" t="s">
        <v>73</v>
      </c>
      <c r="C325" s="105" t="s">
        <v>73</v>
      </c>
      <c r="D325" s="105" t="s">
        <v>74</v>
      </c>
      <c r="E325" s="462"/>
      <c r="F325" s="463"/>
      <c r="G325" s="464"/>
      <c r="H325" s="464" t="s">
        <v>55</v>
      </c>
      <c r="I325" s="68">
        <v>3</v>
      </c>
      <c r="J325" s="460"/>
      <c r="K325" s="460"/>
      <c r="L325" s="460"/>
      <c r="M325" s="460"/>
      <c r="N325" s="460"/>
      <c r="O325" s="460"/>
      <c r="P325" s="461"/>
      <c r="Q325" s="96"/>
    </row>
    <row r="326" spans="2:18" ht="15.75" customHeight="1">
      <c r="B326" s="255" t="e">
        <f>"("&amp;VLOOKUP(C326,NodeList!$D$5:$E$68,2,FALSE)&amp;")"</f>
        <v>#N/A</v>
      </c>
      <c r="C326" s="256"/>
      <c r="D326" s="388">
        <v>1</v>
      </c>
      <c r="E326" s="355">
        <f>$D326*((E323*(VLOOKUP(I325,'Option Tables'!$B$23:$F$26,2)))+(P323*(VLOOKUP(I325,'Option Tables'!$B$23:$F$26,3)))+(O323*(VLOOKUP(I325,'Option Tables'!$B$23:$F$26,4))+(N323*(VLOOKUP(I325,'Option Tables'!$B$23:$F$26,5)))))</f>
        <v>0</v>
      </c>
      <c r="F326" s="355">
        <f>$D326*((F323*(VLOOKUP(I325,'Option Tables'!$B$23:$F$26,2)))+(E323*(VLOOKUP(I325,'Option Tables'!$B$23:$F$26,3)))+(P323*(VLOOKUP(I325,'Option Tables'!$B$23:$F$26,4))+(O323*(VLOOKUP(I325,'Option Tables'!$B$23:$F$26,5)))))</f>
        <v>0</v>
      </c>
      <c r="G326" s="355">
        <f>$D326*((G323*(VLOOKUP(I325,'Option Tables'!$B$23:$F$26,2)))+(F323*(VLOOKUP(I325,'Option Tables'!$B$23:$F$26,3)))+(E323*(VLOOKUP(I325,'Option Tables'!$B$23:$F$26,4))+(P323*(VLOOKUP(I325,'Option Tables'!$B$23:$F$26,5)))))</f>
        <v>0</v>
      </c>
      <c r="H326" s="355">
        <f>$D326*((H323*(VLOOKUP(I325,'Option Tables'!$B$23:$F$26,2)))+(G323*(VLOOKUP(I325,'Option Tables'!$B$23:$F$26,3)))+(F323*(VLOOKUP(I325,'Option Tables'!$B$23:$F$26,4))+(E323*(VLOOKUP(I325,'Option Tables'!$B$23:$F$26,5)))))</f>
        <v>0</v>
      </c>
      <c r="I326" s="355">
        <f>$D326*((I323*(VLOOKUP(I325,'Option Tables'!$B$23:$F$26,2)))+(H323*(VLOOKUP(I325,'Option Tables'!$B$23:$F$26,3)))+(G323*(VLOOKUP(I325,'Option Tables'!$B$23:$F$26,4))+(F323*(VLOOKUP(I325,'Option Tables'!$B$23:$F$26,5)))))</f>
        <v>0</v>
      </c>
      <c r="J326" s="355">
        <f>$D326*((J323*(VLOOKUP(I325,'Option Tables'!$B$23:$F$26,2)))+(I323*(VLOOKUP(I325,'Option Tables'!$B$23:$F$26,3)))+(H323*(VLOOKUP(I325,'Option Tables'!$B$23:$F$26,4))+(G323*(VLOOKUP(I325,'Option Tables'!$B$23:$F$26,5)))))</f>
        <v>0</v>
      </c>
      <c r="K326" s="355">
        <f>$D326*((K323*(VLOOKUP(I325,'Option Tables'!$B$23:$F$26,2)))+(J323*(VLOOKUP(I325,'Option Tables'!$B$23:$F$26,3)))+(I323*(VLOOKUP(I325,'Option Tables'!$B$23:$F$26,4))+(H323*(VLOOKUP(I325,'Option Tables'!$B$23:$F$26,5)))))</f>
        <v>0</v>
      </c>
      <c r="L326" s="355">
        <f>$D326*((L323*(VLOOKUP(I325,'Option Tables'!$B$23:$F$26,2)))+(K323*(VLOOKUP(I325,'Option Tables'!$B$23:$F$26,3)))+(J323*(VLOOKUP(I325,'Option Tables'!$B$23:$F$26,4))+(I323*(VLOOKUP(I325,'Option Tables'!$B$23:$F$26,5)))))</f>
        <v>0</v>
      </c>
      <c r="M326" s="355">
        <f>$D326*((M323*(VLOOKUP(I325,'Option Tables'!$B$23:$F$26,2)))+(L323*(VLOOKUP(I325,'Option Tables'!$B$23:$F$26,3)))+(K323*(VLOOKUP(I325,'Option Tables'!$B$23:$F$26,4))+(J323*(VLOOKUP(I325,'Option Tables'!$B$23:$F$26,5)))))</f>
        <v>0</v>
      </c>
      <c r="N326" s="355">
        <f>$D326*((N323*(VLOOKUP(I325,'Option Tables'!$B$23:$F$26,2)))+(M323*(VLOOKUP(I325,'Option Tables'!$B$23:$F$26,3)))+(L323*(VLOOKUP(I325,'Option Tables'!$B$23:$F$26,4))+(K323*(VLOOKUP(I325,'Option Tables'!$B$23:$F$26,5)))))</f>
        <v>0</v>
      </c>
      <c r="O326" s="355">
        <f>$D326*((O323*(VLOOKUP(I325,'Option Tables'!$B$23:$F$26,2)))+(N323*(VLOOKUP(I325,'Option Tables'!$B$23:$F$26,3)))+(M323*(VLOOKUP(I325,'Option Tables'!$B$23:$F$26,4))+(L323*(VLOOKUP(I325,'Option Tables'!$B$23:$F$26,5)))))</f>
        <v>0</v>
      </c>
      <c r="P326" s="465">
        <f>$D326*((P323*(VLOOKUP(I325,'Option Tables'!$B$23:$F$26,2)))+(O323*(VLOOKUP(I325,'Option Tables'!$B$23:$F$26,3)))+(N323*(VLOOKUP(I325,'Option Tables'!$B$23:$F$26,4))+(M323*(VLOOKUP(I325,'Option Tables'!$B$23:$F$26,5)))))</f>
        <v>0</v>
      </c>
      <c r="Q326" s="96"/>
    </row>
    <row r="327" spans="2:18" ht="15.75" customHeight="1">
      <c r="B327" s="95"/>
      <c r="C327" s="256"/>
      <c r="D327" s="388">
        <v>0</v>
      </c>
      <c r="E327" s="355">
        <f>$D327*((E323*(VLOOKUP(I325,'Option Tables'!$B$23:$F$26,2)))+(P323*(VLOOKUP(I325,'Option Tables'!$B$23:$F$26,3)))+(O323*(VLOOKUP(I325,'Option Tables'!$B$23:$F$26,4))+(N323*(VLOOKUP(I325,'Option Tables'!$B$23:$F$26,5)))))</f>
        <v>0</v>
      </c>
      <c r="F327" s="355">
        <f>$D327*((F323*(VLOOKUP(I325,'Option Tables'!$B$23:$F$26,2)))+(E323*(VLOOKUP(I325,'Option Tables'!$B$23:$F$26,3)))+(P323*(VLOOKUP(I325,'Option Tables'!$B$23:$F$26,4))+(O323*(VLOOKUP(I325,'Option Tables'!$B$23:$F$26,5)))))</f>
        <v>0</v>
      </c>
      <c r="G327" s="355">
        <f>$D327*((G323*(VLOOKUP(I325,'Option Tables'!$B$23:$F$26,2)))+(F323*(VLOOKUP(I325,'Option Tables'!$B$23:$F$26,3)))+(E323*(VLOOKUP(I325,'Option Tables'!$B$23:$F$26,4))+(P323*(VLOOKUP(I325,'Option Tables'!$B$23:$F$26,5)))))</f>
        <v>0</v>
      </c>
      <c r="H327" s="355">
        <f>$D327*((H323*(VLOOKUP(I325,'Option Tables'!$B$23:$F$26,2)))+(G323*(VLOOKUP(I325,'Option Tables'!$B$23:$F$26,3)))+(F323*(VLOOKUP(I325,'Option Tables'!$B$23:$F$26,4))+(E323*(VLOOKUP(I325,'Option Tables'!$B$23:$F$26,5)))))</f>
        <v>0</v>
      </c>
      <c r="I327" s="355">
        <f>$D327*((I323*(VLOOKUP(I325,'Option Tables'!$B$23:$F$26,2)))+(H323*(VLOOKUP(I325,'Option Tables'!$B$23:$F$26,3)))+(G323*(VLOOKUP(I325,'Option Tables'!$B$23:$F$26,4))+(F323*(VLOOKUP(I325,'Option Tables'!$B$23:$F$26,5)))))</f>
        <v>0</v>
      </c>
      <c r="J327" s="355">
        <f>$D327*((J323*(VLOOKUP(I325,'Option Tables'!$B$23:$F$26,2)))+(I323*(VLOOKUP(I325,'Option Tables'!$B$23:$F$26,3)))+(H323*(VLOOKUP(I325,'Option Tables'!$B$23:$F$26,4))+(G323*(VLOOKUP(I325,'Option Tables'!$B$23:$F$26,5)))))</f>
        <v>0</v>
      </c>
      <c r="K327" s="355">
        <f>$D327*((K323*(VLOOKUP(I325,'Option Tables'!$B$23:$F$26,2)))+(J323*(VLOOKUP(I325,'Option Tables'!$B$23:$F$26,3)))+(I323*(VLOOKUP(I325,'Option Tables'!$B$23:$F$26,4))+(H323*(VLOOKUP(I325,'Option Tables'!$B$23:$F$26,5)))))</f>
        <v>0</v>
      </c>
      <c r="L327" s="355">
        <f>$D327*((L323*(VLOOKUP(I325,'Option Tables'!$B$23:$F$26,2)))+(K323*(VLOOKUP(I325,'Option Tables'!$B$23:$F$26,3)))+(J323*(VLOOKUP(I325,'Option Tables'!$B$23:$F$26,4))+(I323*(VLOOKUP(I325,'Option Tables'!$B$23:$F$26,5)))))</f>
        <v>0</v>
      </c>
      <c r="M327" s="355">
        <f>$D327*((M323*(VLOOKUP(I325,'Option Tables'!$B$23:$F$26,2)))+(L323*(VLOOKUP(I325,'Option Tables'!$B$23:$F$26,3)))+(K323*(VLOOKUP(I325,'Option Tables'!$B$23:$F$26,4))+(J323*(VLOOKUP(I325,'Option Tables'!$B$23:$F$26,5)))))</f>
        <v>0</v>
      </c>
      <c r="N327" s="355">
        <f>$D327*((N323*(VLOOKUP(I325,'Option Tables'!$B$23:$F$26,2)))+(M323*(VLOOKUP(I325,'Option Tables'!$B$23:$F$26,3)))+(L323*(VLOOKUP(I325,'Option Tables'!$B$23:$F$26,4))+(K323*(VLOOKUP(I325,'Option Tables'!$B$23:$F$26,5)))))</f>
        <v>0</v>
      </c>
      <c r="O327" s="355">
        <f>$D327*((O323*(VLOOKUP(I325,'Option Tables'!$B$23:$F$26,2)))+(N323*(VLOOKUP(I325,'Option Tables'!$B$23:$F$26,3)))+(M323*(VLOOKUP(I325,'Option Tables'!$B$23:$F$26,4))+(L323*(VLOOKUP(I325,'Option Tables'!$B$23:$F$26,5)))))</f>
        <v>0</v>
      </c>
      <c r="P327" s="465">
        <f>$D327*((P323*(VLOOKUP(I325,'Option Tables'!$B$23:$F$26,2)))+(O323*(VLOOKUP(I325,'Option Tables'!$B$23:$F$26,3)))+(N323*(VLOOKUP(I325,'Option Tables'!$B$23:$F$26,4))+(M323*(VLOOKUP(I325,'Option Tables'!$B$23:$F$26,5)))))</f>
        <v>0</v>
      </c>
      <c r="Q327" s="96"/>
    </row>
    <row r="328" spans="2:18" ht="15.75" customHeight="1">
      <c r="B328" s="95"/>
      <c r="C328" s="256"/>
      <c r="D328" s="388">
        <v>0</v>
      </c>
      <c r="E328" s="355">
        <f>$D328*((E323*(VLOOKUP(I325,'Option Tables'!$B$23:$F$26,2)))+(P323*(VLOOKUP(I325,'Option Tables'!$B$23:$F$26,3)))+(O323*(VLOOKUP(I325,'Option Tables'!$B$23:$F$26,4))+(N323*(VLOOKUP(I325,'Option Tables'!$B$23:$F$26,5)))))</f>
        <v>0</v>
      </c>
      <c r="F328" s="355">
        <f>$D328*((F323*(VLOOKUP(I325,'Option Tables'!$B$23:$F$26,2)))+(E323*(VLOOKUP(I325,'Option Tables'!$B$23:$F$26,3)))+(P323*(VLOOKUP(I325,'Option Tables'!$B$23:$F$26,4))+(O323*(VLOOKUP(I325,'Option Tables'!$B$23:$F$26,5)))))</f>
        <v>0</v>
      </c>
      <c r="G328" s="355">
        <f>$D328*((G323*(VLOOKUP(I325,'Option Tables'!$B$23:$F$26,2)))+(F323*(VLOOKUP(I325,'Option Tables'!$B$23:$F$26,3)))+(E323*(VLOOKUP(I325,'Option Tables'!$B$23:$F$26,4))+(P323*(VLOOKUP(I325,'Option Tables'!$B$23:$F$26,5)))))</f>
        <v>0</v>
      </c>
      <c r="H328" s="355">
        <f>$D328*((H323*(VLOOKUP(I325,'Option Tables'!$B$23:$F$26,2)))+(G323*(VLOOKUP(I325,'Option Tables'!$B$23:$F$26,3)))+(F323*(VLOOKUP(I325,'Option Tables'!$B$23:$F$26,4))+(E323*(VLOOKUP(I325,'Option Tables'!$B$23:$F$26,5)))))</f>
        <v>0</v>
      </c>
      <c r="I328" s="355">
        <f>$D328*((I323*(VLOOKUP(I325,'Option Tables'!$B$23:$F$26,2)))+(H323*(VLOOKUP(I325,'Option Tables'!$B$23:$F$26,3)))+(G323*(VLOOKUP(I325,'Option Tables'!$B$23:$F$26,4))+(F323*(VLOOKUP(I325,'Option Tables'!$B$23:$F$26,5)))))</f>
        <v>0</v>
      </c>
      <c r="J328" s="355">
        <f>$D328*((J323*(VLOOKUP(I325,'Option Tables'!$B$23:$F$26,2)))+(I323*(VLOOKUP(I325,'Option Tables'!$B$23:$F$26,3)))+(H323*(VLOOKUP(I325,'Option Tables'!$B$23:$F$26,4))+(G323*(VLOOKUP(I325,'Option Tables'!$B$23:$F$26,5)))))</f>
        <v>0</v>
      </c>
      <c r="K328" s="355">
        <f>$D328*((K323*(VLOOKUP(I325,'Option Tables'!$B$23:$F$26,2)))+(J323*(VLOOKUP(I325,'Option Tables'!$B$23:$F$26,3)))+(I323*(VLOOKUP(I325,'Option Tables'!$B$23:$F$26,4))+(H323*(VLOOKUP(I325,'Option Tables'!$B$23:$F$26,5)))))</f>
        <v>0</v>
      </c>
      <c r="L328" s="355">
        <f>$D328*((L323*(VLOOKUP(I325,'Option Tables'!$B$23:$F$26,2)))+(K323*(VLOOKUP(I325,'Option Tables'!$B$23:$F$26,3)))+(J323*(VLOOKUP(I325,'Option Tables'!$B$23:$F$26,4))+(I323*(VLOOKUP(I325,'Option Tables'!$B$23:$F$26,5)))))</f>
        <v>0</v>
      </c>
      <c r="M328" s="355">
        <f>$D328*((M323*(VLOOKUP(I325,'Option Tables'!$B$23:$F$26,2)))+(L323*(VLOOKUP(I325,'Option Tables'!$B$23:$F$26,3)))+(K323*(VLOOKUP(I325,'Option Tables'!$B$23:$F$26,4))+(J323*(VLOOKUP(I325,'Option Tables'!$B$23:$F$26,5)))))</f>
        <v>0</v>
      </c>
      <c r="N328" s="355">
        <f>$D328*((N323*(VLOOKUP(I325,'Option Tables'!$B$23:$F$26,2)))+(M323*(VLOOKUP(I325,'Option Tables'!$B$23:$F$26,3)))+(L323*(VLOOKUP(I325,'Option Tables'!$B$23:$F$26,4))+(K323*(VLOOKUP(I325,'Option Tables'!$B$23:$F$26,5)))))</f>
        <v>0</v>
      </c>
      <c r="O328" s="355">
        <f>$D328*((O323*(VLOOKUP(I325,'Option Tables'!$B$23:$F$26,2)))+(N323*(VLOOKUP(I325,'Option Tables'!$B$23:$F$26,3)))+(M323*(VLOOKUP(I325,'Option Tables'!$B$23:$F$26,4))+(L323*(VLOOKUP(I325,'Option Tables'!$B$23:$F$26,5)))))</f>
        <v>0</v>
      </c>
      <c r="P328" s="465">
        <f>$D328*((P323*(VLOOKUP(I325,'Option Tables'!$B$23:$F$26,2)))+(O323*(VLOOKUP(I325,'Option Tables'!$B$23:$F$26,3)))+(N323*(VLOOKUP(I325,'Option Tables'!$B$23:$F$26,4))+(M323*(VLOOKUP(I325,'Option Tables'!$B$23:$F$26,5)))))</f>
        <v>0</v>
      </c>
      <c r="Q328" s="96"/>
    </row>
    <row r="329" spans="2:18" ht="15.75" customHeight="1">
      <c r="B329" s="95"/>
      <c r="C329" s="256"/>
      <c r="D329" s="388">
        <v>0</v>
      </c>
      <c r="E329" s="355">
        <f>$D329*((E323*(VLOOKUP(I325,'Option Tables'!$B$23:$F$26,2)))+(P323*(VLOOKUP(I325,'Option Tables'!$B$23:$F$26,3)))+(O323*(VLOOKUP(I325,'Option Tables'!$B$23:$F$26,4))+(N323*(VLOOKUP(I325,'Option Tables'!$B$23:$F$26,5)))))</f>
        <v>0</v>
      </c>
      <c r="F329" s="355">
        <f>$D329*((F323*(VLOOKUP(I325,'Option Tables'!$B$23:$F$26,2)))+(E323*(VLOOKUP(I325,'Option Tables'!$B$23:$F$26,3)))+(P323*(VLOOKUP(I325,'Option Tables'!$B$23:$F$26,4))+(O323*(VLOOKUP(I325,'Option Tables'!$B$23:$F$26,5)))))</f>
        <v>0</v>
      </c>
      <c r="G329" s="355">
        <f>$D329*((G323*(VLOOKUP(I325,'Option Tables'!$B$23:$F$26,2)))+(F323*(VLOOKUP(I325,'Option Tables'!$B$23:$F$26,3)))+(E323*(VLOOKUP(I325,'Option Tables'!$B$23:$F$26,4))+(P323*(VLOOKUP(I325,'Option Tables'!$B$23:$F$26,5)))))</f>
        <v>0</v>
      </c>
      <c r="H329" s="355">
        <f>$D329*((H323*(VLOOKUP(I325,'Option Tables'!$B$23:$F$26,2)))+(G323*(VLOOKUP(I325,'Option Tables'!$B$23:$F$26,3)))+(F323*(VLOOKUP(I325,'Option Tables'!$B$23:$F$26,4))+(E323*(VLOOKUP(I325,'Option Tables'!$B$23:$F$26,5)))))</f>
        <v>0</v>
      </c>
      <c r="I329" s="355">
        <f>$D329*((I323*(VLOOKUP(I325,'Option Tables'!$B$23:$F$26,2)))+(H323*(VLOOKUP(I325,'Option Tables'!$B$23:$F$26,3)))+(G323*(VLOOKUP(I325,'Option Tables'!$B$23:$F$26,4))+(F323*(VLOOKUP(I325,'Option Tables'!$B$23:$F$26,5)))))</f>
        <v>0</v>
      </c>
      <c r="J329" s="355">
        <f>$D329*((J323*(VLOOKUP(I325,'Option Tables'!$B$23:$F$26,2)))+(I323*(VLOOKUP(I325,'Option Tables'!$B$23:$F$26,3)))+(H323*(VLOOKUP(I325,'Option Tables'!$B$23:$F$26,4))+(G323*(VLOOKUP(I325,'Option Tables'!$B$23:$F$26,5)))))</f>
        <v>0</v>
      </c>
      <c r="K329" s="355">
        <f>$D329*((K323*(VLOOKUP(I325,'Option Tables'!$B$23:$F$26,2)))+(J323*(VLOOKUP(I325,'Option Tables'!$B$23:$F$26,3)))+(I323*(VLOOKUP(I325,'Option Tables'!$B$23:$F$26,4))+(H323*(VLOOKUP(I325,'Option Tables'!$B$23:$F$26,5)))))</f>
        <v>0</v>
      </c>
      <c r="L329" s="355">
        <f>$D329*((L323*(VLOOKUP(I325,'Option Tables'!$B$23:$F$26,2)))+(K323*(VLOOKUP(I325,'Option Tables'!$B$23:$F$26,3)))+(J323*(VLOOKUP(I325,'Option Tables'!$B$23:$F$26,4))+(I323*(VLOOKUP(I325,'Option Tables'!$B$23:$F$26,5)))))</f>
        <v>0</v>
      </c>
      <c r="M329" s="355">
        <f>$D329*((M323*(VLOOKUP(I325,'Option Tables'!$B$23:$F$26,2)))+(L323*(VLOOKUP(I325,'Option Tables'!$B$23:$F$26,3)))+(K323*(VLOOKUP(I325,'Option Tables'!$B$23:$F$26,4))+(J323*(VLOOKUP(I325,'Option Tables'!$B$23:$F$26,5)))))</f>
        <v>0</v>
      </c>
      <c r="N329" s="355">
        <f>$D329*((N323*(VLOOKUP(I325,'Option Tables'!$B$23:$F$26,2)))+(M323*(VLOOKUP(I325,'Option Tables'!$B$23:$F$26,3)))+(L323*(VLOOKUP(I325,'Option Tables'!$B$23:$F$26,4))+(K323*(VLOOKUP(I325,'Option Tables'!$B$23:$F$26,5)))))</f>
        <v>0</v>
      </c>
      <c r="O329" s="355">
        <f>$D329*((O323*(VLOOKUP(I325,'Option Tables'!$B$23:$F$26,2)))+(N323*(VLOOKUP(I325,'Option Tables'!$B$23:$F$26,3)))+(M323*(VLOOKUP(I325,'Option Tables'!$B$23:$F$26,4))+(L323*(VLOOKUP(I325,'Option Tables'!$B$23:$F$26,5)))))</f>
        <v>0</v>
      </c>
      <c r="P329" s="465">
        <f>$D329*((P323*(VLOOKUP(I325,'Option Tables'!$B$23:$F$26,2)))+(O323*(VLOOKUP(I325,'Option Tables'!$B$23:$F$26,3)))+(N323*(VLOOKUP(I325,'Option Tables'!$B$23:$F$26,4))+(M323*(VLOOKUP(I325,'Option Tables'!$B$23:$F$26,5)))))</f>
        <v>0</v>
      </c>
      <c r="Q329" s="96"/>
      <c r="R329" s="140"/>
    </row>
    <row r="330" spans="2:18" ht="15.75" customHeight="1" thickBot="1">
      <c r="B330" s="97"/>
      <c r="C330" s="144" t="str">
        <f>IF(D330&lt;&gt;1,"Must equal %100","")</f>
        <v/>
      </c>
      <c r="D330" s="71">
        <f t="shared" ref="D330:P330" si="31">SUM(D326:D329)</f>
        <v>1</v>
      </c>
      <c r="E330" s="466">
        <f t="shared" si="31"/>
        <v>0</v>
      </c>
      <c r="F330" s="466">
        <f t="shared" si="31"/>
        <v>0</v>
      </c>
      <c r="G330" s="466">
        <f t="shared" si="31"/>
        <v>0</v>
      </c>
      <c r="H330" s="466">
        <f t="shared" si="31"/>
        <v>0</v>
      </c>
      <c r="I330" s="466">
        <f t="shared" si="31"/>
        <v>0</v>
      </c>
      <c r="J330" s="466">
        <f t="shared" si="31"/>
        <v>0</v>
      </c>
      <c r="K330" s="466">
        <f t="shared" si="31"/>
        <v>0</v>
      </c>
      <c r="L330" s="466">
        <f t="shared" si="31"/>
        <v>0</v>
      </c>
      <c r="M330" s="466">
        <f t="shared" si="31"/>
        <v>0</v>
      </c>
      <c r="N330" s="466">
        <f t="shared" si="31"/>
        <v>0</v>
      </c>
      <c r="O330" s="466">
        <f t="shared" si="31"/>
        <v>0</v>
      </c>
      <c r="P330" s="467">
        <f t="shared" si="31"/>
        <v>0</v>
      </c>
      <c r="Q330" s="96"/>
      <c r="R330" s="140"/>
    </row>
    <row r="331" spans="2:18" ht="15.75" customHeight="1" thickBot="1">
      <c r="B331" s="85" t="s">
        <v>162</v>
      </c>
      <c r="C331" s="257" t="str">
        <f>VLOOKUP(B331,NodeList!$D$5:$E$73,2,FALSE)</f>
        <v>Woodruff Narrows Reservoir</v>
      </c>
      <c r="D331" s="91"/>
      <c r="E331" s="450"/>
      <c r="F331" s="451"/>
      <c r="G331" s="452"/>
      <c r="H331" s="453" t="s">
        <v>54</v>
      </c>
      <c r="I331" s="68">
        <v>15</v>
      </c>
      <c r="J331" s="454"/>
      <c r="K331" s="454"/>
      <c r="L331" s="454"/>
      <c r="M331" s="454"/>
      <c r="N331" s="454"/>
      <c r="O331" s="454"/>
      <c r="P331" s="455"/>
      <c r="Q331" s="96"/>
    </row>
    <row r="332" spans="2:18" ht="15.75" customHeight="1">
      <c r="B332" s="94"/>
      <c r="C332" s="66" t="s">
        <v>57</v>
      </c>
      <c r="D332" s="69"/>
      <c r="E332" s="456">
        <f>VLOOKUP($B331,'Diversion Data'!$B$3:$O$227,3,FALSE)</f>
        <v>0</v>
      </c>
      <c r="F332" s="456">
        <f>VLOOKUP($B331,'Diversion Data'!$B$3:$O$227,4,FALSE)</f>
        <v>0</v>
      </c>
      <c r="G332" s="456">
        <f>VLOOKUP($B331,'Diversion Data'!$B$3:$O$227,5,FALSE)</f>
        <v>0</v>
      </c>
      <c r="H332" s="456">
        <f>VLOOKUP($B331,'Diversion Data'!$B$3:$O$227,6,FALSE)</f>
        <v>0</v>
      </c>
      <c r="I332" s="456">
        <f>VLOOKUP($B331,'Diversion Data'!$B$3:$O$227,7,FALSE)</f>
        <v>0</v>
      </c>
      <c r="J332" s="456">
        <f>VLOOKUP($B331,'Diversion Data'!$B$3:$O$227,8,FALSE)</f>
        <v>0</v>
      </c>
      <c r="K332" s="456">
        <f>VLOOKUP($B331,'Diversion Data'!$B$3:$O$227,9,FALSE)</f>
        <v>0</v>
      </c>
      <c r="L332" s="456">
        <f>VLOOKUP($B331,'Diversion Data'!$B$3:$O$227,10,FALSE)</f>
        <v>0</v>
      </c>
      <c r="M332" s="456">
        <f>VLOOKUP($B331,'Diversion Data'!$B$3:$O$227,11,FALSE)</f>
        <v>0</v>
      </c>
      <c r="N332" s="456">
        <f>VLOOKUP($B331,'Diversion Data'!$B$3:$O$227,12,FALSE)</f>
        <v>0</v>
      </c>
      <c r="O332" s="456">
        <f>VLOOKUP($B331,'Diversion Data'!$B$3:$O$227,13,FALSE)</f>
        <v>0</v>
      </c>
      <c r="P332" s="457">
        <f>VLOOKUP($B331,'Diversion Data'!$B$3:$O$227,14,FALSE)</f>
        <v>0</v>
      </c>
      <c r="Q332" s="96"/>
    </row>
    <row r="333" spans="2:18" ht="15.75" customHeight="1">
      <c r="B333" s="95"/>
      <c r="C333" s="72" t="s">
        <v>56</v>
      </c>
      <c r="D333" s="70"/>
      <c r="E333" s="458">
        <f>VLOOKUP($I331,'Option Tables'!$B$3:$N$19,2,FALSE)*E332</f>
        <v>0</v>
      </c>
      <c r="F333" s="458">
        <f>VLOOKUP($I331,'Option Tables'!$B$3:$N$19,3,FALSE)*F332</f>
        <v>0</v>
      </c>
      <c r="G333" s="458">
        <f>VLOOKUP($I331,'Option Tables'!$B$3:$N$19,4,FALSE)*G332</f>
        <v>0</v>
      </c>
      <c r="H333" s="458">
        <f>VLOOKUP($I331,'Option Tables'!$B$3:$N$19,5,FALSE)*H332</f>
        <v>0</v>
      </c>
      <c r="I333" s="458">
        <f>VLOOKUP($I331,'Option Tables'!$B$3:$N$19,6,FALSE)*I332</f>
        <v>0</v>
      </c>
      <c r="J333" s="458">
        <f>VLOOKUP($I331,'Option Tables'!$B$3:$N$19,7,FALSE)*J332</f>
        <v>0</v>
      </c>
      <c r="K333" s="458">
        <f>VLOOKUP($I331,'Option Tables'!$B$3:$N$19,8,FALSE)*K332</f>
        <v>0</v>
      </c>
      <c r="L333" s="458">
        <f>VLOOKUP($I331,'Option Tables'!$B$3:$N$19,9,FALSE)*L332</f>
        <v>0</v>
      </c>
      <c r="M333" s="458">
        <f>VLOOKUP($I331,'Option Tables'!$B$3:$N$19,10,FALSE)*M332</f>
        <v>0</v>
      </c>
      <c r="N333" s="458">
        <f>VLOOKUP($I331,'Option Tables'!$B$3:$N$19,11,FALSE)*N332</f>
        <v>0</v>
      </c>
      <c r="O333" s="458">
        <f>VLOOKUP($I331,'Option Tables'!$B$3:$N$19,12,FALSE)*O332</f>
        <v>0</v>
      </c>
      <c r="P333" s="459">
        <f>VLOOKUP($I331,'Option Tables'!$B$3:$N$19,13,FALSE)*P332</f>
        <v>0</v>
      </c>
      <c r="Q333" s="96"/>
    </row>
    <row r="334" spans="2:18" ht="15.75" customHeight="1" thickBot="1">
      <c r="B334" s="95"/>
      <c r="C334" s="66"/>
      <c r="D334" s="62"/>
      <c r="E334" s="355"/>
      <c r="F334" s="355"/>
      <c r="G334" s="355"/>
      <c r="H334" s="355"/>
      <c r="I334" s="355"/>
      <c r="J334" s="355"/>
      <c r="K334" s="355"/>
      <c r="L334" s="355"/>
      <c r="M334" s="460"/>
      <c r="N334" s="460"/>
      <c r="O334" s="460"/>
      <c r="P334" s="461"/>
      <c r="Q334" s="96"/>
    </row>
    <row r="335" spans="2:18" ht="15.75" customHeight="1" thickBot="1">
      <c r="B335" s="254" t="s">
        <v>73</v>
      </c>
      <c r="C335" s="105" t="s">
        <v>73</v>
      </c>
      <c r="D335" s="105" t="s">
        <v>74</v>
      </c>
      <c r="E335" s="462"/>
      <c r="F335" s="463"/>
      <c r="G335" s="464"/>
      <c r="H335" s="464" t="s">
        <v>55</v>
      </c>
      <c r="I335" s="68">
        <v>3</v>
      </c>
      <c r="J335" s="460"/>
      <c r="K335" s="460"/>
      <c r="L335" s="460"/>
      <c r="M335" s="460"/>
      <c r="N335" s="460"/>
      <c r="O335" s="460"/>
      <c r="P335" s="461"/>
      <c r="Q335" s="96"/>
    </row>
    <row r="336" spans="2:18" ht="15.75" customHeight="1">
      <c r="B336" s="255" t="e">
        <f>"("&amp;VLOOKUP(C336,NodeList!$D$5:$E$68,2,FALSE)&amp;")"</f>
        <v>#N/A</v>
      </c>
      <c r="C336" s="256"/>
      <c r="D336" s="388">
        <v>1</v>
      </c>
      <c r="E336" s="355">
        <f>$D336*((E333*(VLOOKUP(I335,'Option Tables'!$B$23:$F$26,2)))+(P333*(VLOOKUP(I335,'Option Tables'!$B$23:$F$26,3)))+(O333*(VLOOKUP(I335,'Option Tables'!$B$23:$F$26,4))+(N333*(VLOOKUP(I335,'Option Tables'!$B$23:$F$26,5)))))</f>
        <v>0</v>
      </c>
      <c r="F336" s="355">
        <f>$D336*((F333*(VLOOKUP(I335,'Option Tables'!$B$23:$F$26,2)))+(E333*(VLOOKUP(I335,'Option Tables'!$B$23:$F$26,3)))+(P333*(VLOOKUP(I335,'Option Tables'!$B$23:$F$26,4))+(O333*(VLOOKUP(I335,'Option Tables'!$B$23:$F$26,5)))))</f>
        <v>0</v>
      </c>
      <c r="G336" s="355">
        <f>$D336*((G333*(VLOOKUP(I335,'Option Tables'!$B$23:$F$26,2)))+(F333*(VLOOKUP(I335,'Option Tables'!$B$23:$F$26,3)))+(E333*(VLOOKUP(I335,'Option Tables'!$B$23:$F$26,4))+(P333*(VLOOKUP(I335,'Option Tables'!$B$23:$F$26,5)))))</f>
        <v>0</v>
      </c>
      <c r="H336" s="355">
        <f>$D336*((H333*(VLOOKUP(I335,'Option Tables'!$B$23:$F$26,2)))+(G333*(VLOOKUP(I335,'Option Tables'!$B$23:$F$26,3)))+(F333*(VLOOKUP(I335,'Option Tables'!$B$23:$F$26,4))+(E333*(VLOOKUP(I335,'Option Tables'!$B$23:$F$26,5)))))</f>
        <v>0</v>
      </c>
      <c r="I336" s="355">
        <f>$D336*((I333*(VLOOKUP(I335,'Option Tables'!$B$23:$F$26,2)))+(H333*(VLOOKUP(I335,'Option Tables'!$B$23:$F$26,3)))+(G333*(VLOOKUP(I335,'Option Tables'!$B$23:$F$26,4))+(F333*(VLOOKUP(I335,'Option Tables'!$B$23:$F$26,5)))))</f>
        <v>0</v>
      </c>
      <c r="J336" s="355">
        <f>$D336*((J333*(VLOOKUP(I335,'Option Tables'!$B$23:$F$26,2)))+(I333*(VLOOKUP(I335,'Option Tables'!$B$23:$F$26,3)))+(H333*(VLOOKUP(I335,'Option Tables'!$B$23:$F$26,4))+(G333*(VLOOKUP(I335,'Option Tables'!$B$23:$F$26,5)))))</f>
        <v>0</v>
      </c>
      <c r="K336" s="355">
        <f>$D336*((K333*(VLOOKUP(I335,'Option Tables'!$B$23:$F$26,2)))+(J333*(VLOOKUP(I335,'Option Tables'!$B$23:$F$26,3)))+(I333*(VLOOKUP(I335,'Option Tables'!$B$23:$F$26,4))+(H333*(VLOOKUP(I335,'Option Tables'!$B$23:$F$26,5)))))</f>
        <v>0</v>
      </c>
      <c r="L336" s="355">
        <f>$D336*((L333*(VLOOKUP(I335,'Option Tables'!$B$23:$F$26,2)))+(K333*(VLOOKUP(I335,'Option Tables'!$B$23:$F$26,3)))+(J333*(VLOOKUP(I335,'Option Tables'!$B$23:$F$26,4))+(I333*(VLOOKUP(I335,'Option Tables'!$B$23:$F$26,5)))))</f>
        <v>0</v>
      </c>
      <c r="M336" s="355">
        <f>$D336*((M333*(VLOOKUP(I335,'Option Tables'!$B$23:$F$26,2)))+(L333*(VLOOKUP(I335,'Option Tables'!$B$23:$F$26,3)))+(K333*(VLOOKUP(I335,'Option Tables'!$B$23:$F$26,4))+(J333*(VLOOKUP(I335,'Option Tables'!$B$23:$F$26,5)))))</f>
        <v>0</v>
      </c>
      <c r="N336" s="355">
        <f>$D336*((N333*(VLOOKUP(I335,'Option Tables'!$B$23:$F$26,2)))+(M333*(VLOOKUP(I335,'Option Tables'!$B$23:$F$26,3)))+(L333*(VLOOKUP(I335,'Option Tables'!$B$23:$F$26,4))+(K333*(VLOOKUP(I335,'Option Tables'!$B$23:$F$26,5)))))</f>
        <v>0</v>
      </c>
      <c r="O336" s="355">
        <f>$D336*((O333*(VLOOKUP(I335,'Option Tables'!$B$23:$F$26,2)))+(N333*(VLOOKUP(I335,'Option Tables'!$B$23:$F$26,3)))+(M333*(VLOOKUP(I335,'Option Tables'!$B$23:$F$26,4))+(L333*(VLOOKUP(I335,'Option Tables'!$B$23:$F$26,5)))))</f>
        <v>0</v>
      </c>
      <c r="P336" s="465">
        <f>$D336*((P333*(VLOOKUP(I335,'Option Tables'!$B$23:$F$26,2)))+(O333*(VLOOKUP(I335,'Option Tables'!$B$23:$F$26,3)))+(N333*(VLOOKUP(I335,'Option Tables'!$B$23:$F$26,4))+(M333*(VLOOKUP(I335,'Option Tables'!$B$23:$F$26,5)))))</f>
        <v>0</v>
      </c>
      <c r="Q336" s="96"/>
    </row>
    <row r="337" spans="1:18" ht="15.75" customHeight="1">
      <c r="B337" s="95"/>
      <c r="C337" s="256"/>
      <c r="D337" s="388">
        <v>0</v>
      </c>
      <c r="E337" s="355">
        <f>$D337*((E333*(VLOOKUP(I335,'Option Tables'!$B$23:$F$26,2)))+(P333*(VLOOKUP(I335,'Option Tables'!$B$23:$F$26,3)))+(O333*(VLOOKUP(I335,'Option Tables'!$B$23:$F$26,4))+(N333*(VLOOKUP(I335,'Option Tables'!$B$23:$F$26,5)))))</f>
        <v>0</v>
      </c>
      <c r="F337" s="355">
        <f>$D337*((F333*(VLOOKUP(I335,'Option Tables'!$B$23:$F$26,2)))+(E333*(VLOOKUP(I335,'Option Tables'!$B$23:$F$26,3)))+(P333*(VLOOKUP(I335,'Option Tables'!$B$23:$F$26,4))+(O333*(VLOOKUP(I335,'Option Tables'!$B$23:$F$26,5)))))</f>
        <v>0</v>
      </c>
      <c r="G337" s="355">
        <f>$D337*((G333*(VLOOKUP(I335,'Option Tables'!$B$23:$F$26,2)))+(F333*(VLOOKUP(I335,'Option Tables'!$B$23:$F$26,3)))+(E333*(VLOOKUP(I335,'Option Tables'!$B$23:$F$26,4))+(P333*(VLOOKUP(I335,'Option Tables'!$B$23:$F$26,5)))))</f>
        <v>0</v>
      </c>
      <c r="H337" s="355">
        <f>$D337*((H333*(VLOOKUP(I335,'Option Tables'!$B$23:$F$26,2)))+(G333*(VLOOKUP(I335,'Option Tables'!$B$23:$F$26,3)))+(F333*(VLOOKUP(I335,'Option Tables'!$B$23:$F$26,4))+(E333*(VLOOKUP(I335,'Option Tables'!$B$23:$F$26,5)))))</f>
        <v>0</v>
      </c>
      <c r="I337" s="355">
        <f>$D337*((I333*(VLOOKUP(I335,'Option Tables'!$B$23:$F$26,2)))+(H333*(VLOOKUP(I335,'Option Tables'!$B$23:$F$26,3)))+(G333*(VLOOKUP(I335,'Option Tables'!$B$23:$F$26,4))+(F333*(VLOOKUP(I335,'Option Tables'!$B$23:$F$26,5)))))</f>
        <v>0</v>
      </c>
      <c r="J337" s="355">
        <f>$D337*((J333*(VLOOKUP(I335,'Option Tables'!$B$23:$F$26,2)))+(I333*(VLOOKUP(I335,'Option Tables'!$B$23:$F$26,3)))+(H333*(VLOOKUP(I335,'Option Tables'!$B$23:$F$26,4))+(G333*(VLOOKUP(I335,'Option Tables'!$B$23:$F$26,5)))))</f>
        <v>0</v>
      </c>
      <c r="K337" s="355">
        <f>$D337*((K333*(VLOOKUP(I335,'Option Tables'!$B$23:$F$26,2)))+(J333*(VLOOKUP(I335,'Option Tables'!$B$23:$F$26,3)))+(I333*(VLOOKUP(I335,'Option Tables'!$B$23:$F$26,4))+(H333*(VLOOKUP(I335,'Option Tables'!$B$23:$F$26,5)))))</f>
        <v>0</v>
      </c>
      <c r="L337" s="355">
        <f>$D337*((L333*(VLOOKUP(I335,'Option Tables'!$B$23:$F$26,2)))+(K333*(VLOOKUP(I335,'Option Tables'!$B$23:$F$26,3)))+(J333*(VLOOKUP(I335,'Option Tables'!$B$23:$F$26,4))+(I333*(VLOOKUP(I335,'Option Tables'!$B$23:$F$26,5)))))</f>
        <v>0</v>
      </c>
      <c r="M337" s="355">
        <f>$D337*((M333*(VLOOKUP(I335,'Option Tables'!$B$23:$F$26,2)))+(L333*(VLOOKUP(I335,'Option Tables'!$B$23:$F$26,3)))+(K333*(VLOOKUP(I335,'Option Tables'!$B$23:$F$26,4))+(J333*(VLOOKUP(I335,'Option Tables'!$B$23:$F$26,5)))))</f>
        <v>0</v>
      </c>
      <c r="N337" s="355">
        <f>$D337*((N333*(VLOOKUP(I335,'Option Tables'!$B$23:$F$26,2)))+(M333*(VLOOKUP(I335,'Option Tables'!$B$23:$F$26,3)))+(L333*(VLOOKUP(I335,'Option Tables'!$B$23:$F$26,4))+(K333*(VLOOKUP(I335,'Option Tables'!$B$23:$F$26,5)))))</f>
        <v>0</v>
      </c>
      <c r="O337" s="355">
        <f>$D337*((O333*(VLOOKUP(I335,'Option Tables'!$B$23:$F$26,2)))+(N333*(VLOOKUP(I335,'Option Tables'!$B$23:$F$26,3)))+(M333*(VLOOKUP(I335,'Option Tables'!$B$23:$F$26,4))+(L333*(VLOOKUP(I335,'Option Tables'!$B$23:$F$26,5)))))</f>
        <v>0</v>
      </c>
      <c r="P337" s="465">
        <f>$D337*((P333*(VLOOKUP(I335,'Option Tables'!$B$23:$F$26,2)))+(O333*(VLOOKUP(I335,'Option Tables'!$B$23:$F$26,3)))+(N333*(VLOOKUP(I335,'Option Tables'!$B$23:$F$26,4))+(M333*(VLOOKUP(I335,'Option Tables'!$B$23:$F$26,5)))))</f>
        <v>0</v>
      </c>
      <c r="Q337" s="96"/>
    </row>
    <row r="338" spans="1:18" ht="15.75" customHeight="1">
      <c r="B338" s="95"/>
      <c r="C338" s="256"/>
      <c r="D338" s="388">
        <v>0</v>
      </c>
      <c r="E338" s="355">
        <f>$D338*((E333*(VLOOKUP(I335,'Option Tables'!$B$23:$F$26,2)))+(P333*(VLOOKUP(I335,'Option Tables'!$B$23:$F$26,3)))+(O333*(VLOOKUP(I335,'Option Tables'!$B$23:$F$26,4))+(N333*(VLOOKUP(I335,'Option Tables'!$B$23:$F$26,5)))))</f>
        <v>0</v>
      </c>
      <c r="F338" s="355">
        <f>$D338*((F333*(VLOOKUP(I335,'Option Tables'!$B$23:$F$26,2)))+(E333*(VLOOKUP(I335,'Option Tables'!$B$23:$F$26,3)))+(P333*(VLOOKUP(I335,'Option Tables'!$B$23:$F$26,4))+(O333*(VLOOKUP(I335,'Option Tables'!$B$23:$F$26,5)))))</f>
        <v>0</v>
      </c>
      <c r="G338" s="355">
        <f>$D338*((G333*(VLOOKUP(I335,'Option Tables'!$B$23:$F$26,2)))+(F333*(VLOOKUP(I335,'Option Tables'!$B$23:$F$26,3)))+(E333*(VLOOKUP(I335,'Option Tables'!$B$23:$F$26,4))+(P333*(VLOOKUP(I335,'Option Tables'!$B$23:$F$26,5)))))</f>
        <v>0</v>
      </c>
      <c r="H338" s="355">
        <f>$D338*((H333*(VLOOKUP(I335,'Option Tables'!$B$23:$F$26,2)))+(G333*(VLOOKUP(I335,'Option Tables'!$B$23:$F$26,3)))+(F333*(VLOOKUP(I335,'Option Tables'!$B$23:$F$26,4))+(E333*(VLOOKUP(I335,'Option Tables'!$B$23:$F$26,5)))))</f>
        <v>0</v>
      </c>
      <c r="I338" s="355">
        <f>$D338*((I333*(VLOOKUP(I335,'Option Tables'!$B$23:$F$26,2)))+(H333*(VLOOKUP(I335,'Option Tables'!$B$23:$F$26,3)))+(G333*(VLOOKUP(I335,'Option Tables'!$B$23:$F$26,4))+(F333*(VLOOKUP(I335,'Option Tables'!$B$23:$F$26,5)))))</f>
        <v>0</v>
      </c>
      <c r="J338" s="355">
        <f>$D338*((J333*(VLOOKUP(I335,'Option Tables'!$B$23:$F$26,2)))+(I333*(VLOOKUP(I335,'Option Tables'!$B$23:$F$26,3)))+(H333*(VLOOKUP(I335,'Option Tables'!$B$23:$F$26,4))+(G333*(VLOOKUP(I335,'Option Tables'!$B$23:$F$26,5)))))</f>
        <v>0</v>
      </c>
      <c r="K338" s="355">
        <f>$D338*((K333*(VLOOKUP(I335,'Option Tables'!$B$23:$F$26,2)))+(J333*(VLOOKUP(I335,'Option Tables'!$B$23:$F$26,3)))+(I333*(VLOOKUP(I335,'Option Tables'!$B$23:$F$26,4))+(H333*(VLOOKUP(I335,'Option Tables'!$B$23:$F$26,5)))))</f>
        <v>0</v>
      </c>
      <c r="L338" s="355">
        <f>$D338*((L333*(VLOOKUP(I335,'Option Tables'!$B$23:$F$26,2)))+(K333*(VLOOKUP(I335,'Option Tables'!$B$23:$F$26,3)))+(J333*(VLOOKUP(I335,'Option Tables'!$B$23:$F$26,4))+(I333*(VLOOKUP(I335,'Option Tables'!$B$23:$F$26,5)))))</f>
        <v>0</v>
      </c>
      <c r="M338" s="355">
        <f>$D338*((M333*(VLOOKUP(I335,'Option Tables'!$B$23:$F$26,2)))+(L333*(VLOOKUP(I335,'Option Tables'!$B$23:$F$26,3)))+(K333*(VLOOKUP(I335,'Option Tables'!$B$23:$F$26,4))+(J333*(VLOOKUP(I335,'Option Tables'!$B$23:$F$26,5)))))</f>
        <v>0</v>
      </c>
      <c r="N338" s="355">
        <f>$D338*((N333*(VLOOKUP(I335,'Option Tables'!$B$23:$F$26,2)))+(M333*(VLOOKUP(I335,'Option Tables'!$B$23:$F$26,3)))+(L333*(VLOOKUP(I335,'Option Tables'!$B$23:$F$26,4))+(K333*(VLOOKUP(I335,'Option Tables'!$B$23:$F$26,5)))))</f>
        <v>0</v>
      </c>
      <c r="O338" s="355">
        <f>$D338*((O333*(VLOOKUP(I335,'Option Tables'!$B$23:$F$26,2)))+(N333*(VLOOKUP(I335,'Option Tables'!$B$23:$F$26,3)))+(M333*(VLOOKUP(I335,'Option Tables'!$B$23:$F$26,4))+(L333*(VLOOKUP(I335,'Option Tables'!$B$23:$F$26,5)))))</f>
        <v>0</v>
      </c>
      <c r="P338" s="465">
        <f>$D338*((P333*(VLOOKUP(I335,'Option Tables'!$B$23:$F$26,2)))+(O333*(VLOOKUP(I335,'Option Tables'!$B$23:$F$26,3)))+(N333*(VLOOKUP(I335,'Option Tables'!$B$23:$F$26,4))+(M333*(VLOOKUP(I335,'Option Tables'!$B$23:$F$26,5)))))</f>
        <v>0</v>
      </c>
      <c r="Q338" s="96"/>
    </row>
    <row r="339" spans="1:18" ht="15.75" customHeight="1">
      <c r="B339" s="95"/>
      <c r="C339" s="256"/>
      <c r="D339" s="388">
        <v>0</v>
      </c>
      <c r="E339" s="355">
        <f>$D339*((E333*(VLOOKUP(I335,'Option Tables'!$B$23:$F$26,2)))+(P333*(VLOOKUP(I335,'Option Tables'!$B$23:$F$26,3)))+(O333*(VLOOKUP(I335,'Option Tables'!$B$23:$F$26,4))+(N333*(VLOOKUP(I335,'Option Tables'!$B$23:$F$26,5)))))</f>
        <v>0</v>
      </c>
      <c r="F339" s="355">
        <f>$D339*((F333*(VLOOKUP(I335,'Option Tables'!$B$23:$F$26,2)))+(E333*(VLOOKUP(I335,'Option Tables'!$B$23:$F$26,3)))+(P333*(VLOOKUP(I335,'Option Tables'!$B$23:$F$26,4))+(O333*(VLOOKUP(I335,'Option Tables'!$B$23:$F$26,5)))))</f>
        <v>0</v>
      </c>
      <c r="G339" s="355">
        <f>$D339*((G333*(VLOOKUP(I335,'Option Tables'!$B$23:$F$26,2)))+(F333*(VLOOKUP(I335,'Option Tables'!$B$23:$F$26,3)))+(E333*(VLOOKUP(I335,'Option Tables'!$B$23:$F$26,4))+(P333*(VLOOKUP(I335,'Option Tables'!$B$23:$F$26,5)))))</f>
        <v>0</v>
      </c>
      <c r="H339" s="355">
        <f>$D339*((H333*(VLOOKUP(I335,'Option Tables'!$B$23:$F$26,2)))+(G333*(VLOOKUP(I335,'Option Tables'!$B$23:$F$26,3)))+(F333*(VLOOKUP(I335,'Option Tables'!$B$23:$F$26,4))+(E333*(VLOOKUP(I335,'Option Tables'!$B$23:$F$26,5)))))</f>
        <v>0</v>
      </c>
      <c r="I339" s="355">
        <f>$D339*((I333*(VLOOKUP(I335,'Option Tables'!$B$23:$F$26,2)))+(H333*(VLOOKUP(I335,'Option Tables'!$B$23:$F$26,3)))+(G333*(VLOOKUP(I335,'Option Tables'!$B$23:$F$26,4))+(F333*(VLOOKUP(I335,'Option Tables'!$B$23:$F$26,5)))))</f>
        <v>0</v>
      </c>
      <c r="J339" s="355">
        <f>$D339*((J333*(VLOOKUP(I335,'Option Tables'!$B$23:$F$26,2)))+(I333*(VLOOKUP(I335,'Option Tables'!$B$23:$F$26,3)))+(H333*(VLOOKUP(I335,'Option Tables'!$B$23:$F$26,4))+(G333*(VLOOKUP(I335,'Option Tables'!$B$23:$F$26,5)))))</f>
        <v>0</v>
      </c>
      <c r="K339" s="355">
        <f>$D339*((K333*(VLOOKUP(I335,'Option Tables'!$B$23:$F$26,2)))+(J333*(VLOOKUP(I335,'Option Tables'!$B$23:$F$26,3)))+(I333*(VLOOKUP(I335,'Option Tables'!$B$23:$F$26,4))+(H333*(VLOOKUP(I335,'Option Tables'!$B$23:$F$26,5)))))</f>
        <v>0</v>
      </c>
      <c r="L339" s="355">
        <f>$D339*((L333*(VLOOKUP(I335,'Option Tables'!$B$23:$F$26,2)))+(K333*(VLOOKUP(I335,'Option Tables'!$B$23:$F$26,3)))+(J333*(VLOOKUP(I335,'Option Tables'!$B$23:$F$26,4))+(I333*(VLOOKUP(I335,'Option Tables'!$B$23:$F$26,5)))))</f>
        <v>0</v>
      </c>
      <c r="M339" s="355">
        <f>$D339*((M333*(VLOOKUP(I335,'Option Tables'!$B$23:$F$26,2)))+(L333*(VLOOKUP(I335,'Option Tables'!$B$23:$F$26,3)))+(K333*(VLOOKUP(I335,'Option Tables'!$B$23:$F$26,4))+(J333*(VLOOKUP(I335,'Option Tables'!$B$23:$F$26,5)))))</f>
        <v>0</v>
      </c>
      <c r="N339" s="355">
        <f>$D339*((N333*(VLOOKUP(I335,'Option Tables'!$B$23:$F$26,2)))+(M333*(VLOOKUP(I335,'Option Tables'!$B$23:$F$26,3)))+(L333*(VLOOKUP(I335,'Option Tables'!$B$23:$F$26,4))+(K333*(VLOOKUP(I335,'Option Tables'!$B$23:$F$26,5)))))</f>
        <v>0</v>
      </c>
      <c r="O339" s="355">
        <f>$D339*((O333*(VLOOKUP(I335,'Option Tables'!$B$23:$F$26,2)))+(N333*(VLOOKUP(I335,'Option Tables'!$B$23:$F$26,3)))+(M333*(VLOOKUP(I335,'Option Tables'!$B$23:$F$26,4))+(L333*(VLOOKUP(I335,'Option Tables'!$B$23:$F$26,5)))))</f>
        <v>0</v>
      </c>
      <c r="P339" s="465">
        <f>$D339*((P333*(VLOOKUP(I335,'Option Tables'!$B$23:$F$26,2)))+(O333*(VLOOKUP(I335,'Option Tables'!$B$23:$F$26,3)))+(N333*(VLOOKUP(I335,'Option Tables'!$B$23:$F$26,4))+(M333*(VLOOKUP(I335,'Option Tables'!$B$23:$F$26,5)))))</f>
        <v>0</v>
      </c>
      <c r="Q339" s="96"/>
    </row>
    <row r="340" spans="1:18" ht="15.75" customHeight="1" thickBot="1">
      <c r="B340" s="97"/>
      <c r="C340" s="144" t="str">
        <f>IF(D340&lt;&gt;1,"Must equal %100","")</f>
        <v/>
      </c>
      <c r="D340" s="71">
        <f t="shared" ref="D340:P340" si="32">SUM(D336:D339)</f>
        <v>1</v>
      </c>
      <c r="E340" s="466">
        <f t="shared" si="32"/>
        <v>0</v>
      </c>
      <c r="F340" s="466">
        <f t="shared" si="32"/>
        <v>0</v>
      </c>
      <c r="G340" s="466">
        <f t="shared" si="32"/>
        <v>0</v>
      </c>
      <c r="H340" s="466">
        <f t="shared" si="32"/>
        <v>0</v>
      </c>
      <c r="I340" s="466">
        <f t="shared" si="32"/>
        <v>0</v>
      </c>
      <c r="J340" s="466">
        <f t="shared" si="32"/>
        <v>0</v>
      </c>
      <c r="K340" s="466">
        <f t="shared" si="32"/>
        <v>0</v>
      </c>
      <c r="L340" s="466">
        <f t="shared" si="32"/>
        <v>0</v>
      </c>
      <c r="M340" s="466">
        <f t="shared" si="32"/>
        <v>0</v>
      </c>
      <c r="N340" s="466">
        <f t="shared" si="32"/>
        <v>0</v>
      </c>
      <c r="O340" s="466">
        <f t="shared" si="32"/>
        <v>0</v>
      </c>
      <c r="P340" s="467">
        <f t="shared" si="32"/>
        <v>0</v>
      </c>
      <c r="Q340" s="96"/>
      <c r="R340" s="140"/>
    </row>
    <row r="341" spans="1:18" ht="15.75" customHeight="1" thickBot="1">
      <c r="A341" s="142" t="s">
        <v>268</v>
      </c>
      <c r="B341" s="95"/>
      <c r="C341" s="205"/>
      <c r="D341" s="98"/>
      <c r="E341" s="355"/>
      <c r="F341" s="358"/>
      <c r="G341" s="358"/>
      <c r="H341" s="358"/>
      <c r="I341" s="358"/>
      <c r="J341" s="355"/>
      <c r="K341" s="355"/>
      <c r="L341" s="355"/>
      <c r="M341" s="355"/>
      <c r="N341" s="355"/>
      <c r="O341" s="355"/>
      <c r="P341" s="465"/>
      <c r="Q341" s="96"/>
    </row>
    <row r="342" spans="1:18" ht="15.75" customHeight="1" thickBot="1">
      <c r="B342" s="85" t="s">
        <v>121</v>
      </c>
      <c r="C342" s="284" t="str">
        <f>VLOOKUP(B342,NodeList!$D$5:$E$73,2,FALSE)</f>
        <v>USGS 10020300:  Bear R. bel res. nr Woodruff, UT</v>
      </c>
      <c r="D342" s="91"/>
      <c r="E342" s="450"/>
      <c r="F342" s="451"/>
      <c r="G342" s="452"/>
      <c r="H342" s="453" t="s">
        <v>54</v>
      </c>
      <c r="I342" s="68">
        <v>15</v>
      </c>
      <c r="J342" s="454"/>
      <c r="K342" s="454"/>
      <c r="L342" s="454"/>
      <c r="M342" s="454"/>
      <c r="N342" s="454"/>
      <c r="O342" s="454"/>
      <c r="P342" s="455"/>
      <c r="Q342" s="96"/>
    </row>
    <row r="343" spans="1:18" ht="15.75" customHeight="1">
      <c r="B343" s="94"/>
      <c r="C343" s="66" t="s">
        <v>57</v>
      </c>
      <c r="D343" s="69"/>
      <c r="E343" s="456">
        <f>VLOOKUP($B342,'Diversion Data'!$B$3:$O$227,3,FALSE)</f>
        <v>0</v>
      </c>
      <c r="F343" s="456">
        <f>VLOOKUP($B342,'Diversion Data'!$B$3:$O$227,4,FALSE)</f>
        <v>0</v>
      </c>
      <c r="G343" s="456">
        <f>VLOOKUP($B342,'Diversion Data'!$B$3:$O$227,5,FALSE)</f>
        <v>0</v>
      </c>
      <c r="H343" s="456">
        <f>VLOOKUP($B342,'Diversion Data'!$B$3:$O$227,6,FALSE)</f>
        <v>0</v>
      </c>
      <c r="I343" s="456">
        <f>VLOOKUP($B342,'Diversion Data'!$B$3:$O$227,7,FALSE)</f>
        <v>0</v>
      </c>
      <c r="J343" s="456">
        <f>VLOOKUP($B342,'Diversion Data'!$B$3:$O$227,8,FALSE)</f>
        <v>0</v>
      </c>
      <c r="K343" s="456">
        <f>VLOOKUP($B342,'Diversion Data'!$B$3:$O$227,9,FALSE)</f>
        <v>0</v>
      </c>
      <c r="L343" s="456">
        <f>VLOOKUP($B342,'Diversion Data'!$B$3:$O$227,10,FALSE)</f>
        <v>0</v>
      </c>
      <c r="M343" s="456">
        <f>VLOOKUP($B342,'Diversion Data'!$B$3:$O$227,11,FALSE)</f>
        <v>0</v>
      </c>
      <c r="N343" s="456">
        <f>VLOOKUP($B342,'Diversion Data'!$B$3:$O$227,12,FALSE)</f>
        <v>0</v>
      </c>
      <c r="O343" s="456">
        <f>VLOOKUP($B342,'Diversion Data'!$B$3:$O$227,13,FALSE)</f>
        <v>0</v>
      </c>
      <c r="P343" s="457">
        <f>VLOOKUP($B342,'Diversion Data'!$B$3:$O$227,14,FALSE)</f>
        <v>0</v>
      </c>
      <c r="Q343" s="96"/>
    </row>
    <row r="344" spans="1:18" ht="15.75" customHeight="1">
      <c r="B344" s="95"/>
      <c r="C344" s="72" t="s">
        <v>56</v>
      </c>
      <c r="D344" s="70"/>
      <c r="E344" s="458">
        <f>VLOOKUP($I342,'Option Tables'!$B$3:$N$19,2,FALSE)*E343</f>
        <v>0</v>
      </c>
      <c r="F344" s="458">
        <f>VLOOKUP($I342,'Option Tables'!$B$3:$N$19,3,FALSE)*F343</f>
        <v>0</v>
      </c>
      <c r="G344" s="458">
        <f>VLOOKUP($I342,'Option Tables'!$B$3:$N$19,4,FALSE)*G343</f>
        <v>0</v>
      </c>
      <c r="H344" s="458">
        <f>VLOOKUP($I342,'Option Tables'!$B$3:$N$19,5,FALSE)*H343</f>
        <v>0</v>
      </c>
      <c r="I344" s="458">
        <f>VLOOKUP($I342,'Option Tables'!$B$3:$N$19,6,FALSE)*I343</f>
        <v>0</v>
      </c>
      <c r="J344" s="458">
        <f>VLOOKUP($I342,'Option Tables'!$B$3:$N$19,7,FALSE)*J343</f>
        <v>0</v>
      </c>
      <c r="K344" s="458">
        <f>VLOOKUP($I342,'Option Tables'!$B$3:$N$19,8,FALSE)*K343</f>
        <v>0</v>
      </c>
      <c r="L344" s="458">
        <f>VLOOKUP($I342,'Option Tables'!$B$3:$N$19,9,FALSE)*L343</f>
        <v>0</v>
      </c>
      <c r="M344" s="458">
        <f>VLOOKUP($I342,'Option Tables'!$B$3:$N$19,10,FALSE)*M343</f>
        <v>0</v>
      </c>
      <c r="N344" s="458">
        <f>VLOOKUP($I342,'Option Tables'!$B$3:$N$19,11,FALSE)*N343</f>
        <v>0</v>
      </c>
      <c r="O344" s="458">
        <f>VLOOKUP($I342,'Option Tables'!$B$3:$N$19,12,FALSE)*O343</f>
        <v>0</v>
      </c>
      <c r="P344" s="459">
        <f>VLOOKUP($I342,'Option Tables'!$B$3:$N$19,13,FALSE)*P343</f>
        <v>0</v>
      </c>
      <c r="Q344" s="96"/>
    </row>
    <row r="345" spans="1:18" ht="15.75" customHeight="1" thickBot="1">
      <c r="B345" s="95"/>
      <c r="C345" s="66"/>
      <c r="D345" s="62"/>
      <c r="E345" s="355"/>
      <c r="F345" s="355"/>
      <c r="G345" s="355"/>
      <c r="H345" s="355"/>
      <c r="I345" s="355"/>
      <c r="J345" s="355"/>
      <c r="K345" s="355"/>
      <c r="L345" s="355"/>
      <c r="M345" s="460"/>
      <c r="N345" s="460"/>
      <c r="O345" s="460"/>
      <c r="P345" s="461"/>
      <c r="Q345" s="96"/>
    </row>
    <row r="346" spans="1:18" ht="15.75" customHeight="1" thickBot="1">
      <c r="B346" s="254" t="s">
        <v>73</v>
      </c>
      <c r="C346" s="105" t="s">
        <v>73</v>
      </c>
      <c r="D346" s="105" t="s">
        <v>74</v>
      </c>
      <c r="E346" s="462"/>
      <c r="F346" s="463"/>
      <c r="G346" s="464"/>
      <c r="H346" s="464" t="s">
        <v>55</v>
      </c>
      <c r="I346" s="68">
        <v>3</v>
      </c>
      <c r="J346" s="460"/>
      <c r="K346" s="460"/>
      <c r="L346" s="460"/>
      <c r="M346" s="460"/>
      <c r="N346" s="460"/>
      <c r="O346" s="460"/>
      <c r="P346" s="461"/>
      <c r="Q346" s="96"/>
    </row>
    <row r="347" spans="1:18" ht="15.75" customHeight="1">
      <c r="B347" s="255" t="e">
        <f>"("&amp;VLOOKUP(C347,NodeList!$D$5:$E$68,2,FALSE)&amp;")"</f>
        <v>#N/A</v>
      </c>
      <c r="C347" s="256"/>
      <c r="D347" s="388">
        <v>1</v>
      </c>
      <c r="E347" s="355">
        <f>$D347*((E344*(VLOOKUP(I346,'Option Tables'!$B$23:$F$26,2)))+(P344*(VLOOKUP(I346,'Option Tables'!$B$23:$F$26,3)))+(O344*(VLOOKUP(I346,'Option Tables'!$B$23:$F$26,4))+(N344*(VLOOKUP(I346,'Option Tables'!$B$23:$F$26,5)))))</f>
        <v>0</v>
      </c>
      <c r="F347" s="355">
        <f>$D347*((F344*(VLOOKUP(I346,'Option Tables'!$B$23:$F$26,2)))+(E344*(VLOOKUP(I346,'Option Tables'!$B$23:$F$26,3)))+(P344*(VLOOKUP(I346,'Option Tables'!$B$23:$F$26,4))+(O344*(VLOOKUP(I346,'Option Tables'!$B$23:$F$26,5)))))</f>
        <v>0</v>
      </c>
      <c r="G347" s="355">
        <f>$D347*((G344*(VLOOKUP(I346,'Option Tables'!$B$23:$F$26,2)))+(F344*(VLOOKUP(I346,'Option Tables'!$B$23:$F$26,3)))+(E344*(VLOOKUP(I346,'Option Tables'!$B$23:$F$26,4))+(P344*(VLOOKUP(I346,'Option Tables'!$B$23:$F$26,5)))))</f>
        <v>0</v>
      </c>
      <c r="H347" s="355">
        <f>$D347*((H344*(VLOOKUP(I346,'Option Tables'!$B$23:$F$26,2)))+(G344*(VLOOKUP(I346,'Option Tables'!$B$23:$F$26,3)))+(F344*(VLOOKUP(I346,'Option Tables'!$B$23:$F$26,4))+(E344*(VLOOKUP(I346,'Option Tables'!$B$23:$F$26,5)))))</f>
        <v>0</v>
      </c>
      <c r="I347" s="355">
        <f>$D347*((I344*(VLOOKUP(I346,'Option Tables'!$B$23:$F$26,2)))+(H344*(VLOOKUP(I346,'Option Tables'!$B$23:$F$26,3)))+(G344*(VLOOKUP(I346,'Option Tables'!$B$23:$F$26,4))+(F344*(VLOOKUP(I346,'Option Tables'!$B$23:$F$26,5)))))</f>
        <v>0</v>
      </c>
      <c r="J347" s="355">
        <f>$D347*((J344*(VLOOKUP(I346,'Option Tables'!$B$23:$F$26,2)))+(I344*(VLOOKUP(I346,'Option Tables'!$B$23:$F$26,3)))+(H344*(VLOOKUP(I346,'Option Tables'!$B$23:$F$26,4))+(G344*(VLOOKUP(I346,'Option Tables'!$B$23:$F$26,5)))))</f>
        <v>0</v>
      </c>
      <c r="K347" s="355">
        <f>$D347*((K344*(VLOOKUP(I346,'Option Tables'!$B$23:$F$26,2)))+(J344*(VLOOKUP(I346,'Option Tables'!$B$23:$F$26,3)))+(I344*(VLOOKUP(I346,'Option Tables'!$B$23:$F$26,4))+(H344*(VLOOKUP(I346,'Option Tables'!$B$23:$F$26,5)))))</f>
        <v>0</v>
      </c>
      <c r="L347" s="355">
        <f>$D347*((L344*(VLOOKUP(I346,'Option Tables'!$B$23:$F$26,2)))+(K344*(VLOOKUP(I346,'Option Tables'!$B$23:$F$26,3)))+(J344*(VLOOKUP(I346,'Option Tables'!$B$23:$F$26,4))+(I344*(VLOOKUP(I346,'Option Tables'!$B$23:$F$26,5)))))</f>
        <v>0</v>
      </c>
      <c r="M347" s="355">
        <f>$D347*((M344*(VLOOKUP(I346,'Option Tables'!$B$23:$F$26,2)))+(L344*(VLOOKUP(I346,'Option Tables'!$B$23:$F$26,3)))+(K344*(VLOOKUP(I346,'Option Tables'!$B$23:$F$26,4))+(J344*(VLOOKUP(I346,'Option Tables'!$B$23:$F$26,5)))))</f>
        <v>0</v>
      </c>
      <c r="N347" s="355">
        <f>$D347*((N344*(VLOOKUP(I346,'Option Tables'!$B$23:$F$26,2)))+(M344*(VLOOKUP(I346,'Option Tables'!$B$23:$F$26,3)))+(L344*(VLOOKUP(I346,'Option Tables'!$B$23:$F$26,4))+(K344*(VLOOKUP(I346,'Option Tables'!$B$23:$F$26,5)))))</f>
        <v>0</v>
      </c>
      <c r="O347" s="355">
        <f>$D347*((O344*(VLOOKUP(I346,'Option Tables'!$B$23:$F$26,2)))+(N344*(VLOOKUP(I346,'Option Tables'!$B$23:$F$26,3)))+(M344*(VLOOKUP(I346,'Option Tables'!$B$23:$F$26,4))+(L344*(VLOOKUP(I346,'Option Tables'!$B$23:$F$26,5)))))</f>
        <v>0</v>
      </c>
      <c r="P347" s="465">
        <f>$D347*((P344*(VLOOKUP(I346,'Option Tables'!$B$23:$F$26,2)))+(O344*(VLOOKUP(I346,'Option Tables'!$B$23:$F$26,3)))+(N344*(VLOOKUP(I346,'Option Tables'!$B$23:$F$26,4))+(M344*(VLOOKUP(I346,'Option Tables'!$B$23:$F$26,5)))))</f>
        <v>0</v>
      </c>
      <c r="Q347" s="96"/>
    </row>
    <row r="348" spans="1:18" ht="15.75" customHeight="1">
      <c r="B348" s="95"/>
      <c r="C348" s="256"/>
      <c r="D348" s="388">
        <v>0</v>
      </c>
      <c r="E348" s="355">
        <f>$D348*((E344*(VLOOKUP(I346,'Option Tables'!$B$23:$F$26,2)))+(P344*(VLOOKUP(I346,'Option Tables'!$B$23:$F$26,3)))+(O344*(VLOOKUP(I346,'Option Tables'!$B$23:$F$26,4))+(N344*(VLOOKUP(I346,'Option Tables'!$B$23:$F$26,5)))))</f>
        <v>0</v>
      </c>
      <c r="F348" s="355">
        <f>$D348*((F344*(VLOOKUP(I346,'Option Tables'!$B$23:$F$26,2)))+(E344*(VLOOKUP(I346,'Option Tables'!$B$23:$F$26,3)))+(P344*(VLOOKUP(I346,'Option Tables'!$B$23:$F$26,4))+(O344*(VLOOKUP(I346,'Option Tables'!$B$23:$F$26,5)))))</f>
        <v>0</v>
      </c>
      <c r="G348" s="355">
        <f>$D348*((G344*(VLOOKUP(I346,'Option Tables'!$B$23:$F$26,2)))+(F344*(VLOOKUP(I346,'Option Tables'!$B$23:$F$26,3)))+(E344*(VLOOKUP(I346,'Option Tables'!$B$23:$F$26,4))+(P344*(VLOOKUP(I346,'Option Tables'!$B$23:$F$26,5)))))</f>
        <v>0</v>
      </c>
      <c r="H348" s="355">
        <f>$D348*((H344*(VLOOKUP(I346,'Option Tables'!$B$23:$F$26,2)))+(G344*(VLOOKUP(I346,'Option Tables'!$B$23:$F$26,3)))+(F344*(VLOOKUP(I346,'Option Tables'!$B$23:$F$26,4))+(E344*(VLOOKUP(I346,'Option Tables'!$B$23:$F$26,5)))))</f>
        <v>0</v>
      </c>
      <c r="I348" s="355">
        <f>$D348*((I344*(VLOOKUP(I346,'Option Tables'!$B$23:$F$26,2)))+(H344*(VLOOKUP(I346,'Option Tables'!$B$23:$F$26,3)))+(G344*(VLOOKUP(I346,'Option Tables'!$B$23:$F$26,4))+(F344*(VLOOKUP(I346,'Option Tables'!$B$23:$F$26,5)))))</f>
        <v>0</v>
      </c>
      <c r="J348" s="355">
        <f>$D348*((J344*(VLOOKUP(I346,'Option Tables'!$B$23:$F$26,2)))+(I344*(VLOOKUP(I346,'Option Tables'!$B$23:$F$26,3)))+(H344*(VLOOKUP(I346,'Option Tables'!$B$23:$F$26,4))+(G344*(VLOOKUP(I346,'Option Tables'!$B$23:$F$26,5)))))</f>
        <v>0</v>
      </c>
      <c r="K348" s="355">
        <f>$D348*((K344*(VLOOKUP(I346,'Option Tables'!$B$23:$F$26,2)))+(J344*(VLOOKUP(I346,'Option Tables'!$B$23:$F$26,3)))+(I344*(VLOOKUP(I346,'Option Tables'!$B$23:$F$26,4))+(H344*(VLOOKUP(I346,'Option Tables'!$B$23:$F$26,5)))))</f>
        <v>0</v>
      </c>
      <c r="L348" s="355">
        <f>$D348*((L344*(VLOOKUP(I346,'Option Tables'!$B$23:$F$26,2)))+(K344*(VLOOKUP(I346,'Option Tables'!$B$23:$F$26,3)))+(J344*(VLOOKUP(I346,'Option Tables'!$B$23:$F$26,4))+(I344*(VLOOKUP(I346,'Option Tables'!$B$23:$F$26,5)))))</f>
        <v>0</v>
      </c>
      <c r="M348" s="355">
        <f>$D348*((M344*(VLOOKUP(I346,'Option Tables'!$B$23:$F$26,2)))+(L344*(VLOOKUP(I346,'Option Tables'!$B$23:$F$26,3)))+(K344*(VLOOKUP(I346,'Option Tables'!$B$23:$F$26,4))+(J344*(VLOOKUP(I346,'Option Tables'!$B$23:$F$26,5)))))</f>
        <v>0</v>
      </c>
      <c r="N348" s="355">
        <f>$D348*((N344*(VLOOKUP(I346,'Option Tables'!$B$23:$F$26,2)))+(M344*(VLOOKUP(I346,'Option Tables'!$B$23:$F$26,3)))+(L344*(VLOOKUP(I346,'Option Tables'!$B$23:$F$26,4))+(K344*(VLOOKUP(I346,'Option Tables'!$B$23:$F$26,5)))))</f>
        <v>0</v>
      </c>
      <c r="O348" s="355">
        <f>$D348*((O344*(VLOOKUP(I346,'Option Tables'!$B$23:$F$26,2)))+(N344*(VLOOKUP(I346,'Option Tables'!$B$23:$F$26,3)))+(M344*(VLOOKUP(I346,'Option Tables'!$B$23:$F$26,4))+(L344*(VLOOKUP(I346,'Option Tables'!$B$23:$F$26,5)))))</f>
        <v>0</v>
      </c>
      <c r="P348" s="465">
        <f>$D348*((P344*(VLOOKUP(I346,'Option Tables'!$B$23:$F$26,2)))+(O344*(VLOOKUP(I346,'Option Tables'!$B$23:$F$26,3)))+(N344*(VLOOKUP(I346,'Option Tables'!$B$23:$F$26,4))+(M344*(VLOOKUP(I346,'Option Tables'!$B$23:$F$26,5)))))</f>
        <v>0</v>
      </c>
      <c r="Q348" s="96"/>
    </row>
    <row r="349" spans="1:18" ht="15.75" customHeight="1">
      <c r="B349" s="95"/>
      <c r="C349" s="256"/>
      <c r="D349" s="388">
        <v>0</v>
      </c>
      <c r="E349" s="355">
        <f>$D349*((E344*(VLOOKUP(I346,'Option Tables'!$B$23:$F$26,2)))+(P344*(VLOOKUP(I346,'Option Tables'!$B$23:$F$26,3)))+(O344*(VLOOKUP(I346,'Option Tables'!$B$23:$F$26,4))+(N344*(VLOOKUP(I346,'Option Tables'!$B$23:$F$26,5)))))</f>
        <v>0</v>
      </c>
      <c r="F349" s="355">
        <f>$D349*((F344*(VLOOKUP(I346,'Option Tables'!$B$23:$F$26,2)))+(E344*(VLOOKUP(I346,'Option Tables'!$B$23:$F$26,3)))+(P344*(VLOOKUP(I346,'Option Tables'!$B$23:$F$26,4))+(O344*(VLOOKUP(I346,'Option Tables'!$B$23:$F$26,5)))))</f>
        <v>0</v>
      </c>
      <c r="G349" s="355">
        <f>$D349*((G344*(VLOOKUP(I346,'Option Tables'!$B$23:$F$26,2)))+(F344*(VLOOKUP(I346,'Option Tables'!$B$23:$F$26,3)))+(E344*(VLOOKUP(I346,'Option Tables'!$B$23:$F$26,4))+(P344*(VLOOKUP(I346,'Option Tables'!$B$23:$F$26,5)))))</f>
        <v>0</v>
      </c>
      <c r="H349" s="355">
        <f>$D349*((H344*(VLOOKUP(I346,'Option Tables'!$B$23:$F$26,2)))+(G344*(VLOOKUP(I346,'Option Tables'!$B$23:$F$26,3)))+(F344*(VLOOKUP(I346,'Option Tables'!$B$23:$F$26,4))+(E344*(VLOOKUP(I346,'Option Tables'!$B$23:$F$26,5)))))</f>
        <v>0</v>
      </c>
      <c r="I349" s="355">
        <f>$D349*((I344*(VLOOKUP(I346,'Option Tables'!$B$23:$F$26,2)))+(H344*(VLOOKUP(I346,'Option Tables'!$B$23:$F$26,3)))+(G344*(VLOOKUP(I346,'Option Tables'!$B$23:$F$26,4))+(F344*(VLOOKUP(I346,'Option Tables'!$B$23:$F$26,5)))))</f>
        <v>0</v>
      </c>
      <c r="J349" s="355">
        <f>$D349*((J344*(VLOOKUP(I346,'Option Tables'!$B$23:$F$26,2)))+(I344*(VLOOKUP(I346,'Option Tables'!$B$23:$F$26,3)))+(H344*(VLOOKUP(I346,'Option Tables'!$B$23:$F$26,4))+(G344*(VLOOKUP(I346,'Option Tables'!$B$23:$F$26,5)))))</f>
        <v>0</v>
      </c>
      <c r="K349" s="355">
        <f>$D349*((K344*(VLOOKUP(I346,'Option Tables'!$B$23:$F$26,2)))+(J344*(VLOOKUP(I346,'Option Tables'!$B$23:$F$26,3)))+(I344*(VLOOKUP(I346,'Option Tables'!$B$23:$F$26,4))+(H344*(VLOOKUP(I346,'Option Tables'!$B$23:$F$26,5)))))</f>
        <v>0</v>
      </c>
      <c r="L349" s="355">
        <f>$D349*((L344*(VLOOKUP(I346,'Option Tables'!$B$23:$F$26,2)))+(K344*(VLOOKUP(I346,'Option Tables'!$B$23:$F$26,3)))+(J344*(VLOOKUP(I346,'Option Tables'!$B$23:$F$26,4))+(I344*(VLOOKUP(I346,'Option Tables'!$B$23:$F$26,5)))))</f>
        <v>0</v>
      </c>
      <c r="M349" s="355">
        <f>$D349*((M344*(VLOOKUP(I346,'Option Tables'!$B$23:$F$26,2)))+(L344*(VLOOKUP(I346,'Option Tables'!$B$23:$F$26,3)))+(K344*(VLOOKUP(I346,'Option Tables'!$B$23:$F$26,4))+(J344*(VLOOKUP(I346,'Option Tables'!$B$23:$F$26,5)))))</f>
        <v>0</v>
      </c>
      <c r="N349" s="355">
        <f>$D349*((N344*(VLOOKUP(I346,'Option Tables'!$B$23:$F$26,2)))+(M344*(VLOOKUP(I346,'Option Tables'!$B$23:$F$26,3)))+(L344*(VLOOKUP(I346,'Option Tables'!$B$23:$F$26,4))+(K344*(VLOOKUP(I346,'Option Tables'!$B$23:$F$26,5)))))</f>
        <v>0</v>
      </c>
      <c r="O349" s="355">
        <f>$D349*((O344*(VLOOKUP(I346,'Option Tables'!$B$23:$F$26,2)))+(N344*(VLOOKUP(I346,'Option Tables'!$B$23:$F$26,3)))+(M344*(VLOOKUP(I346,'Option Tables'!$B$23:$F$26,4))+(L344*(VLOOKUP(I346,'Option Tables'!$B$23:$F$26,5)))))</f>
        <v>0</v>
      </c>
      <c r="P349" s="465">
        <f>$D349*((P344*(VLOOKUP(I346,'Option Tables'!$B$23:$F$26,2)))+(O344*(VLOOKUP(I346,'Option Tables'!$B$23:$F$26,3)))+(N344*(VLOOKUP(I346,'Option Tables'!$B$23:$F$26,4))+(M344*(VLOOKUP(I346,'Option Tables'!$B$23:$F$26,5)))))</f>
        <v>0</v>
      </c>
      <c r="Q349" s="96"/>
    </row>
    <row r="350" spans="1:18" ht="15.75" customHeight="1">
      <c r="A350" s="172"/>
      <c r="B350" s="95"/>
      <c r="C350" s="256"/>
      <c r="D350" s="388">
        <v>0</v>
      </c>
      <c r="E350" s="355">
        <f>$D350*((E344*(VLOOKUP(I346,'Option Tables'!$B$23:$F$26,2)))+(P344*(VLOOKUP(I346,'Option Tables'!$B$23:$F$26,3)))+(O344*(VLOOKUP(I346,'Option Tables'!$B$23:$F$26,4))+(N344*(VLOOKUP(I346,'Option Tables'!$B$23:$F$26,5)))))</f>
        <v>0</v>
      </c>
      <c r="F350" s="355">
        <f>$D350*((F344*(VLOOKUP(I346,'Option Tables'!$B$23:$F$26,2)))+(E344*(VLOOKUP(I346,'Option Tables'!$B$23:$F$26,3)))+(P344*(VLOOKUP(I346,'Option Tables'!$B$23:$F$26,4))+(O344*(VLOOKUP(I346,'Option Tables'!$B$23:$F$26,5)))))</f>
        <v>0</v>
      </c>
      <c r="G350" s="355">
        <f>$D350*((G344*(VLOOKUP(I346,'Option Tables'!$B$23:$F$26,2)))+(F344*(VLOOKUP(I346,'Option Tables'!$B$23:$F$26,3)))+(E344*(VLOOKUP(I346,'Option Tables'!$B$23:$F$26,4))+(P344*(VLOOKUP(I346,'Option Tables'!$B$23:$F$26,5)))))</f>
        <v>0</v>
      </c>
      <c r="H350" s="355">
        <f>$D350*((H344*(VLOOKUP(I346,'Option Tables'!$B$23:$F$26,2)))+(G344*(VLOOKUP(I346,'Option Tables'!$B$23:$F$26,3)))+(F344*(VLOOKUP(I346,'Option Tables'!$B$23:$F$26,4))+(E344*(VLOOKUP(I346,'Option Tables'!$B$23:$F$26,5)))))</f>
        <v>0</v>
      </c>
      <c r="I350" s="355">
        <f>$D350*((I344*(VLOOKUP(I346,'Option Tables'!$B$23:$F$26,2)))+(H344*(VLOOKUP(I346,'Option Tables'!$B$23:$F$26,3)))+(G344*(VLOOKUP(I346,'Option Tables'!$B$23:$F$26,4))+(F344*(VLOOKUP(I346,'Option Tables'!$B$23:$F$26,5)))))</f>
        <v>0</v>
      </c>
      <c r="J350" s="355">
        <f>$D350*((J344*(VLOOKUP(I346,'Option Tables'!$B$23:$F$26,2)))+(I344*(VLOOKUP(I346,'Option Tables'!$B$23:$F$26,3)))+(H344*(VLOOKUP(I346,'Option Tables'!$B$23:$F$26,4))+(G344*(VLOOKUP(I346,'Option Tables'!$B$23:$F$26,5)))))</f>
        <v>0</v>
      </c>
      <c r="K350" s="355">
        <f>$D350*((K344*(VLOOKUP(I346,'Option Tables'!$B$23:$F$26,2)))+(J344*(VLOOKUP(I346,'Option Tables'!$B$23:$F$26,3)))+(I344*(VLOOKUP(I346,'Option Tables'!$B$23:$F$26,4))+(H344*(VLOOKUP(I346,'Option Tables'!$B$23:$F$26,5)))))</f>
        <v>0</v>
      </c>
      <c r="L350" s="355">
        <f>$D350*((L344*(VLOOKUP(I346,'Option Tables'!$B$23:$F$26,2)))+(K344*(VLOOKUP(I346,'Option Tables'!$B$23:$F$26,3)))+(J344*(VLOOKUP(I346,'Option Tables'!$B$23:$F$26,4))+(I344*(VLOOKUP(I346,'Option Tables'!$B$23:$F$26,5)))))</f>
        <v>0</v>
      </c>
      <c r="M350" s="355">
        <f>$D350*((M344*(VLOOKUP(I346,'Option Tables'!$B$23:$F$26,2)))+(L344*(VLOOKUP(I346,'Option Tables'!$B$23:$F$26,3)))+(K344*(VLOOKUP(I346,'Option Tables'!$B$23:$F$26,4))+(J344*(VLOOKUP(I346,'Option Tables'!$B$23:$F$26,5)))))</f>
        <v>0</v>
      </c>
      <c r="N350" s="355">
        <f>$D350*((N344*(VLOOKUP(I346,'Option Tables'!$B$23:$F$26,2)))+(M344*(VLOOKUP(I346,'Option Tables'!$B$23:$F$26,3)))+(L344*(VLOOKUP(I346,'Option Tables'!$B$23:$F$26,4))+(K344*(VLOOKUP(I346,'Option Tables'!$B$23:$F$26,5)))))</f>
        <v>0</v>
      </c>
      <c r="O350" s="355">
        <f>$D350*((O344*(VLOOKUP(I346,'Option Tables'!$B$23:$F$26,2)))+(N344*(VLOOKUP(I346,'Option Tables'!$B$23:$F$26,3)))+(M344*(VLOOKUP(I346,'Option Tables'!$B$23:$F$26,4))+(L344*(VLOOKUP(I346,'Option Tables'!$B$23:$F$26,5)))))</f>
        <v>0</v>
      </c>
      <c r="P350" s="465">
        <f>$D350*((P344*(VLOOKUP(I346,'Option Tables'!$B$23:$F$26,2)))+(O344*(VLOOKUP(I346,'Option Tables'!$B$23:$F$26,3)))+(N344*(VLOOKUP(I346,'Option Tables'!$B$23:$F$26,4))+(M344*(VLOOKUP(I346,'Option Tables'!$B$23:$F$26,5)))))</f>
        <v>0</v>
      </c>
      <c r="Q350" s="96"/>
    </row>
    <row r="351" spans="1:18" ht="15.75" customHeight="1" thickBot="1">
      <c r="A351" s="172"/>
      <c r="B351" s="97"/>
      <c r="C351" s="144" t="str">
        <f>IF(D351&lt;&gt;1,"Must equal %100","")</f>
        <v/>
      </c>
      <c r="D351" s="71">
        <f t="shared" ref="D351:P351" si="33">SUM(D347:D350)</f>
        <v>1</v>
      </c>
      <c r="E351" s="466">
        <f t="shared" si="33"/>
        <v>0</v>
      </c>
      <c r="F351" s="466">
        <f t="shared" si="33"/>
        <v>0</v>
      </c>
      <c r="G351" s="466">
        <f t="shared" si="33"/>
        <v>0</v>
      </c>
      <c r="H351" s="466">
        <f t="shared" si="33"/>
        <v>0</v>
      </c>
      <c r="I351" s="466">
        <f t="shared" si="33"/>
        <v>0</v>
      </c>
      <c r="J351" s="466">
        <f t="shared" si="33"/>
        <v>0</v>
      </c>
      <c r="K351" s="466">
        <f t="shared" si="33"/>
        <v>0</v>
      </c>
      <c r="L351" s="466">
        <f t="shared" si="33"/>
        <v>0</v>
      </c>
      <c r="M351" s="466">
        <f t="shared" si="33"/>
        <v>0</v>
      </c>
      <c r="N351" s="466">
        <f t="shared" si="33"/>
        <v>0</v>
      </c>
      <c r="O351" s="466">
        <f t="shared" si="33"/>
        <v>0</v>
      </c>
      <c r="P351" s="467">
        <f t="shared" si="33"/>
        <v>0</v>
      </c>
      <c r="Q351" s="96"/>
      <c r="R351" s="140"/>
    </row>
    <row r="352" spans="1:18" ht="15.75" customHeight="1" thickBot="1">
      <c r="A352" s="172"/>
      <c r="B352" s="85" t="s">
        <v>139</v>
      </c>
      <c r="C352" s="257" t="str">
        <f>VLOOKUP(B352,NodeList!$D$5:$E$73,2,FALSE)</f>
        <v>Francis Lee</v>
      </c>
      <c r="D352" s="91"/>
      <c r="E352" s="450"/>
      <c r="F352" s="451"/>
      <c r="G352" s="452"/>
      <c r="H352" s="453" t="s">
        <v>54</v>
      </c>
      <c r="I352" s="68">
        <v>33</v>
      </c>
      <c r="J352" s="454"/>
      <c r="K352" s="454"/>
      <c r="L352" s="454"/>
      <c r="M352" s="454"/>
      <c r="N352" s="454"/>
      <c r="O352" s="454"/>
      <c r="P352" s="455"/>
      <c r="Q352" s="96"/>
    </row>
    <row r="353" spans="1:18" ht="15.75" customHeight="1">
      <c r="A353" s="172"/>
      <c r="B353" s="94"/>
      <c r="C353" s="66" t="s">
        <v>57</v>
      </c>
      <c r="D353" s="69"/>
      <c r="E353" s="456">
        <f>VLOOKUP($B352,'Diversion Data'!$B$3:$O$227,3,FALSE)</f>
        <v>0</v>
      </c>
      <c r="F353" s="456">
        <f>VLOOKUP($B352,'Diversion Data'!$B$3:$O$227,4,FALSE)</f>
        <v>0</v>
      </c>
      <c r="G353" s="456">
        <f>VLOOKUP($B352,'Diversion Data'!$B$3:$O$227,5,FALSE)</f>
        <v>0</v>
      </c>
      <c r="H353" s="456">
        <f>VLOOKUP($B352,'Diversion Data'!$B$3:$O$227,6,FALSE)</f>
        <v>0</v>
      </c>
      <c r="I353" s="456">
        <f>VLOOKUP($B352,'Diversion Data'!$B$3:$O$227,7,FALSE)</f>
        <v>1696.9185986308885</v>
      </c>
      <c r="J353" s="456">
        <f>VLOOKUP($B352,'Diversion Data'!$B$3:$O$227,8,FALSE)</f>
        <v>2704.1690100903925</v>
      </c>
      <c r="K353" s="456">
        <f>VLOOKUP($B352,'Diversion Data'!$B$3:$O$227,9,FALSE)</f>
        <v>611.4063159835124</v>
      </c>
      <c r="L353" s="456">
        <f>VLOOKUP($B352,'Diversion Data'!$B$3:$O$227,10,FALSE)</f>
        <v>169.3388429752066</v>
      </c>
      <c r="M353" s="456">
        <f>VLOOKUP($B352,'Diversion Data'!$B$3:$O$227,11,FALSE)</f>
        <v>185.87941338471077</v>
      </c>
      <c r="N353" s="456">
        <f>VLOOKUP($B352,'Diversion Data'!$B$3:$O$227,12,FALSE)</f>
        <v>0</v>
      </c>
      <c r="O353" s="456">
        <f>VLOOKUP($B352,'Diversion Data'!$B$3:$O$227,13,FALSE)</f>
        <v>0</v>
      </c>
      <c r="P353" s="457">
        <f>VLOOKUP($B352,'Diversion Data'!$B$3:$O$227,14,FALSE)</f>
        <v>0</v>
      </c>
      <c r="Q353" s="96"/>
    </row>
    <row r="354" spans="1:18" ht="15.75" customHeight="1">
      <c r="A354" s="172"/>
      <c r="B354" s="95"/>
      <c r="C354" s="72" t="s">
        <v>56</v>
      </c>
      <c r="D354" s="70"/>
      <c r="E354" s="458">
        <f>VLOOKUP($I352,'Option Tables'!$B$3:$N$19,2,FALSE)*E353</f>
        <v>0</v>
      </c>
      <c r="F354" s="458">
        <f>VLOOKUP($I352,'Option Tables'!$B$3:$N$19,3,FALSE)*F353</f>
        <v>0</v>
      </c>
      <c r="G354" s="458">
        <f>VLOOKUP($I352,'Option Tables'!$B$3:$N$19,4,FALSE)*G353</f>
        <v>0</v>
      </c>
      <c r="H354" s="458">
        <f>VLOOKUP($I352,'Option Tables'!$B$3:$N$19,5,FALSE)*H353</f>
        <v>0</v>
      </c>
      <c r="I354" s="458">
        <f>VLOOKUP($I352,'Option Tables'!$B$3:$N$19,6,FALSE)*I353</f>
        <v>1119.9662750963864</v>
      </c>
      <c r="J354" s="458">
        <f>VLOOKUP($I352,'Option Tables'!$B$3:$N$19,7,FALSE)*J353</f>
        <v>1784.7515466596592</v>
      </c>
      <c r="K354" s="458">
        <f>VLOOKUP($I352,'Option Tables'!$B$3:$N$19,8,FALSE)*K353</f>
        <v>403.52816854911822</v>
      </c>
      <c r="L354" s="458">
        <f>VLOOKUP($I352,'Option Tables'!$B$3:$N$19,9,FALSE)*L353</f>
        <v>111.76363636363637</v>
      </c>
      <c r="M354" s="458">
        <f>VLOOKUP($I352,'Option Tables'!$B$3:$N$19,10,FALSE)*M353</f>
        <v>122.68041283390912</v>
      </c>
      <c r="N354" s="458">
        <f>VLOOKUP($I352,'Option Tables'!$B$3:$N$19,11,FALSE)*N353</f>
        <v>0</v>
      </c>
      <c r="O354" s="458">
        <f>VLOOKUP($I352,'Option Tables'!$B$3:$N$19,12,FALSE)*O353</f>
        <v>0</v>
      </c>
      <c r="P354" s="459">
        <f>VLOOKUP($I352,'Option Tables'!$B$3:$N$19,13,FALSE)*P353</f>
        <v>0</v>
      </c>
      <c r="Q354" s="96"/>
    </row>
    <row r="355" spans="1:18" ht="15.75" customHeight="1" thickBot="1">
      <c r="A355" s="172"/>
      <c r="B355" s="95"/>
      <c r="C355" s="66"/>
      <c r="D355" s="62"/>
      <c r="E355" s="355"/>
      <c r="F355" s="355"/>
      <c r="G355" s="355"/>
      <c r="H355" s="355"/>
      <c r="I355" s="355"/>
      <c r="J355" s="355"/>
      <c r="K355" s="355"/>
      <c r="L355" s="355"/>
      <c r="M355" s="460"/>
      <c r="N355" s="460"/>
      <c r="O355" s="460"/>
      <c r="P355" s="461"/>
      <c r="Q355" s="96"/>
    </row>
    <row r="356" spans="1:18" ht="15.75" customHeight="1" thickBot="1">
      <c r="A356" s="172"/>
      <c r="B356" s="254" t="s">
        <v>73</v>
      </c>
      <c r="C356" s="105" t="s">
        <v>73</v>
      </c>
      <c r="D356" s="105" t="s">
        <v>74</v>
      </c>
      <c r="E356" s="462"/>
      <c r="F356" s="463"/>
      <c r="G356" s="464"/>
      <c r="H356" s="464" t="s">
        <v>55</v>
      </c>
      <c r="I356" s="68">
        <v>1</v>
      </c>
      <c r="J356" s="460"/>
      <c r="K356" s="460"/>
      <c r="L356" s="460"/>
      <c r="M356" s="460"/>
      <c r="N356" s="460"/>
      <c r="O356" s="460"/>
      <c r="P356" s="461"/>
      <c r="Q356" s="96"/>
    </row>
    <row r="357" spans="1:18" ht="15.75" customHeight="1">
      <c r="A357" s="172"/>
      <c r="B357" s="255" t="str">
        <f>"("&amp;VLOOKUP(C357,NodeList!$D$5:$E$68,2,FALSE)&amp;")"</f>
        <v>(USGS 10026500:  Bear R. nr Randolph, UT)</v>
      </c>
      <c r="C357" s="256" t="s">
        <v>122</v>
      </c>
      <c r="D357" s="388">
        <v>1</v>
      </c>
      <c r="E357" s="355">
        <f>$D357*((E354*(VLOOKUP(I356,'Option Tables'!$B$23:$F$26,2)))+(P354*(VLOOKUP(I356,'Option Tables'!$B$23:$F$26,3)))+(O354*(VLOOKUP(I356,'Option Tables'!$B$23:$F$26,4))+(N354*(VLOOKUP(I356,'Option Tables'!$B$23:$F$26,5)))))</f>
        <v>0</v>
      </c>
      <c r="F357" s="355">
        <f>$D357*((F354*(VLOOKUP(I356,'Option Tables'!$B$23:$F$26,2)))+(E354*(VLOOKUP(I356,'Option Tables'!$B$23:$F$26,3)))+(P354*(VLOOKUP(I356,'Option Tables'!$B$23:$F$26,4))+(O354*(VLOOKUP(I356,'Option Tables'!$B$23:$F$26,5)))))</f>
        <v>0</v>
      </c>
      <c r="G357" s="355">
        <f>$D357*((G354*(VLOOKUP(I356,'Option Tables'!$B$23:$F$26,2)))+(F354*(VLOOKUP(I356,'Option Tables'!$B$23:$F$26,3)))+(E354*(VLOOKUP(I356,'Option Tables'!$B$23:$F$26,4))+(P354*(VLOOKUP(I356,'Option Tables'!$B$23:$F$26,5)))))</f>
        <v>0</v>
      </c>
      <c r="H357" s="355">
        <f>$D357*((H354*(VLOOKUP(I356,'Option Tables'!$B$23:$F$26,2)))+(G354*(VLOOKUP(I356,'Option Tables'!$B$23:$F$26,3)))+(F354*(VLOOKUP(I356,'Option Tables'!$B$23:$F$26,4))+(E354*(VLOOKUP(I356,'Option Tables'!$B$23:$F$26,5)))))</f>
        <v>0</v>
      </c>
      <c r="I357" s="355">
        <f>$D357*((I354*(VLOOKUP(I356,'Option Tables'!$B$23:$F$26,2)))+(H354*(VLOOKUP(I356,'Option Tables'!$B$23:$F$26,3)))+(G354*(VLOOKUP(I356,'Option Tables'!$B$23:$F$26,4))+(F354*(VLOOKUP(I356,'Option Tables'!$B$23:$F$26,5)))))</f>
        <v>559.98313754819321</v>
      </c>
      <c r="J357" s="355">
        <f>$D357*((J354*(VLOOKUP(I356,'Option Tables'!$B$23:$F$26,2)))+(I354*(VLOOKUP(I356,'Option Tables'!$B$23:$F$26,3)))+(H354*(VLOOKUP(I356,'Option Tables'!$B$23:$F$26,4))+(G354*(VLOOKUP(I356,'Option Tables'!$B$23:$F$26,5)))))</f>
        <v>1172.3673421039261</v>
      </c>
      <c r="K357" s="355">
        <f>$D357*((K354*(VLOOKUP(I356,'Option Tables'!$B$23:$F$26,2)))+(J354*(VLOOKUP(I356,'Option Tables'!$B$23:$F$26,3)))+(I354*(VLOOKUP(I356,'Option Tables'!$B$23:$F$26,4))+(H354*(VLOOKUP(I356,'Option Tables'!$B$23:$F$26,5)))))</f>
        <v>815.94691220393179</v>
      </c>
      <c r="L357" s="355">
        <f>$D357*((L354*(VLOOKUP(I356,'Option Tables'!$B$23:$F$26,2)))+(K354*(VLOOKUP(I356,'Option Tables'!$B$23:$F$26,3)))+(J354*(VLOOKUP(I356,'Option Tables'!$B$23:$F$26,4))+(I354*(VLOOKUP(I356,'Option Tables'!$B$23:$F$26,5)))))</f>
        <v>536.47321982768528</v>
      </c>
      <c r="M357" s="355">
        <f>$D357*((M354*(VLOOKUP(I356,'Option Tables'!$B$23:$F$26,2)))+(L354*(VLOOKUP(I356,'Option Tables'!$B$23:$F$26,3)))+(K354*(VLOOKUP(I356,'Option Tables'!$B$23:$F$26,4))+(J354*(VLOOKUP(I356,'Option Tables'!$B$23:$F$26,5)))))</f>
        <v>328.28549545619734</v>
      </c>
      <c r="N357" s="355">
        <f>$D357*((N354*(VLOOKUP(I356,'Option Tables'!$B$23:$F$26,2)))+(M354*(VLOOKUP(I356,'Option Tables'!$B$23:$F$26,3)))+(L354*(VLOOKUP(I356,'Option Tables'!$B$23:$F$26,4))+(K354*(VLOOKUP(I356,'Option Tables'!$B$23:$F$26,5)))))</f>
        <v>87.78746551793455</v>
      </c>
      <c r="O357" s="355">
        <f>$D357*((O354*(VLOOKUP(I356,'Option Tables'!$B$23:$F$26,2)))+(N354*(VLOOKUP(I356,'Option Tables'!$B$23:$F$26,3)))+(M354*(VLOOKUP(I356,'Option Tables'!$B$23:$F$26,4))+(L354*(VLOOKUP(I356,'Option Tables'!$B$23:$F$26,5)))))</f>
        <v>29.578425561450004</v>
      </c>
      <c r="P357" s="465">
        <f>$D357*((P354*(VLOOKUP(I356,'Option Tables'!$B$23:$F$26,2)))+(O354*(VLOOKUP(I356,'Option Tables'!$B$23:$F$26,3)))+(N354*(VLOOKUP(I356,'Option Tables'!$B$23:$F$26,4))+(M354*(VLOOKUP(I356,'Option Tables'!$B$23:$F$26,5)))))</f>
        <v>12.268041283390913</v>
      </c>
      <c r="Q357" s="96"/>
    </row>
    <row r="358" spans="1:18" ht="15.75" customHeight="1">
      <c r="A358" s="172"/>
      <c r="B358" s="95"/>
      <c r="C358" s="256"/>
      <c r="D358" s="388">
        <v>0</v>
      </c>
      <c r="E358" s="355">
        <f>$D358*((E354*(VLOOKUP(I356,'Option Tables'!$B$23:$F$26,2)))+(P354*(VLOOKUP(I356,'Option Tables'!$B$23:$F$26,3)))+(O354*(VLOOKUP(I356,'Option Tables'!$B$23:$F$26,4))+(N354*(VLOOKUP(I356,'Option Tables'!$B$23:$F$26,5)))))</f>
        <v>0</v>
      </c>
      <c r="F358" s="355">
        <f>$D358*((F354*(VLOOKUP(I356,'Option Tables'!$B$23:$F$26,2)))+(E354*(VLOOKUP(I356,'Option Tables'!$B$23:$F$26,3)))+(P354*(VLOOKUP(I356,'Option Tables'!$B$23:$F$26,4))+(O354*(VLOOKUP(I356,'Option Tables'!$B$23:$F$26,5)))))</f>
        <v>0</v>
      </c>
      <c r="G358" s="355">
        <f>$D358*((G354*(VLOOKUP(I356,'Option Tables'!$B$23:$F$26,2)))+(F354*(VLOOKUP(I356,'Option Tables'!$B$23:$F$26,3)))+(E354*(VLOOKUP(I356,'Option Tables'!$B$23:$F$26,4))+(P354*(VLOOKUP(I356,'Option Tables'!$B$23:$F$26,5)))))</f>
        <v>0</v>
      </c>
      <c r="H358" s="355">
        <f>$D358*((H354*(VLOOKUP(I356,'Option Tables'!$B$23:$F$26,2)))+(G354*(VLOOKUP(I356,'Option Tables'!$B$23:$F$26,3)))+(F354*(VLOOKUP(I356,'Option Tables'!$B$23:$F$26,4))+(E354*(VLOOKUP(I356,'Option Tables'!$B$23:$F$26,5)))))</f>
        <v>0</v>
      </c>
      <c r="I358" s="355">
        <f>$D358*((I354*(VLOOKUP(I356,'Option Tables'!$B$23:$F$26,2)))+(H354*(VLOOKUP(I356,'Option Tables'!$B$23:$F$26,3)))+(G354*(VLOOKUP(I356,'Option Tables'!$B$23:$F$26,4))+(F354*(VLOOKUP(I356,'Option Tables'!$B$23:$F$26,5)))))</f>
        <v>0</v>
      </c>
      <c r="J358" s="355">
        <f>$D358*((J354*(VLOOKUP(I356,'Option Tables'!$B$23:$F$26,2)))+(I354*(VLOOKUP(I356,'Option Tables'!$B$23:$F$26,3)))+(H354*(VLOOKUP(I356,'Option Tables'!$B$23:$F$26,4))+(G354*(VLOOKUP(I356,'Option Tables'!$B$23:$F$26,5)))))</f>
        <v>0</v>
      </c>
      <c r="K358" s="355">
        <f>$D358*((K354*(VLOOKUP(I356,'Option Tables'!$B$23:$F$26,2)))+(J354*(VLOOKUP(I356,'Option Tables'!$B$23:$F$26,3)))+(I354*(VLOOKUP(I356,'Option Tables'!$B$23:$F$26,4))+(H354*(VLOOKUP(I356,'Option Tables'!$B$23:$F$26,5)))))</f>
        <v>0</v>
      </c>
      <c r="L358" s="355">
        <f>$D358*((L354*(VLOOKUP(I356,'Option Tables'!$B$23:$F$26,2)))+(K354*(VLOOKUP(I356,'Option Tables'!$B$23:$F$26,3)))+(J354*(VLOOKUP(I356,'Option Tables'!$B$23:$F$26,4))+(I354*(VLOOKUP(I356,'Option Tables'!$B$23:$F$26,5)))))</f>
        <v>0</v>
      </c>
      <c r="M358" s="355">
        <f>$D358*((M354*(VLOOKUP(I356,'Option Tables'!$B$23:$F$26,2)))+(L354*(VLOOKUP(I356,'Option Tables'!$B$23:$F$26,3)))+(K354*(VLOOKUP(I356,'Option Tables'!$B$23:$F$26,4))+(J354*(VLOOKUP(I356,'Option Tables'!$B$23:$F$26,5)))))</f>
        <v>0</v>
      </c>
      <c r="N358" s="355">
        <f>$D358*((N354*(VLOOKUP(I356,'Option Tables'!$B$23:$F$26,2)))+(M354*(VLOOKUP(I356,'Option Tables'!$B$23:$F$26,3)))+(L354*(VLOOKUP(I356,'Option Tables'!$B$23:$F$26,4))+(K354*(VLOOKUP(I356,'Option Tables'!$B$23:$F$26,5)))))</f>
        <v>0</v>
      </c>
      <c r="O358" s="355">
        <f>$D358*((O354*(VLOOKUP(I356,'Option Tables'!$B$23:$F$26,2)))+(N354*(VLOOKUP(I356,'Option Tables'!$B$23:$F$26,3)))+(M354*(VLOOKUP(I356,'Option Tables'!$B$23:$F$26,4))+(L354*(VLOOKUP(I356,'Option Tables'!$B$23:$F$26,5)))))</f>
        <v>0</v>
      </c>
      <c r="P358" s="465">
        <f>$D358*((P354*(VLOOKUP(I356,'Option Tables'!$B$23:$F$26,2)))+(O354*(VLOOKUP(I356,'Option Tables'!$B$23:$F$26,3)))+(N354*(VLOOKUP(I356,'Option Tables'!$B$23:$F$26,4))+(M354*(VLOOKUP(I356,'Option Tables'!$B$23:$F$26,5)))))</f>
        <v>0</v>
      </c>
      <c r="Q358" s="96"/>
    </row>
    <row r="359" spans="1:18" ht="15.75" customHeight="1">
      <c r="A359" s="172"/>
      <c r="B359" s="95"/>
      <c r="C359" s="256"/>
      <c r="D359" s="388">
        <v>0</v>
      </c>
      <c r="E359" s="355">
        <f>$D359*((E354*(VLOOKUP(I356,'Option Tables'!$B$23:$F$26,2)))+(P354*(VLOOKUP(I356,'Option Tables'!$B$23:$F$26,3)))+(O354*(VLOOKUP(I356,'Option Tables'!$B$23:$F$26,4))+(N354*(VLOOKUP(I356,'Option Tables'!$B$23:$F$26,5)))))</f>
        <v>0</v>
      </c>
      <c r="F359" s="355">
        <f>$D359*((F354*(VLOOKUP(I356,'Option Tables'!$B$23:$F$26,2)))+(E354*(VLOOKUP(I356,'Option Tables'!$B$23:$F$26,3)))+(P354*(VLOOKUP(I356,'Option Tables'!$B$23:$F$26,4))+(O354*(VLOOKUP(I356,'Option Tables'!$B$23:$F$26,5)))))</f>
        <v>0</v>
      </c>
      <c r="G359" s="355">
        <f>$D359*((G354*(VLOOKUP(I356,'Option Tables'!$B$23:$F$26,2)))+(F354*(VLOOKUP(I356,'Option Tables'!$B$23:$F$26,3)))+(E354*(VLOOKUP(I356,'Option Tables'!$B$23:$F$26,4))+(P354*(VLOOKUP(I356,'Option Tables'!$B$23:$F$26,5)))))</f>
        <v>0</v>
      </c>
      <c r="H359" s="355">
        <f>$D359*((H354*(VLOOKUP(I356,'Option Tables'!$B$23:$F$26,2)))+(G354*(VLOOKUP(I356,'Option Tables'!$B$23:$F$26,3)))+(F354*(VLOOKUP(I356,'Option Tables'!$B$23:$F$26,4))+(E354*(VLOOKUP(I356,'Option Tables'!$B$23:$F$26,5)))))</f>
        <v>0</v>
      </c>
      <c r="I359" s="355">
        <f>$D359*((I354*(VLOOKUP(I356,'Option Tables'!$B$23:$F$26,2)))+(H354*(VLOOKUP(I356,'Option Tables'!$B$23:$F$26,3)))+(G354*(VLOOKUP(I356,'Option Tables'!$B$23:$F$26,4))+(F354*(VLOOKUP(I356,'Option Tables'!$B$23:$F$26,5)))))</f>
        <v>0</v>
      </c>
      <c r="J359" s="355">
        <f>$D359*((J354*(VLOOKUP(I356,'Option Tables'!$B$23:$F$26,2)))+(I354*(VLOOKUP(I356,'Option Tables'!$B$23:$F$26,3)))+(H354*(VLOOKUP(I356,'Option Tables'!$B$23:$F$26,4))+(G354*(VLOOKUP(I356,'Option Tables'!$B$23:$F$26,5)))))</f>
        <v>0</v>
      </c>
      <c r="K359" s="355">
        <f>$D359*((K354*(VLOOKUP(I356,'Option Tables'!$B$23:$F$26,2)))+(J354*(VLOOKUP(I356,'Option Tables'!$B$23:$F$26,3)))+(I354*(VLOOKUP(I356,'Option Tables'!$B$23:$F$26,4))+(H354*(VLOOKUP(I356,'Option Tables'!$B$23:$F$26,5)))))</f>
        <v>0</v>
      </c>
      <c r="L359" s="355">
        <f>$D359*((L354*(VLOOKUP(I356,'Option Tables'!$B$23:$F$26,2)))+(K354*(VLOOKUP(I356,'Option Tables'!$B$23:$F$26,3)))+(J354*(VLOOKUP(I356,'Option Tables'!$B$23:$F$26,4))+(I354*(VLOOKUP(I356,'Option Tables'!$B$23:$F$26,5)))))</f>
        <v>0</v>
      </c>
      <c r="M359" s="355">
        <f>$D359*((M354*(VLOOKUP(I356,'Option Tables'!$B$23:$F$26,2)))+(L354*(VLOOKUP(I356,'Option Tables'!$B$23:$F$26,3)))+(K354*(VLOOKUP(I356,'Option Tables'!$B$23:$F$26,4))+(J354*(VLOOKUP(I356,'Option Tables'!$B$23:$F$26,5)))))</f>
        <v>0</v>
      </c>
      <c r="N359" s="355">
        <f>$D359*((N354*(VLOOKUP(I356,'Option Tables'!$B$23:$F$26,2)))+(M354*(VLOOKUP(I356,'Option Tables'!$B$23:$F$26,3)))+(L354*(VLOOKUP(I356,'Option Tables'!$B$23:$F$26,4))+(K354*(VLOOKUP(I356,'Option Tables'!$B$23:$F$26,5)))))</f>
        <v>0</v>
      </c>
      <c r="O359" s="355">
        <f>$D359*((O354*(VLOOKUP(I356,'Option Tables'!$B$23:$F$26,2)))+(N354*(VLOOKUP(I356,'Option Tables'!$B$23:$F$26,3)))+(M354*(VLOOKUP(I356,'Option Tables'!$B$23:$F$26,4))+(L354*(VLOOKUP(I356,'Option Tables'!$B$23:$F$26,5)))))</f>
        <v>0</v>
      </c>
      <c r="P359" s="465">
        <f>$D359*((P354*(VLOOKUP(I356,'Option Tables'!$B$23:$F$26,2)))+(O354*(VLOOKUP(I356,'Option Tables'!$B$23:$F$26,3)))+(N354*(VLOOKUP(I356,'Option Tables'!$B$23:$F$26,4))+(M354*(VLOOKUP(I356,'Option Tables'!$B$23:$F$26,5)))))</f>
        <v>0</v>
      </c>
      <c r="Q359" s="96"/>
    </row>
    <row r="360" spans="1:18" ht="15.75" customHeight="1">
      <c r="A360" s="172"/>
      <c r="B360" s="95"/>
      <c r="C360" s="256"/>
      <c r="D360" s="388">
        <v>0</v>
      </c>
      <c r="E360" s="355">
        <f>$D360*((E354*(VLOOKUP(I356,'Option Tables'!$B$23:$F$26,2)))+(P354*(VLOOKUP(I356,'Option Tables'!$B$23:$F$26,3)))+(O354*(VLOOKUP(I356,'Option Tables'!$B$23:$F$26,4))+(N354*(VLOOKUP(I356,'Option Tables'!$B$23:$F$26,5)))))</f>
        <v>0</v>
      </c>
      <c r="F360" s="355">
        <f>$D360*((F354*(VLOOKUP(I356,'Option Tables'!$B$23:$F$26,2)))+(E354*(VLOOKUP(I356,'Option Tables'!$B$23:$F$26,3)))+(P354*(VLOOKUP(I356,'Option Tables'!$B$23:$F$26,4))+(O354*(VLOOKUP(I356,'Option Tables'!$B$23:$F$26,5)))))</f>
        <v>0</v>
      </c>
      <c r="G360" s="355">
        <f>$D360*((G354*(VLOOKUP(I356,'Option Tables'!$B$23:$F$26,2)))+(F354*(VLOOKUP(I356,'Option Tables'!$B$23:$F$26,3)))+(E354*(VLOOKUP(I356,'Option Tables'!$B$23:$F$26,4))+(P354*(VLOOKUP(I356,'Option Tables'!$B$23:$F$26,5)))))</f>
        <v>0</v>
      </c>
      <c r="H360" s="355">
        <f>$D360*((H354*(VLOOKUP(I356,'Option Tables'!$B$23:$F$26,2)))+(G354*(VLOOKUP(I356,'Option Tables'!$B$23:$F$26,3)))+(F354*(VLOOKUP(I356,'Option Tables'!$B$23:$F$26,4))+(E354*(VLOOKUP(I356,'Option Tables'!$B$23:$F$26,5)))))</f>
        <v>0</v>
      </c>
      <c r="I360" s="355">
        <f>$D360*((I354*(VLOOKUP(I356,'Option Tables'!$B$23:$F$26,2)))+(H354*(VLOOKUP(I356,'Option Tables'!$B$23:$F$26,3)))+(G354*(VLOOKUP(I356,'Option Tables'!$B$23:$F$26,4))+(F354*(VLOOKUP(I356,'Option Tables'!$B$23:$F$26,5)))))</f>
        <v>0</v>
      </c>
      <c r="J360" s="355">
        <f>$D360*((J354*(VLOOKUP(I356,'Option Tables'!$B$23:$F$26,2)))+(I354*(VLOOKUP(I356,'Option Tables'!$B$23:$F$26,3)))+(H354*(VLOOKUP(I356,'Option Tables'!$B$23:$F$26,4))+(G354*(VLOOKUP(I356,'Option Tables'!$B$23:$F$26,5)))))</f>
        <v>0</v>
      </c>
      <c r="K360" s="355">
        <f>$D360*((K354*(VLOOKUP(I356,'Option Tables'!$B$23:$F$26,2)))+(J354*(VLOOKUP(I356,'Option Tables'!$B$23:$F$26,3)))+(I354*(VLOOKUP(I356,'Option Tables'!$B$23:$F$26,4))+(H354*(VLOOKUP(I356,'Option Tables'!$B$23:$F$26,5)))))</f>
        <v>0</v>
      </c>
      <c r="L360" s="355">
        <f>$D360*((L354*(VLOOKUP(I356,'Option Tables'!$B$23:$F$26,2)))+(K354*(VLOOKUP(I356,'Option Tables'!$B$23:$F$26,3)))+(J354*(VLOOKUP(I356,'Option Tables'!$B$23:$F$26,4))+(I354*(VLOOKUP(I356,'Option Tables'!$B$23:$F$26,5)))))</f>
        <v>0</v>
      </c>
      <c r="M360" s="355">
        <f>$D360*((M354*(VLOOKUP(I356,'Option Tables'!$B$23:$F$26,2)))+(L354*(VLOOKUP(I356,'Option Tables'!$B$23:$F$26,3)))+(K354*(VLOOKUP(I356,'Option Tables'!$B$23:$F$26,4))+(J354*(VLOOKUP(I356,'Option Tables'!$B$23:$F$26,5)))))</f>
        <v>0</v>
      </c>
      <c r="N360" s="355">
        <f>$D360*((N354*(VLOOKUP(I356,'Option Tables'!$B$23:$F$26,2)))+(M354*(VLOOKUP(I356,'Option Tables'!$B$23:$F$26,3)))+(L354*(VLOOKUP(I356,'Option Tables'!$B$23:$F$26,4))+(K354*(VLOOKUP(I356,'Option Tables'!$B$23:$F$26,5)))))</f>
        <v>0</v>
      </c>
      <c r="O360" s="355">
        <f>$D360*((O354*(VLOOKUP(I356,'Option Tables'!$B$23:$F$26,2)))+(N354*(VLOOKUP(I356,'Option Tables'!$B$23:$F$26,3)))+(M354*(VLOOKUP(I356,'Option Tables'!$B$23:$F$26,4))+(L354*(VLOOKUP(I356,'Option Tables'!$B$23:$F$26,5)))))</f>
        <v>0</v>
      </c>
      <c r="P360" s="465">
        <f>$D360*((P354*(VLOOKUP(I356,'Option Tables'!$B$23:$F$26,2)))+(O354*(VLOOKUP(I356,'Option Tables'!$B$23:$F$26,3)))+(N354*(VLOOKUP(I356,'Option Tables'!$B$23:$F$26,4))+(M354*(VLOOKUP(I356,'Option Tables'!$B$23:$F$26,5)))))</f>
        <v>0</v>
      </c>
      <c r="Q360" s="96"/>
    </row>
    <row r="361" spans="1:18" ht="15.75" customHeight="1" thickBot="1">
      <c r="A361" s="172"/>
      <c r="B361" s="97"/>
      <c r="C361" s="144" t="str">
        <f>IF(D361&lt;&gt;1,"Must equal %100","")</f>
        <v/>
      </c>
      <c r="D361" s="71">
        <f t="shared" ref="D361:P361" si="34">SUM(D357:D360)</f>
        <v>1</v>
      </c>
      <c r="E361" s="466">
        <f t="shared" si="34"/>
        <v>0</v>
      </c>
      <c r="F361" s="466">
        <f t="shared" si="34"/>
        <v>0</v>
      </c>
      <c r="G361" s="466">
        <f t="shared" si="34"/>
        <v>0</v>
      </c>
      <c r="H361" s="466">
        <f t="shared" si="34"/>
        <v>0</v>
      </c>
      <c r="I361" s="466">
        <f t="shared" si="34"/>
        <v>559.98313754819321</v>
      </c>
      <c r="J361" s="466">
        <f t="shared" si="34"/>
        <v>1172.3673421039261</v>
      </c>
      <c r="K361" s="466">
        <f t="shared" si="34"/>
        <v>815.94691220393179</v>
      </c>
      <c r="L361" s="466">
        <f t="shared" si="34"/>
        <v>536.47321982768528</v>
      </c>
      <c r="M361" s="466">
        <f t="shared" si="34"/>
        <v>328.28549545619734</v>
      </c>
      <c r="N361" s="466">
        <f t="shared" si="34"/>
        <v>87.78746551793455</v>
      </c>
      <c r="O361" s="466">
        <f t="shared" si="34"/>
        <v>29.578425561450004</v>
      </c>
      <c r="P361" s="467">
        <f t="shared" si="34"/>
        <v>12.268041283390913</v>
      </c>
      <c r="Q361" s="96"/>
      <c r="R361" s="140"/>
    </row>
    <row r="362" spans="1:18" ht="15.75" customHeight="1" thickBot="1">
      <c r="A362" s="172"/>
      <c r="B362" s="85" t="s">
        <v>130</v>
      </c>
      <c r="C362" s="284" t="str">
        <f>VLOOKUP(B362,NodeList!$D$5:$E$73,2,FALSE)</f>
        <v>Bear River Canal</v>
      </c>
      <c r="D362" s="91"/>
      <c r="E362" s="450"/>
      <c r="F362" s="451"/>
      <c r="G362" s="452"/>
      <c r="H362" s="453" t="s">
        <v>54</v>
      </c>
      <c r="I362" s="68">
        <v>33</v>
      </c>
      <c r="J362" s="454"/>
      <c r="K362" s="454"/>
      <c r="L362" s="454"/>
      <c r="M362" s="454"/>
      <c r="N362" s="454"/>
      <c r="O362" s="454"/>
      <c r="P362" s="455"/>
      <c r="Q362" s="96"/>
    </row>
    <row r="363" spans="1:18" ht="15.75" customHeight="1">
      <c r="A363" s="172"/>
      <c r="B363" s="94"/>
      <c r="C363" s="66" t="s">
        <v>57</v>
      </c>
      <c r="D363" s="69"/>
      <c r="E363" s="456">
        <f>VLOOKUP($B362,'Diversion Data'!$B$3:$O$227,3,FALSE)</f>
        <v>0</v>
      </c>
      <c r="F363" s="456">
        <f>VLOOKUP($B362,'Diversion Data'!$B$3:$O$227,4,FALSE)</f>
        <v>0</v>
      </c>
      <c r="G363" s="456">
        <f>VLOOKUP($B362,'Diversion Data'!$B$3:$O$227,5,FALSE)</f>
        <v>0</v>
      </c>
      <c r="H363" s="456">
        <f>VLOOKUP($B362,'Diversion Data'!$B$3:$O$227,6,FALSE)</f>
        <v>0</v>
      </c>
      <c r="I363" s="456">
        <f>VLOOKUP($B362,'Diversion Data'!$B$3:$O$227,7,FALSE)</f>
        <v>1965.6305462113635</v>
      </c>
      <c r="J363" s="456">
        <f>VLOOKUP($B362,'Diversion Data'!$B$3:$O$227,8,FALSE)</f>
        <v>3298.0788354802685</v>
      </c>
      <c r="K363" s="456">
        <f>VLOOKUP($B362,'Diversion Data'!$B$3:$O$227,9,FALSE)</f>
        <v>1684.1485608552687</v>
      </c>
      <c r="L363" s="456">
        <f>VLOOKUP($B362,'Diversion Data'!$B$3:$O$227,10,FALSE)</f>
        <v>532.35795900309915</v>
      </c>
      <c r="M363" s="456">
        <f>VLOOKUP($B362,'Diversion Data'!$B$3:$O$227,11,FALSE)</f>
        <v>409.02576384132237</v>
      </c>
      <c r="N363" s="456">
        <f>VLOOKUP($B362,'Diversion Data'!$B$3:$O$227,12,FALSE)</f>
        <v>0</v>
      </c>
      <c r="O363" s="456">
        <f>VLOOKUP($B362,'Diversion Data'!$B$3:$O$227,13,FALSE)</f>
        <v>0</v>
      </c>
      <c r="P363" s="457">
        <f>VLOOKUP($B362,'Diversion Data'!$B$3:$O$227,14,FALSE)</f>
        <v>0</v>
      </c>
      <c r="Q363" s="96"/>
    </row>
    <row r="364" spans="1:18" ht="15.75" customHeight="1">
      <c r="A364" s="172"/>
      <c r="B364" s="95"/>
      <c r="C364" s="72" t="s">
        <v>56</v>
      </c>
      <c r="D364" s="70"/>
      <c r="E364" s="458">
        <f>VLOOKUP($I362,'Option Tables'!$B$3:$N$19,2,FALSE)*E363</f>
        <v>0</v>
      </c>
      <c r="F364" s="458">
        <f>VLOOKUP($I362,'Option Tables'!$B$3:$N$19,3,FALSE)*F363</f>
        <v>0</v>
      </c>
      <c r="G364" s="458">
        <f>VLOOKUP($I362,'Option Tables'!$B$3:$N$19,4,FALSE)*G363</f>
        <v>0</v>
      </c>
      <c r="H364" s="458">
        <f>VLOOKUP($I362,'Option Tables'!$B$3:$N$19,5,FALSE)*H363</f>
        <v>0</v>
      </c>
      <c r="I364" s="458">
        <f>VLOOKUP($I362,'Option Tables'!$B$3:$N$19,6,FALSE)*I363</f>
        <v>1297.3161604995</v>
      </c>
      <c r="J364" s="458">
        <f>VLOOKUP($I362,'Option Tables'!$B$3:$N$19,7,FALSE)*J363</f>
        <v>2176.7320314169774</v>
      </c>
      <c r="K364" s="458">
        <f>VLOOKUP($I362,'Option Tables'!$B$3:$N$19,8,FALSE)*K363</f>
        <v>1111.5380501644775</v>
      </c>
      <c r="L364" s="458">
        <f>VLOOKUP($I362,'Option Tables'!$B$3:$N$19,9,FALSE)*L363</f>
        <v>351.35625294204544</v>
      </c>
      <c r="M364" s="458">
        <f>VLOOKUP($I362,'Option Tables'!$B$3:$N$19,10,FALSE)*M363</f>
        <v>269.95700413527277</v>
      </c>
      <c r="N364" s="458">
        <f>VLOOKUP($I362,'Option Tables'!$B$3:$N$19,11,FALSE)*N363</f>
        <v>0</v>
      </c>
      <c r="O364" s="458">
        <f>VLOOKUP($I362,'Option Tables'!$B$3:$N$19,12,FALSE)*O363</f>
        <v>0</v>
      </c>
      <c r="P364" s="459">
        <f>VLOOKUP($I362,'Option Tables'!$B$3:$N$19,13,FALSE)*P363</f>
        <v>0</v>
      </c>
      <c r="Q364" s="96"/>
    </row>
    <row r="365" spans="1:18" ht="15.75" customHeight="1" thickBot="1">
      <c r="A365" s="172"/>
      <c r="B365" s="95"/>
      <c r="C365" s="66"/>
      <c r="D365" s="62"/>
      <c r="E365" s="355"/>
      <c r="F365" s="355"/>
      <c r="G365" s="355"/>
      <c r="H365" s="355"/>
      <c r="I365" s="355"/>
      <c r="J365" s="355"/>
      <c r="K365" s="355"/>
      <c r="L365" s="355"/>
      <c r="M365" s="460"/>
      <c r="N365" s="460"/>
      <c r="O365" s="460"/>
      <c r="P365" s="461"/>
      <c r="Q365" s="96"/>
    </row>
    <row r="366" spans="1:18" ht="15.75" customHeight="1" thickBot="1">
      <c r="A366" s="172"/>
      <c r="B366" s="254" t="s">
        <v>73</v>
      </c>
      <c r="C366" s="105" t="s">
        <v>73</v>
      </c>
      <c r="D366" s="105" t="s">
        <v>74</v>
      </c>
      <c r="E366" s="462"/>
      <c r="F366" s="463"/>
      <c r="G366" s="464"/>
      <c r="H366" s="464" t="s">
        <v>55</v>
      </c>
      <c r="I366" s="68">
        <v>1</v>
      </c>
      <c r="J366" s="460"/>
      <c r="K366" s="460"/>
      <c r="L366" s="460"/>
      <c r="M366" s="460"/>
      <c r="N366" s="460"/>
      <c r="O366" s="460"/>
      <c r="P366" s="461"/>
      <c r="Q366" s="96"/>
    </row>
    <row r="367" spans="1:18" ht="15.75" customHeight="1">
      <c r="A367" s="172"/>
      <c r="B367" s="255" t="str">
        <f>"("&amp;VLOOKUP(C367,NodeList!$D$5:$E$68,2,FALSE)&amp;")"</f>
        <v>(USGS 10026500:  Bear R. nr Randolph, UT)</v>
      </c>
      <c r="C367" s="256" t="s">
        <v>122</v>
      </c>
      <c r="D367" s="388">
        <v>1</v>
      </c>
      <c r="E367" s="355">
        <f>$D367*((E364*(VLOOKUP(I366,'Option Tables'!$B$23:$F$26,2)))+(P364*(VLOOKUP(I366,'Option Tables'!$B$23:$F$26,3)))+(O364*(VLOOKUP(I366,'Option Tables'!$B$23:$F$26,4))+(N364*(VLOOKUP(I366,'Option Tables'!$B$23:$F$26,5)))))</f>
        <v>0</v>
      </c>
      <c r="F367" s="355">
        <f>$D367*((F364*(VLOOKUP(I366,'Option Tables'!$B$23:$F$26,2)))+(E364*(VLOOKUP(I366,'Option Tables'!$B$23:$F$26,3)))+(P364*(VLOOKUP(I366,'Option Tables'!$B$23:$F$26,4))+(O364*(VLOOKUP(I366,'Option Tables'!$B$23:$F$26,5)))))</f>
        <v>0</v>
      </c>
      <c r="G367" s="355">
        <f>$D367*((G364*(VLOOKUP(I366,'Option Tables'!$B$23:$F$26,2)))+(F364*(VLOOKUP(I366,'Option Tables'!$B$23:$F$26,3)))+(E364*(VLOOKUP(I366,'Option Tables'!$B$23:$F$26,4))+(P364*(VLOOKUP(I366,'Option Tables'!$B$23:$F$26,5)))))</f>
        <v>0</v>
      </c>
      <c r="H367" s="355">
        <f>$D367*((H364*(VLOOKUP(I366,'Option Tables'!$B$23:$F$26,2)))+(G364*(VLOOKUP(I366,'Option Tables'!$B$23:$F$26,3)))+(F364*(VLOOKUP(I366,'Option Tables'!$B$23:$F$26,4))+(E364*(VLOOKUP(I366,'Option Tables'!$B$23:$F$26,5)))))</f>
        <v>0</v>
      </c>
      <c r="I367" s="355">
        <f>$D367*((I364*(VLOOKUP(I366,'Option Tables'!$B$23:$F$26,2)))+(H364*(VLOOKUP(I366,'Option Tables'!$B$23:$F$26,3)))+(G364*(VLOOKUP(I366,'Option Tables'!$B$23:$F$26,4))+(F364*(VLOOKUP(I366,'Option Tables'!$B$23:$F$26,5)))))</f>
        <v>648.65808024975001</v>
      </c>
      <c r="J367" s="355">
        <f>$D367*((J364*(VLOOKUP(I366,'Option Tables'!$B$23:$F$26,2)))+(I364*(VLOOKUP(I366,'Option Tables'!$B$23:$F$26,3)))+(H364*(VLOOKUP(I366,'Option Tables'!$B$23:$F$26,4))+(G364*(VLOOKUP(I366,'Option Tables'!$B$23:$F$26,5)))))</f>
        <v>1412.6950558333638</v>
      </c>
      <c r="K367" s="355">
        <f>$D367*((K364*(VLOOKUP(I366,'Option Tables'!$B$23:$F$26,2)))+(J364*(VLOOKUP(I366,'Option Tables'!$B$23:$F$26,3)))+(I364*(VLOOKUP(I366,'Option Tables'!$B$23:$F$26,4))+(H364*(VLOOKUP(I366,'Option Tables'!$B$23:$F$26,5)))))</f>
        <v>1294.5494570114081</v>
      </c>
      <c r="L367" s="355">
        <f>$D367*((L364*(VLOOKUP(I366,'Option Tables'!$B$23:$F$26,2)))+(K364*(VLOOKUP(I366,'Option Tables'!$B$23:$F$26,3)))+(J364*(VLOOKUP(I366,'Option Tables'!$B$23:$F$26,4))+(I364*(VLOOKUP(I366,'Option Tables'!$B$23:$F$26,5)))))</f>
        <v>909.80405977463874</v>
      </c>
      <c r="M367" s="355">
        <f>$D367*((M364*(VLOOKUP(I366,'Option Tables'!$B$23:$F$26,2)))+(L364*(VLOOKUP(I366,'Option Tables'!$B$23:$F$26,3)))+(K364*(VLOOKUP(I366,'Option Tables'!$B$23:$F$26,4))+(J364*(VLOOKUP(I366,'Option Tables'!$B$23:$F$26,5)))))</f>
        <v>607.22147596951709</v>
      </c>
      <c r="N367" s="355">
        <f>$D367*((N364*(VLOOKUP(I366,'Option Tables'!$B$23:$F$26,2)))+(M364*(VLOOKUP(I366,'Option Tables'!$B$23:$F$26,3)))+(L364*(VLOOKUP(I366,'Option Tables'!$B$23:$F$26,4))+(K364*(VLOOKUP(I366,'Option Tables'!$B$23:$F$26,5)))))</f>
        <v>231.34649399157277</v>
      </c>
      <c r="O367" s="355">
        <f>$D367*((O364*(VLOOKUP(I366,'Option Tables'!$B$23:$F$26,2)))+(N364*(VLOOKUP(I366,'Option Tables'!$B$23:$F$26,3)))+(M364*(VLOOKUP(I366,'Option Tables'!$B$23:$F$26,4))+(L364*(VLOOKUP(I366,'Option Tables'!$B$23:$F$26,5)))))</f>
        <v>75.629175914495448</v>
      </c>
      <c r="P367" s="465">
        <f>$D367*((P364*(VLOOKUP(I366,'Option Tables'!$B$23:$F$26,2)))+(O364*(VLOOKUP(I366,'Option Tables'!$B$23:$F$26,3)))+(N364*(VLOOKUP(I366,'Option Tables'!$B$23:$F$26,4))+(M364*(VLOOKUP(I366,'Option Tables'!$B$23:$F$26,5)))))</f>
        <v>26.995700413527278</v>
      </c>
      <c r="Q367" s="96"/>
    </row>
    <row r="368" spans="1:18" ht="15.75" customHeight="1">
      <c r="A368" s="172"/>
      <c r="B368" s="95"/>
      <c r="C368" s="256"/>
      <c r="D368" s="388">
        <v>0</v>
      </c>
      <c r="E368" s="355">
        <f>$D368*((E364*(VLOOKUP(I366,'Option Tables'!$B$23:$F$26,2)))+(P364*(VLOOKUP(I366,'Option Tables'!$B$23:$F$26,3)))+(O364*(VLOOKUP(I366,'Option Tables'!$B$23:$F$26,4))+(N364*(VLOOKUP(I366,'Option Tables'!$B$23:$F$26,5)))))</f>
        <v>0</v>
      </c>
      <c r="F368" s="355">
        <f>$D368*((F364*(VLOOKUP(I366,'Option Tables'!$B$23:$F$26,2)))+(E364*(VLOOKUP(I366,'Option Tables'!$B$23:$F$26,3)))+(P364*(VLOOKUP(I366,'Option Tables'!$B$23:$F$26,4))+(O364*(VLOOKUP(I366,'Option Tables'!$B$23:$F$26,5)))))</f>
        <v>0</v>
      </c>
      <c r="G368" s="355">
        <f>$D368*((G364*(VLOOKUP(I366,'Option Tables'!$B$23:$F$26,2)))+(F364*(VLOOKUP(I366,'Option Tables'!$B$23:$F$26,3)))+(E364*(VLOOKUP(I366,'Option Tables'!$B$23:$F$26,4))+(P364*(VLOOKUP(I366,'Option Tables'!$B$23:$F$26,5)))))</f>
        <v>0</v>
      </c>
      <c r="H368" s="355">
        <f>$D368*((H364*(VLOOKUP(I366,'Option Tables'!$B$23:$F$26,2)))+(G364*(VLOOKUP(I366,'Option Tables'!$B$23:$F$26,3)))+(F364*(VLOOKUP(I366,'Option Tables'!$B$23:$F$26,4))+(E364*(VLOOKUP(I366,'Option Tables'!$B$23:$F$26,5)))))</f>
        <v>0</v>
      </c>
      <c r="I368" s="355">
        <f>$D368*((I364*(VLOOKUP(I366,'Option Tables'!$B$23:$F$26,2)))+(H364*(VLOOKUP(I366,'Option Tables'!$B$23:$F$26,3)))+(G364*(VLOOKUP(I366,'Option Tables'!$B$23:$F$26,4))+(F364*(VLOOKUP(I366,'Option Tables'!$B$23:$F$26,5)))))</f>
        <v>0</v>
      </c>
      <c r="J368" s="355">
        <f>$D368*((J364*(VLOOKUP(I366,'Option Tables'!$B$23:$F$26,2)))+(I364*(VLOOKUP(I366,'Option Tables'!$B$23:$F$26,3)))+(H364*(VLOOKUP(I366,'Option Tables'!$B$23:$F$26,4))+(G364*(VLOOKUP(I366,'Option Tables'!$B$23:$F$26,5)))))</f>
        <v>0</v>
      </c>
      <c r="K368" s="355">
        <f>$D368*((K364*(VLOOKUP(I366,'Option Tables'!$B$23:$F$26,2)))+(J364*(VLOOKUP(I366,'Option Tables'!$B$23:$F$26,3)))+(I364*(VLOOKUP(I366,'Option Tables'!$B$23:$F$26,4))+(H364*(VLOOKUP(I366,'Option Tables'!$B$23:$F$26,5)))))</f>
        <v>0</v>
      </c>
      <c r="L368" s="355">
        <f>$D368*((L364*(VLOOKUP(I366,'Option Tables'!$B$23:$F$26,2)))+(K364*(VLOOKUP(I366,'Option Tables'!$B$23:$F$26,3)))+(J364*(VLOOKUP(I366,'Option Tables'!$B$23:$F$26,4))+(I364*(VLOOKUP(I366,'Option Tables'!$B$23:$F$26,5)))))</f>
        <v>0</v>
      </c>
      <c r="M368" s="355">
        <f>$D368*((M364*(VLOOKUP(I366,'Option Tables'!$B$23:$F$26,2)))+(L364*(VLOOKUP(I366,'Option Tables'!$B$23:$F$26,3)))+(K364*(VLOOKUP(I366,'Option Tables'!$B$23:$F$26,4))+(J364*(VLOOKUP(I366,'Option Tables'!$B$23:$F$26,5)))))</f>
        <v>0</v>
      </c>
      <c r="N368" s="355">
        <f>$D368*((N364*(VLOOKUP(I366,'Option Tables'!$B$23:$F$26,2)))+(M364*(VLOOKUP(I366,'Option Tables'!$B$23:$F$26,3)))+(L364*(VLOOKUP(I366,'Option Tables'!$B$23:$F$26,4))+(K364*(VLOOKUP(I366,'Option Tables'!$B$23:$F$26,5)))))</f>
        <v>0</v>
      </c>
      <c r="O368" s="355">
        <f>$D368*((O364*(VLOOKUP(I366,'Option Tables'!$B$23:$F$26,2)))+(N364*(VLOOKUP(I366,'Option Tables'!$B$23:$F$26,3)))+(M364*(VLOOKUP(I366,'Option Tables'!$B$23:$F$26,4))+(L364*(VLOOKUP(I366,'Option Tables'!$B$23:$F$26,5)))))</f>
        <v>0</v>
      </c>
      <c r="P368" s="465">
        <f>$D368*((P364*(VLOOKUP(I366,'Option Tables'!$B$23:$F$26,2)))+(O364*(VLOOKUP(I366,'Option Tables'!$B$23:$F$26,3)))+(N364*(VLOOKUP(I366,'Option Tables'!$B$23:$F$26,4))+(M364*(VLOOKUP(I366,'Option Tables'!$B$23:$F$26,5)))))</f>
        <v>0</v>
      </c>
      <c r="Q368" s="96"/>
    </row>
    <row r="369" spans="1:18" ht="15.75" customHeight="1">
      <c r="A369" s="172"/>
      <c r="B369" s="95"/>
      <c r="C369" s="256"/>
      <c r="D369" s="388">
        <v>0</v>
      </c>
      <c r="E369" s="355">
        <f>$D369*((E364*(VLOOKUP(I366,'Option Tables'!$B$23:$F$26,2)))+(P364*(VLOOKUP(I366,'Option Tables'!$B$23:$F$26,3)))+(O364*(VLOOKUP(I366,'Option Tables'!$B$23:$F$26,4))+(N364*(VLOOKUP(I366,'Option Tables'!$B$23:$F$26,5)))))</f>
        <v>0</v>
      </c>
      <c r="F369" s="355">
        <f>$D369*((F364*(VLOOKUP(I366,'Option Tables'!$B$23:$F$26,2)))+(E364*(VLOOKUP(I366,'Option Tables'!$B$23:$F$26,3)))+(P364*(VLOOKUP(I366,'Option Tables'!$B$23:$F$26,4))+(O364*(VLOOKUP(I366,'Option Tables'!$B$23:$F$26,5)))))</f>
        <v>0</v>
      </c>
      <c r="G369" s="355">
        <f>$D369*((G364*(VLOOKUP(I366,'Option Tables'!$B$23:$F$26,2)))+(F364*(VLOOKUP(I366,'Option Tables'!$B$23:$F$26,3)))+(E364*(VLOOKUP(I366,'Option Tables'!$B$23:$F$26,4))+(P364*(VLOOKUP(I366,'Option Tables'!$B$23:$F$26,5)))))</f>
        <v>0</v>
      </c>
      <c r="H369" s="355">
        <f>$D369*((H364*(VLOOKUP(I366,'Option Tables'!$B$23:$F$26,2)))+(G364*(VLOOKUP(I366,'Option Tables'!$B$23:$F$26,3)))+(F364*(VLOOKUP(I366,'Option Tables'!$B$23:$F$26,4))+(E364*(VLOOKUP(I366,'Option Tables'!$B$23:$F$26,5)))))</f>
        <v>0</v>
      </c>
      <c r="I369" s="355">
        <f>$D369*((I364*(VLOOKUP(I366,'Option Tables'!$B$23:$F$26,2)))+(H364*(VLOOKUP(I366,'Option Tables'!$B$23:$F$26,3)))+(G364*(VLOOKUP(I366,'Option Tables'!$B$23:$F$26,4))+(F364*(VLOOKUP(I366,'Option Tables'!$B$23:$F$26,5)))))</f>
        <v>0</v>
      </c>
      <c r="J369" s="355">
        <f>$D369*((J364*(VLOOKUP(I366,'Option Tables'!$B$23:$F$26,2)))+(I364*(VLOOKUP(I366,'Option Tables'!$B$23:$F$26,3)))+(H364*(VLOOKUP(I366,'Option Tables'!$B$23:$F$26,4))+(G364*(VLOOKUP(I366,'Option Tables'!$B$23:$F$26,5)))))</f>
        <v>0</v>
      </c>
      <c r="K369" s="355">
        <f>$D369*((K364*(VLOOKUP(I366,'Option Tables'!$B$23:$F$26,2)))+(J364*(VLOOKUP(I366,'Option Tables'!$B$23:$F$26,3)))+(I364*(VLOOKUP(I366,'Option Tables'!$B$23:$F$26,4))+(H364*(VLOOKUP(I366,'Option Tables'!$B$23:$F$26,5)))))</f>
        <v>0</v>
      </c>
      <c r="L369" s="355">
        <f>$D369*((L364*(VLOOKUP(I366,'Option Tables'!$B$23:$F$26,2)))+(K364*(VLOOKUP(I366,'Option Tables'!$B$23:$F$26,3)))+(J364*(VLOOKUP(I366,'Option Tables'!$B$23:$F$26,4))+(I364*(VLOOKUP(I366,'Option Tables'!$B$23:$F$26,5)))))</f>
        <v>0</v>
      </c>
      <c r="M369" s="355">
        <f>$D369*((M364*(VLOOKUP(I366,'Option Tables'!$B$23:$F$26,2)))+(L364*(VLOOKUP(I366,'Option Tables'!$B$23:$F$26,3)))+(K364*(VLOOKUP(I366,'Option Tables'!$B$23:$F$26,4))+(J364*(VLOOKUP(I366,'Option Tables'!$B$23:$F$26,5)))))</f>
        <v>0</v>
      </c>
      <c r="N369" s="355">
        <f>$D369*((N364*(VLOOKUP(I366,'Option Tables'!$B$23:$F$26,2)))+(M364*(VLOOKUP(I366,'Option Tables'!$B$23:$F$26,3)))+(L364*(VLOOKUP(I366,'Option Tables'!$B$23:$F$26,4))+(K364*(VLOOKUP(I366,'Option Tables'!$B$23:$F$26,5)))))</f>
        <v>0</v>
      </c>
      <c r="O369" s="355">
        <f>$D369*((O364*(VLOOKUP(I366,'Option Tables'!$B$23:$F$26,2)))+(N364*(VLOOKUP(I366,'Option Tables'!$B$23:$F$26,3)))+(M364*(VLOOKUP(I366,'Option Tables'!$B$23:$F$26,4))+(L364*(VLOOKUP(I366,'Option Tables'!$B$23:$F$26,5)))))</f>
        <v>0</v>
      </c>
      <c r="P369" s="465">
        <f>$D369*((P364*(VLOOKUP(I366,'Option Tables'!$B$23:$F$26,2)))+(O364*(VLOOKUP(I366,'Option Tables'!$B$23:$F$26,3)))+(N364*(VLOOKUP(I366,'Option Tables'!$B$23:$F$26,4))+(M364*(VLOOKUP(I366,'Option Tables'!$B$23:$F$26,5)))))</f>
        <v>0</v>
      </c>
      <c r="Q369" s="96"/>
    </row>
    <row r="370" spans="1:18" ht="15.75" customHeight="1">
      <c r="A370" s="172"/>
      <c r="B370" s="95"/>
      <c r="C370" s="256"/>
      <c r="D370" s="388">
        <v>0</v>
      </c>
      <c r="E370" s="355">
        <f>$D370*((E364*(VLOOKUP(I366,'Option Tables'!$B$23:$F$26,2)))+(P364*(VLOOKUP(I366,'Option Tables'!$B$23:$F$26,3)))+(O364*(VLOOKUP(I366,'Option Tables'!$B$23:$F$26,4))+(N364*(VLOOKUP(I366,'Option Tables'!$B$23:$F$26,5)))))</f>
        <v>0</v>
      </c>
      <c r="F370" s="355">
        <f>$D370*((F364*(VLOOKUP(I366,'Option Tables'!$B$23:$F$26,2)))+(E364*(VLOOKUP(I366,'Option Tables'!$B$23:$F$26,3)))+(P364*(VLOOKUP(I366,'Option Tables'!$B$23:$F$26,4))+(O364*(VLOOKUP(I366,'Option Tables'!$B$23:$F$26,5)))))</f>
        <v>0</v>
      </c>
      <c r="G370" s="355">
        <f>$D370*((G364*(VLOOKUP(I366,'Option Tables'!$B$23:$F$26,2)))+(F364*(VLOOKUP(I366,'Option Tables'!$B$23:$F$26,3)))+(E364*(VLOOKUP(I366,'Option Tables'!$B$23:$F$26,4))+(P364*(VLOOKUP(I366,'Option Tables'!$B$23:$F$26,5)))))</f>
        <v>0</v>
      </c>
      <c r="H370" s="355">
        <f>$D370*((H364*(VLOOKUP(I366,'Option Tables'!$B$23:$F$26,2)))+(G364*(VLOOKUP(I366,'Option Tables'!$B$23:$F$26,3)))+(F364*(VLOOKUP(I366,'Option Tables'!$B$23:$F$26,4))+(E364*(VLOOKUP(I366,'Option Tables'!$B$23:$F$26,5)))))</f>
        <v>0</v>
      </c>
      <c r="I370" s="355">
        <f>$D370*((I364*(VLOOKUP(I366,'Option Tables'!$B$23:$F$26,2)))+(H364*(VLOOKUP(I366,'Option Tables'!$B$23:$F$26,3)))+(G364*(VLOOKUP(I366,'Option Tables'!$B$23:$F$26,4))+(F364*(VLOOKUP(I366,'Option Tables'!$B$23:$F$26,5)))))</f>
        <v>0</v>
      </c>
      <c r="J370" s="355">
        <f>$D370*((J364*(VLOOKUP(I366,'Option Tables'!$B$23:$F$26,2)))+(I364*(VLOOKUP(I366,'Option Tables'!$B$23:$F$26,3)))+(H364*(VLOOKUP(I366,'Option Tables'!$B$23:$F$26,4))+(G364*(VLOOKUP(I366,'Option Tables'!$B$23:$F$26,5)))))</f>
        <v>0</v>
      </c>
      <c r="K370" s="355">
        <f>$D370*((K364*(VLOOKUP(I366,'Option Tables'!$B$23:$F$26,2)))+(J364*(VLOOKUP(I366,'Option Tables'!$B$23:$F$26,3)))+(I364*(VLOOKUP(I366,'Option Tables'!$B$23:$F$26,4))+(H364*(VLOOKUP(I366,'Option Tables'!$B$23:$F$26,5)))))</f>
        <v>0</v>
      </c>
      <c r="L370" s="355">
        <f>$D370*((L364*(VLOOKUP(I366,'Option Tables'!$B$23:$F$26,2)))+(K364*(VLOOKUP(I366,'Option Tables'!$B$23:$F$26,3)))+(J364*(VLOOKUP(I366,'Option Tables'!$B$23:$F$26,4))+(I364*(VLOOKUP(I366,'Option Tables'!$B$23:$F$26,5)))))</f>
        <v>0</v>
      </c>
      <c r="M370" s="355">
        <f>$D370*((M364*(VLOOKUP(I366,'Option Tables'!$B$23:$F$26,2)))+(L364*(VLOOKUP(I366,'Option Tables'!$B$23:$F$26,3)))+(K364*(VLOOKUP(I366,'Option Tables'!$B$23:$F$26,4))+(J364*(VLOOKUP(I366,'Option Tables'!$B$23:$F$26,5)))))</f>
        <v>0</v>
      </c>
      <c r="N370" s="355">
        <f>$D370*((N364*(VLOOKUP(I366,'Option Tables'!$B$23:$F$26,2)))+(M364*(VLOOKUP(I366,'Option Tables'!$B$23:$F$26,3)))+(L364*(VLOOKUP(I366,'Option Tables'!$B$23:$F$26,4))+(K364*(VLOOKUP(I366,'Option Tables'!$B$23:$F$26,5)))))</f>
        <v>0</v>
      </c>
      <c r="O370" s="355">
        <f>$D370*((O364*(VLOOKUP(I366,'Option Tables'!$B$23:$F$26,2)))+(N364*(VLOOKUP(I366,'Option Tables'!$B$23:$F$26,3)))+(M364*(VLOOKUP(I366,'Option Tables'!$B$23:$F$26,4))+(L364*(VLOOKUP(I366,'Option Tables'!$B$23:$F$26,5)))))</f>
        <v>0</v>
      </c>
      <c r="P370" s="465">
        <f>$D370*((P364*(VLOOKUP(I366,'Option Tables'!$B$23:$F$26,2)))+(O364*(VLOOKUP(I366,'Option Tables'!$B$23:$F$26,3)))+(N364*(VLOOKUP(I366,'Option Tables'!$B$23:$F$26,4))+(M364*(VLOOKUP(I366,'Option Tables'!$B$23:$F$26,5)))))</f>
        <v>0</v>
      </c>
      <c r="Q370" s="96"/>
    </row>
    <row r="371" spans="1:18" ht="15.75" customHeight="1" thickBot="1">
      <c r="A371" s="172"/>
      <c r="B371" s="97"/>
      <c r="C371" s="144" t="str">
        <f>IF(D371&lt;&gt;1,"Must equal %100","")</f>
        <v/>
      </c>
      <c r="D371" s="71">
        <f t="shared" ref="D371:P371" si="35">SUM(D367:D370)</f>
        <v>1</v>
      </c>
      <c r="E371" s="466">
        <f t="shared" si="35"/>
        <v>0</v>
      </c>
      <c r="F371" s="466">
        <f t="shared" si="35"/>
        <v>0</v>
      </c>
      <c r="G371" s="466">
        <f t="shared" si="35"/>
        <v>0</v>
      </c>
      <c r="H371" s="466">
        <f t="shared" si="35"/>
        <v>0</v>
      </c>
      <c r="I371" s="466">
        <f t="shared" si="35"/>
        <v>648.65808024975001</v>
      </c>
      <c r="J371" s="466">
        <f t="shared" si="35"/>
        <v>1412.6950558333638</v>
      </c>
      <c r="K371" s="466">
        <f t="shared" si="35"/>
        <v>1294.5494570114081</v>
      </c>
      <c r="L371" s="466">
        <f t="shared" si="35"/>
        <v>909.80405977463874</v>
      </c>
      <c r="M371" s="466">
        <f t="shared" si="35"/>
        <v>607.22147596951709</v>
      </c>
      <c r="N371" s="466">
        <f t="shared" si="35"/>
        <v>231.34649399157277</v>
      </c>
      <c r="O371" s="466">
        <f t="shared" si="35"/>
        <v>75.629175914495448</v>
      </c>
      <c r="P371" s="467">
        <f t="shared" si="35"/>
        <v>26.995700413527278</v>
      </c>
      <c r="Q371" s="96"/>
      <c r="R371" s="140"/>
    </row>
    <row r="372" spans="1:18" ht="15.75" customHeight="1" thickBot="1">
      <c r="B372" s="85" t="s">
        <v>230</v>
      </c>
      <c r="C372" s="257" t="str">
        <f>VLOOKUP(B372,NodeList!$D$5:$E$73,2,FALSE)</f>
        <v>Aggregate Utah Diversions</v>
      </c>
      <c r="D372" s="91"/>
      <c r="E372" s="450"/>
      <c r="F372" s="451"/>
      <c r="G372" s="452"/>
      <c r="H372" s="453" t="s">
        <v>54</v>
      </c>
      <c r="I372" s="68">
        <v>30</v>
      </c>
      <c r="J372" s="454"/>
      <c r="K372" s="454"/>
      <c r="L372" s="454"/>
      <c r="M372" s="454"/>
      <c r="N372" s="454"/>
      <c r="O372" s="454"/>
      <c r="P372" s="455"/>
      <c r="Q372" s="96"/>
    </row>
    <row r="373" spans="1:18" ht="15.75" customHeight="1">
      <c r="A373" s="172"/>
      <c r="B373" s="94"/>
      <c r="C373" s="66" t="s">
        <v>57</v>
      </c>
      <c r="D373" s="69"/>
      <c r="E373" s="456">
        <f>VLOOKUP($B372,'Diversion Data'!$B$3:$O$227,3,FALSE)</f>
        <v>0</v>
      </c>
      <c r="F373" s="456">
        <f>VLOOKUP($B372,'Diversion Data'!$B$3:$O$227,4,FALSE)</f>
        <v>0</v>
      </c>
      <c r="G373" s="456">
        <f>VLOOKUP($B372,'Diversion Data'!$B$3:$O$227,5,FALSE)</f>
        <v>0</v>
      </c>
      <c r="H373" s="456">
        <f>VLOOKUP($B372,'Diversion Data'!$B$3:$O$227,6,FALSE)</f>
        <v>0</v>
      </c>
      <c r="I373" s="456">
        <f>VLOOKUP($B372,'Diversion Data'!$B$3:$O$227,7,FALSE)</f>
        <v>19706.331893247167</v>
      </c>
      <c r="J373" s="456">
        <f>VLOOKUP($B372,'Diversion Data'!$B$3:$O$227,8,FALSE)</f>
        <v>43876.311703128056</v>
      </c>
      <c r="K373" s="456">
        <f>VLOOKUP($B372,'Diversion Data'!$B$3:$O$227,9,FALSE)</f>
        <v>8753.5195151369044</v>
      </c>
      <c r="L373" s="456">
        <f>VLOOKUP($B372,'Diversion Data'!$B$3:$O$227,10,FALSE)</f>
        <v>3585.3513253552032</v>
      </c>
      <c r="M373" s="456">
        <f>VLOOKUP($B372,'Diversion Data'!$B$3:$O$227,11,FALSE)</f>
        <v>2539.7154708752887</v>
      </c>
      <c r="N373" s="456">
        <f>VLOOKUP($B372,'Diversion Data'!$B$3:$O$227,12,FALSE)</f>
        <v>0</v>
      </c>
      <c r="O373" s="456">
        <f>VLOOKUP($B372,'Diversion Data'!$B$3:$O$227,13,FALSE)</f>
        <v>0</v>
      </c>
      <c r="P373" s="457">
        <f>VLOOKUP($B372,'Diversion Data'!$B$3:$O$227,14,FALSE)</f>
        <v>0</v>
      </c>
      <c r="Q373" s="96"/>
    </row>
    <row r="374" spans="1:18" ht="15.75" customHeight="1">
      <c r="A374" s="172"/>
      <c r="B374" s="95"/>
      <c r="C374" s="72" t="s">
        <v>56</v>
      </c>
      <c r="D374" s="70"/>
      <c r="E374" s="458">
        <f>VLOOKUP($I372,'Option Tables'!$B$3:$N$19,2,FALSE)*E373</f>
        <v>0</v>
      </c>
      <c r="F374" s="458">
        <f>VLOOKUP($I372,'Option Tables'!$B$3:$N$19,3,FALSE)*F373</f>
        <v>0</v>
      </c>
      <c r="G374" s="458">
        <f>VLOOKUP($I372,'Option Tables'!$B$3:$N$19,4,FALSE)*G373</f>
        <v>0</v>
      </c>
      <c r="H374" s="458">
        <f>VLOOKUP($I372,'Option Tables'!$B$3:$N$19,5,FALSE)*H373</f>
        <v>0</v>
      </c>
      <c r="I374" s="458">
        <f>VLOOKUP($I372,'Option Tables'!$B$3:$N$19,6,FALSE)*I373</f>
        <v>13794.432325273016</v>
      </c>
      <c r="J374" s="458">
        <f>VLOOKUP($I372,'Option Tables'!$B$3:$N$19,7,FALSE)*J373</f>
        <v>30713.418192189638</v>
      </c>
      <c r="K374" s="458">
        <f>VLOOKUP($I372,'Option Tables'!$B$3:$N$19,8,FALSE)*K373</f>
        <v>6127.4636605958331</v>
      </c>
      <c r="L374" s="458">
        <f>VLOOKUP($I372,'Option Tables'!$B$3:$N$19,9,FALSE)*L373</f>
        <v>2509.7459277486423</v>
      </c>
      <c r="M374" s="458">
        <f>VLOOKUP($I372,'Option Tables'!$B$3:$N$19,10,FALSE)*M373</f>
        <v>1777.800829612702</v>
      </c>
      <c r="N374" s="458">
        <f>VLOOKUP($I372,'Option Tables'!$B$3:$N$19,11,FALSE)*N373</f>
        <v>0</v>
      </c>
      <c r="O374" s="458">
        <f>VLOOKUP($I372,'Option Tables'!$B$3:$N$19,12,FALSE)*O373</f>
        <v>0</v>
      </c>
      <c r="P374" s="459">
        <f>VLOOKUP($I372,'Option Tables'!$B$3:$N$19,13,FALSE)*P373</f>
        <v>0</v>
      </c>
      <c r="Q374" s="96"/>
    </row>
    <row r="375" spans="1:18" ht="15.75" customHeight="1" thickBot="1">
      <c r="A375" s="172"/>
      <c r="B375" s="95"/>
      <c r="C375" s="66"/>
      <c r="D375" s="62"/>
      <c r="E375" s="355"/>
      <c r="F375" s="355"/>
      <c r="G375" s="355"/>
      <c r="H375" s="355"/>
      <c r="I375" s="468"/>
      <c r="J375" s="468"/>
      <c r="K375" s="468"/>
      <c r="L375" s="468"/>
      <c r="M375" s="468"/>
      <c r="N375" s="460"/>
      <c r="O375" s="460"/>
      <c r="P375" s="461"/>
      <c r="Q375" s="96"/>
    </row>
    <row r="376" spans="1:18" ht="15.75" customHeight="1" thickBot="1">
      <c r="A376" s="172"/>
      <c r="B376" s="254" t="s">
        <v>73</v>
      </c>
      <c r="C376" s="105" t="s">
        <v>73</v>
      </c>
      <c r="D376" s="105" t="s">
        <v>74</v>
      </c>
      <c r="E376" s="462"/>
      <c r="F376" s="463"/>
      <c r="G376" s="464"/>
      <c r="H376" s="464" t="s">
        <v>55</v>
      </c>
      <c r="I376" s="68">
        <v>2</v>
      </c>
      <c r="J376" s="460"/>
      <c r="K376" s="460"/>
      <c r="L376" s="460"/>
      <c r="M376" s="460"/>
      <c r="N376" s="460"/>
      <c r="O376" s="460"/>
      <c r="P376" s="461"/>
      <c r="Q376" s="96"/>
    </row>
    <row r="377" spans="1:18" ht="15.75" customHeight="1">
      <c r="A377" s="172"/>
      <c r="B377" s="255" t="str">
        <f>"("&amp;VLOOKUP(C377,NodeList!$D$5:$E$68,2,FALSE)&amp;")"</f>
        <v>(USGS 10026500:  Bear R. nr Randolph, UT)</v>
      </c>
      <c r="C377" s="256" t="s">
        <v>122</v>
      </c>
      <c r="D377" s="388">
        <v>0.7</v>
      </c>
      <c r="E377" s="355">
        <f>$D377*((E374*(VLOOKUP(I376,'Option Tables'!$B$23:$F$26,2)))+(P374*(VLOOKUP(I376,'Option Tables'!$B$23:$F$26,3)))+(O374*(VLOOKUP(I376,'Option Tables'!$B$23:$F$26,4))+(N374*(VLOOKUP(I376,'Option Tables'!$B$23:$F$26,5)))))</f>
        <v>0</v>
      </c>
      <c r="F377" s="355">
        <f>$D377*((F374*(VLOOKUP(I376,'Option Tables'!$B$23:$F$26,2)))+(E374*(VLOOKUP(I376,'Option Tables'!$B$23:$F$26,3)))+(P374*(VLOOKUP(I376,'Option Tables'!$B$23:$F$26,4))+(O374*(VLOOKUP(I376,'Option Tables'!$B$23:$F$26,5)))))</f>
        <v>0</v>
      </c>
      <c r="G377" s="355">
        <f>$D377*((G374*(VLOOKUP(I376,'Option Tables'!$B$23:$F$26,2)))+(F374*(VLOOKUP(I376,'Option Tables'!$B$23:$F$26,3)))+(E374*(VLOOKUP(I376,'Option Tables'!$B$23:$F$26,4))+(P374*(VLOOKUP(I376,'Option Tables'!$B$23:$F$26,5)))))</f>
        <v>0</v>
      </c>
      <c r="H377" s="355">
        <f>$D377*((H374*(VLOOKUP(I376,'Option Tables'!$B$23:$F$26,2)))+(G374*(VLOOKUP(I376,'Option Tables'!$B$23:$F$26,3)))+(F374*(VLOOKUP(I376,'Option Tables'!$B$23:$F$26,4))+(E374*(VLOOKUP(I376,'Option Tables'!$B$23:$F$26,5)))))</f>
        <v>0</v>
      </c>
      <c r="I377" s="355">
        <f>$D377*((I374*(VLOOKUP(I376,'Option Tables'!$B$23:$F$26,2)))+(H374*(VLOOKUP(I376,'Option Tables'!$B$23:$F$26,3)))+(G374*(VLOOKUP(I376,'Option Tables'!$B$23:$F$26,4))+(F374*(VLOOKUP(I376,'Option Tables'!$B$23:$F$26,5)))))</f>
        <v>6759.2718393837768</v>
      </c>
      <c r="J377" s="355">
        <f>$D377*((J374*(VLOOKUP(I376,'Option Tables'!$B$23:$F$26,2)))+(I374*(VLOOKUP(I376,'Option Tables'!$B$23:$F$26,3)))+(H374*(VLOOKUP(I376,'Option Tables'!$B$23:$F$26,4))+(G374*(VLOOKUP(I376,'Option Tables'!$B$23:$F$26,5)))))</f>
        <v>16980.795439711143</v>
      </c>
      <c r="K377" s="355">
        <f>$D377*((K374*(VLOOKUP(I376,'Option Tables'!$B$23:$F$26,2)))+(J374*(VLOOKUP(I376,'Option Tables'!$B$23:$F$26,3)))+(I374*(VLOOKUP(I376,'Option Tables'!$B$23:$F$26,4))+(H374*(VLOOKUP(I376,'Option Tables'!$B$23:$F$26,5)))))</f>
        <v>8267.9460033676169</v>
      </c>
      <c r="L377" s="355">
        <f>$D377*((L374*(VLOOKUP(I376,'Option Tables'!$B$23:$F$26,2)))+(K374*(VLOOKUP(I376,'Option Tables'!$B$23:$F$26,3)))+(J374*(VLOOKUP(I376,'Option Tables'!$B$23:$F$26,4))+(I374*(VLOOKUP(I376,'Option Tables'!$B$23:$F$26,5)))))</f>
        <v>4237.559690533526</v>
      </c>
      <c r="M377" s="355">
        <f>$D377*((M374*(VLOOKUP(I376,'Option Tables'!$B$23:$F$26,2)))+(L374*(VLOOKUP(I376,'Option Tables'!$B$23:$F$26,3)))+(K374*(VLOOKUP(I376,'Option Tables'!$B$23:$F$26,4))+(J374*(VLOOKUP(I376,'Option Tables'!$B$23:$F$26,5)))))</f>
        <v>1651.4092926367421</v>
      </c>
      <c r="N377" s="355">
        <f>$D377*((N374*(VLOOKUP(I376,'Option Tables'!$B$23:$F$26,2)))+(M374*(VLOOKUP(I376,'Option Tables'!$B$23:$F$26,3)))+(L374*(VLOOKUP(I376,'Option Tables'!$B$23:$F$26,4))+(K374*(VLOOKUP(I376,'Option Tables'!$B$23:$F$26,5)))))</f>
        <v>424.57433108818321</v>
      </c>
      <c r="O377" s="355">
        <f>$D377*((O374*(VLOOKUP(I376,'Option Tables'!$B$23:$F$26,2)))+(N374*(VLOOKUP(I376,'Option Tables'!$B$23:$F$26,3)))+(M374*(VLOOKUP(I376,'Option Tables'!$B$23:$F$26,4))+(L374*(VLOOKUP(I376,'Option Tables'!$B$23:$F$26,5)))))</f>
        <v>124.44605807288914</v>
      </c>
      <c r="P377" s="465">
        <f>$D377*((P374*(VLOOKUP(I376,'Option Tables'!$B$23:$F$26,2)))+(O374*(VLOOKUP(I376,'Option Tables'!$B$23:$F$26,3)))+(N374*(VLOOKUP(I376,'Option Tables'!$B$23:$F$26,4))+(M374*(VLOOKUP(I376,'Option Tables'!$B$23:$F$26,5)))))</f>
        <v>0</v>
      </c>
      <c r="Q377" s="96"/>
    </row>
    <row r="378" spans="1:18" ht="15.75" customHeight="1">
      <c r="A378" s="172"/>
      <c r="B378" s="255" t="str">
        <f>"("&amp;VLOOKUP(C378,NodeList!$D$5:$E$68,2,FALSE)&amp;")"</f>
        <v>(Pixley Dam)</v>
      </c>
      <c r="C378" s="256" t="s">
        <v>164</v>
      </c>
      <c r="D378" s="388">
        <v>0.05</v>
      </c>
      <c r="E378" s="355">
        <f>$D378*((E374*(VLOOKUP(I376,'Option Tables'!$B$23:$F$26,2)))+(P374*(VLOOKUP(I376,'Option Tables'!$B$23:$F$26,3)))+(O374*(VLOOKUP(I376,'Option Tables'!$B$23:$F$26,4))+(N374*(VLOOKUP(I376,'Option Tables'!$B$23:$F$26,5)))))</f>
        <v>0</v>
      </c>
      <c r="F378" s="355">
        <f>$D378*((F374*(VLOOKUP(I376,'Option Tables'!$B$23:$F$26,2)))+(E374*(VLOOKUP(I376,'Option Tables'!$B$23:$F$26,3)))+(P374*(VLOOKUP(I376,'Option Tables'!$B$23:$F$26,4))+(O374*(VLOOKUP(I376,'Option Tables'!$B$23:$F$26,5)))))</f>
        <v>0</v>
      </c>
      <c r="G378" s="355">
        <f>$D378*((G374*(VLOOKUP(I376,'Option Tables'!$B$23:$F$26,2)))+(F374*(VLOOKUP(I376,'Option Tables'!$B$23:$F$26,3)))+(E374*(VLOOKUP(I376,'Option Tables'!$B$23:$F$26,4))+(P374*(VLOOKUP(I376,'Option Tables'!$B$23:$F$26,5)))))</f>
        <v>0</v>
      </c>
      <c r="H378" s="355">
        <f>$D378*((H374*(VLOOKUP(I376,'Option Tables'!$B$23:$F$26,2)))+(G374*(VLOOKUP(I376,'Option Tables'!$B$23:$F$26,3)))+(F374*(VLOOKUP(I376,'Option Tables'!$B$23:$F$26,4))+(E374*(VLOOKUP(I376,'Option Tables'!$B$23:$F$26,5)))))</f>
        <v>0</v>
      </c>
      <c r="I378" s="355">
        <f>$D378*((I374*(VLOOKUP(I376,'Option Tables'!$B$23:$F$26,2)))+(H374*(VLOOKUP(I376,'Option Tables'!$B$23:$F$26,3)))+(G374*(VLOOKUP(I376,'Option Tables'!$B$23:$F$26,4))+(F374*(VLOOKUP(I376,'Option Tables'!$B$23:$F$26,5)))))</f>
        <v>482.80513138455558</v>
      </c>
      <c r="J378" s="355">
        <f>$D378*((J374*(VLOOKUP(I376,'Option Tables'!$B$23:$F$26,2)))+(I374*(VLOOKUP(I376,'Option Tables'!$B$23:$F$26,3)))+(H374*(VLOOKUP(I376,'Option Tables'!$B$23:$F$26,4))+(G374*(VLOOKUP(I376,'Option Tables'!$B$23:$F$26,5)))))</f>
        <v>1212.9139599793675</v>
      </c>
      <c r="K378" s="355">
        <f>$D378*((K374*(VLOOKUP(I376,'Option Tables'!$B$23:$F$26,2)))+(J374*(VLOOKUP(I376,'Option Tables'!$B$23:$F$26,3)))+(I374*(VLOOKUP(I376,'Option Tables'!$B$23:$F$26,4))+(H374*(VLOOKUP(I376,'Option Tables'!$B$23:$F$26,5)))))</f>
        <v>590.56757166911564</v>
      </c>
      <c r="L378" s="355">
        <f>$D378*((L374*(VLOOKUP(I376,'Option Tables'!$B$23:$F$26,2)))+(K374*(VLOOKUP(I376,'Option Tables'!$B$23:$F$26,3)))+(J374*(VLOOKUP(I376,'Option Tables'!$B$23:$F$26,4))+(I374*(VLOOKUP(I376,'Option Tables'!$B$23:$F$26,5)))))</f>
        <v>302.68283503810898</v>
      </c>
      <c r="M378" s="355">
        <f>$D378*((M374*(VLOOKUP(I376,'Option Tables'!$B$23:$F$26,2)))+(L374*(VLOOKUP(I376,'Option Tables'!$B$23:$F$26,3)))+(K374*(VLOOKUP(I376,'Option Tables'!$B$23:$F$26,4))+(J374*(VLOOKUP(I376,'Option Tables'!$B$23:$F$26,5)))))</f>
        <v>117.95780661691015</v>
      </c>
      <c r="N378" s="355">
        <f>$D378*((N374*(VLOOKUP(I376,'Option Tables'!$B$23:$F$26,2)))+(M374*(VLOOKUP(I376,'Option Tables'!$B$23:$F$26,3)))+(L374*(VLOOKUP(I376,'Option Tables'!$B$23:$F$26,4))+(K374*(VLOOKUP(I376,'Option Tables'!$B$23:$F$26,5)))))</f>
        <v>30.326737934870234</v>
      </c>
      <c r="O378" s="355">
        <f>$D378*((O374*(VLOOKUP(I376,'Option Tables'!$B$23:$F$26,2)))+(N374*(VLOOKUP(I376,'Option Tables'!$B$23:$F$26,3)))+(M374*(VLOOKUP(I376,'Option Tables'!$B$23:$F$26,4))+(L374*(VLOOKUP(I376,'Option Tables'!$B$23:$F$26,5)))))</f>
        <v>8.8890041480635116</v>
      </c>
      <c r="P378" s="465">
        <f>$D378*((P374*(VLOOKUP(I376,'Option Tables'!$B$23:$F$26,2)))+(O374*(VLOOKUP(I376,'Option Tables'!$B$23:$F$26,3)))+(N374*(VLOOKUP(I376,'Option Tables'!$B$23:$F$26,4))+(M374*(VLOOKUP(I376,'Option Tables'!$B$23:$F$26,5)))))</f>
        <v>0</v>
      </c>
      <c r="Q378" s="96"/>
    </row>
    <row r="379" spans="1:18" ht="15.75" customHeight="1">
      <c r="A379" s="172"/>
      <c r="B379" s="255" t="str">
        <f>"("&amp;VLOOKUP(C379,NodeList!$D$5:$E$68,2,FALSE)&amp;")"</f>
        <v>(Partial Returns from Aggregate Utah Diversions)</v>
      </c>
      <c r="C379" s="256" t="s">
        <v>556</v>
      </c>
      <c r="D379" s="388">
        <v>0.25</v>
      </c>
      <c r="E379" s="355">
        <f>$D379*((E374*(VLOOKUP(I376,'Option Tables'!$B$23:$F$26,2)))+(P374*(VLOOKUP(I376,'Option Tables'!$B$23:$F$26,3)))+(O374*(VLOOKUP(I376,'Option Tables'!$B$23:$F$26,4))+(N374*(VLOOKUP(I376,'Option Tables'!$B$23:$F$26,5)))))</f>
        <v>0</v>
      </c>
      <c r="F379" s="355">
        <f>$D379*((F374*(VLOOKUP(I376,'Option Tables'!$B$23:$F$26,2)))+(E374*(VLOOKUP(I376,'Option Tables'!$B$23:$F$26,3)))+(P374*(VLOOKUP(I376,'Option Tables'!$B$23:$F$26,4))+(O374*(VLOOKUP(I376,'Option Tables'!$B$23:$F$26,5)))))</f>
        <v>0</v>
      </c>
      <c r="G379" s="355">
        <f>$D379*((G374*(VLOOKUP(I376,'Option Tables'!$B$23:$F$26,2)))+(F374*(VLOOKUP(I376,'Option Tables'!$B$23:$F$26,3)))+(E374*(VLOOKUP(I376,'Option Tables'!$B$23:$F$26,4))+(P374*(VLOOKUP(I376,'Option Tables'!$B$23:$F$26,5)))))</f>
        <v>0</v>
      </c>
      <c r="H379" s="355">
        <f>$D379*((H374*(VLOOKUP(I376,'Option Tables'!$B$23:$F$26,2)))+(G374*(VLOOKUP(I376,'Option Tables'!$B$23:$F$26,3)))+(F374*(VLOOKUP(I376,'Option Tables'!$B$23:$F$26,4))+(E374*(VLOOKUP(I376,'Option Tables'!$B$23:$F$26,5)))))</f>
        <v>0</v>
      </c>
      <c r="I379" s="355">
        <f>$D379*((I374*(VLOOKUP(I376,'Option Tables'!$B$23:$F$26,2)))+(H374*(VLOOKUP(I376,'Option Tables'!$B$23:$F$26,3)))+(G374*(VLOOKUP(I376,'Option Tables'!$B$23:$F$26,4))+(F374*(VLOOKUP(I376,'Option Tables'!$B$23:$F$26,5)))))</f>
        <v>2414.0256569227777</v>
      </c>
      <c r="J379" s="355">
        <f>$D379*((J374*(VLOOKUP(I376,'Option Tables'!$B$23:$F$26,2)))+(I374*(VLOOKUP(I376,'Option Tables'!$B$23:$F$26,3)))+(H374*(VLOOKUP(I376,'Option Tables'!$B$23:$F$26,4))+(G374*(VLOOKUP(I376,'Option Tables'!$B$23:$F$26,5)))))</f>
        <v>6064.5697998968371</v>
      </c>
      <c r="K379" s="355">
        <f>$D379*((K374*(VLOOKUP(I376,'Option Tables'!$B$23:$F$26,2)))+(J374*(VLOOKUP(I376,'Option Tables'!$B$23:$F$26,3)))+(I374*(VLOOKUP(I376,'Option Tables'!$B$23:$F$26,4))+(H374*(VLOOKUP(I376,'Option Tables'!$B$23:$F$26,5)))))</f>
        <v>2952.8378583455778</v>
      </c>
      <c r="L379" s="355">
        <f>$D379*((L374*(VLOOKUP(I376,'Option Tables'!$B$23:$F$26,2)))+(K374*(VLOOKUP(I376,'Option Tables'!$B$23:$F$26,3)))+(J374*(VLOOKUP(I376,'Option Tables'!$B$23:$F$26,4))+(I374*(VLOOKUP(I376,'Option Tables'!$B$23:$F$26,5)))))</f>
        <v>1513.4141751905449</v>
      </c>
      <c r="M379" s="355">
        <f>$D379*((M374*(VLOOKUP(I376,'Option Tables'!$B$23:$F$26,2)))+(L374*(VLOOKUP(I376,'Option Tables'!$B$23:$F$26,3)))+(K374*(VLOOKUP(I376,'Option Tables'!$B$23:$F$26,4))+(J374*(VLOOKUP(I376,'Option Tables'!$B$23:$F$26,5)))))</f>
        <v>589.78903308455074</v>
      </c>
      <c r="N379" s="355">
        <f>$D379*((N374*(VLOOKUP(I376,'Option Tables'!$B$23:$F$26,2)))+(M374*(VLOOKUP(I376,'Option Tables'!$B$23:$F$26,3)))+(L374*(VLOOKUP(I376,'Option Tables'!$B$23:$F$26,4))+(K374*(VLOOKUP(I376,'Option Tables'!$B$23:$F$26,5)))))</f>
        <v>151.63368967435116</v>
      </c>
      <c r="O379" s="355">
        <f>$D379*((O374*(VLOOKUP(I376,'Option Tables'!$B$23:$F$26,2)))+(N374*(VLOOKUP(I376,'Option Tables'!$B$23:$F$26,3)))+(M374*(VLOOKUP(I376,'Option Tables'!$B$23:$F$26,4))+(L374*(VLOOKUP(I376,'Option Tables'!$B$23:$F$26,5)))))</f>
        <v>44.445020740317553</v>
      </c>
      <c r="P379" s="465">
        <f>$D379*((P374*(VLOOKUP(I376,'Option Tables'!$B$23:$F$26,2)))+(O374*(VLOOKUP(I376,'Option Tables'!$B$23:$F$26,3)))+(N374*(VLOOKUP(I376,'Option Tables'!$B$23:$F$26,4))+(M374*(VLOOKUP(I376,'Option Tables'!$B$23:$F$26,5)))))</f>
        <v>0</v>
      </c>
      <c r="Q379" s="96"/>
    </row>
    <row r="380" spans="1:18" ht="15.75" customHeight="1">
      <c r="A380" s="172"/>
      <c r="B380" s="95"/>
      <c r="C380" s="256"/>
      <c r="D380" s="388">
        <v>0</v>
      </c>
      <c r="E380" s="355">
        <f>$D380*((E374*(VLOOKUP(I376,'Option Tables'!$B$23:$F$26,2)))+(P374*(VLOOKUP(I376,'Option Tables'!$B$23:$F$26,3)))+(O374*(VLOOKUP(I376,'Option Tables'!$B$23:$F$26,4))+(N374*(VLOOKUP(I376,'Option Tables'!$B$23:$F$26,5)))))</f>
        <v>0</v>
      </c>
      <c r="F380" s="355">
        <f>$D380*((F374*(VLOOKUP(I376,'Option Tables'!$B$23:$F$26,2)))+(E374*(VLOOKUP(I376,'Option Tables'!$B$23:$F$26,3)))+(P374*(VLOOKUP(I376,'Option Tables'!$B$23:$F$26,4))+(O374*(VLOOKUP(I376,'Option Tables'!$B$23:$F$26,5)))))</f>
        <v>0</v>
      </c>
      <c r="G380" s="355">
        <f>$D380*((G374*(VLOOKUP(I376,'Option Tables'!$B$23:$F$26,2)))+(F374*(VLOOKUP(I376,'Option Tables'!$B$23:$F$26,3)))+(E374*(VLOOKUP(I376,'Option Tables'!$B$23:$F$26,4))+(P374*(VLOOKUP(I376,'Option Tables'!$B$23:$F$26,5)))))</f>
        <v>0</v>
      </c>
      <c r="H380" s="355">
        <f>$D380*((H374*(VLOOKUP(I376,'Option Tables'!$B$23:$F$26,2)))+(G374*(VLOOKUP(I376,'Option Tables'!$B$23:$F$26,3)))+(F374*(VLOOKUP(I376,'Option Tables'!$B$23:$F$26,4))+(E374*(VLOOKUP(I376,'Option Tables'!$B$23:$F$26,5)))))</f>
        <v>0</v>
      </c>
      <c r="I380" s="355">
        <f>$D380*((I374*(VLOOKUP(I376,'Option Tables'!$B$23:$F$26,2)))+(H374*(VLOOKUP(I376,'Option Tables'!$B$23:$F$26,3)))+(G374*(VLOOKUP(I376,'Option Tables'!$B$23:$F$26,4))+(F374*(VLOOKUP(I376,'Option Tables'!$B$23:$F$26,5)))))</f>
        <v>0</v>
      </c>
      <c r="J380" s="355">
        <f>$D380*((J374*(VLOOKUP(I376,'Option Tables'!$B$23:$F$26,2)))+(I374*(VLOOKUP(I376,'Option Tables'!$B$23:$F$26,3)))+(H374*(VLOOKUP(I376,'Option Tables'!$B$23:$F$26,4))+(G374*(VLOOKUP(I376,'Option Tables'!$B$23:$F$26,5)))))</f>
        <v>0</v>
      </c>
      <c r="K380" s="355">
        <f>$D380*((K374*(VLOOKUP(I376,'Option Tables'!$B$23:$F$26,2)))+(J374*(VLOOKUP(I376,'Option Tables'!$B$23:$F$26,3)))+(I374*(VLOOKUP(I376,'Option Tables'!$B$23:$F$26,4))+(H374*(VLOOKUP(I376,'Option Tables'!$B$23:$F$26,5)))))</f>
        <v>0</v>
      </c>
      <c r="L380" s="355">
        <f>$D380*((L374*(VLOOKUP(I376,'Option Tables'!$B$23:$F$26,2)))+(K374*(VLOOKUP(I376,'Option Tables'!$B$23:$F$26,3)))+(J374*(VLOOKUP(I376,'Option Tables'!$B$23:$F$26,4))+(I374*(VLOOKUP(I376,'Option Tables'!$B$23:$F$26,5)))))</f>
        <v>0</v>
      </c>
      <c r="M380" s="355">
        <f>$D380*((M374*(VLOOKUP(I376,'Option Tables'!$B$23:$F$26,2)))+(L374*(VLOOKUP(I376,'Option Tables'!$B$23:$F$26,3)))+(K374*(VLOOKUP(I376,'Option Tables'!$B$23:$F$26,4))+(J374*(VLOOKUP(I376,'Option Tables'!$B$23:$F$26,5)))))</f>
        <v>0</v>
      </c>
      <c r="N380" s="355">
        <f>$D380*((N374*(VLOOKUP(I376,'Option Tables'!$B$23:$F$26,2)))+(M374*(VLOOKUP(I376,'Option Tables'!$B$23:$F$26,3)))+(L374*(VLOOKUP(I376,'Option Tables'!$B$23:$F$26,4))+(K374*(VLOOKUP(I376,'Option Tables'!$B$23:$F$26,5)))))</f>
        <v>0</v>
      </c>
      <c r="O380" s="355">
        <f>$D380*((O374*(VLOOKUP(I376,'Option Tables'!$B$23:$F$26,2)))+(N374*(VLOOKUP(I376,'Option Tables'!$B$23:$F$26,3)))+(M374*(VLOOKUP(I376,'Option Tables'!$B$23:$F$26,4))+(L374*(VLOOKUP(I376,'Option Tables'!$B$23:$F$26,5)))))</f>
        <v>0</v>
      </c>
      <c r="P380" s="465">
        <f>$D380*((P374*(VLOOKUP(I376,'Option Tables'!$B$23:$F$26,2)))+(O374*(VLOOKUP(I376,'Option Tables'!$B$23:$F$26,3)))+(N374*(VLOOKUP(I376,'Option Tables'!$B$23:$F$26,4))+(M374*(VLOOKUP(I376,'Option Tables'!$B$23:$F$26,5)))))</f>
        <v>0</v>
      </c>
      <c r="Q380" s="96"/>
    </row>
    <row r="381" spans="1:18" ht="15.75" customHeight="1" thickBot="1">
      <c r="A381" s="172"/>
      <c r="B381" s="97"/>
      <c r="C381" s="144" t="str">
        <f>IF(D381&lt;&gt;1,"Must equal %100","")</f>
        <v/>
      </c>
      <c r="D381" s="71">
        <f t="shared" ref="D381:P381" si="36">SUM(D377:D380)</f>
        <v>1</v>
      </c>
      <c r="E381" s="466">
        <f t="shared" si="36"/>
        <v>0</v>
      </c>
      <c r="F381" s="466">
        <f t="shared" si="36"/>
        <v>0</v>
      </c>
      <c r="G381" s="466">
        <f t="shared" si="36"/>
        <v>0</v>
      </c>
      <c r="H381" s="466">
        <f t="shared" si="36"/>
        <v>0</v>
      </c>
      <c r="I381" s="466">
        <f t="shared" si="36"/>
        <v>9656.1026276911107</v>
      </c>
      <c r="J381" s="466">
        <f t="shared" si="36"/>
        <v>24258.279199587349</v>
      </c>
      <c r="K381" s="466">
        <f t="shared" si="36"/>
        <v>11811.35143338231</v>
      </c>
      <c r="L381" s="466">
        <f t="shared" si="36"/>
        <v>6053.6567007621798</v>
      </c>
      <c r="M381" s="466">
        <f t="shared" si="36"/>
        <v>2359.156132338203</v>
      </c>
      <c r="N381" s="466">
        <f t="shared" si="36"/>
        <v>606.53475869740464</v>
      </c>
      <c r="O381" s="466">
        <f t="shared" si="36"/>
        <v>177.78008296127021</v>
      </c>
      <c r="P381" s="467">
        <f t="shared" si="36"/>
        <v>0</v>
      </c>
      <c r="Q381" s="96"/>
      <c r="R381" s="140"/>
    </row>
    <row r="382" spans="1:18" ht="15.75" customHeight="1" thickBot="1">
      <c r="B382" s="85" t="s">
        <v>556</v>
      </c>
      <c r="C382" s="257" t="str">
        <f>VLOOKUP(B382,NodeList!$D$5:$E$73,2,FALSE)</f>
        <v>Partial Returns from Aggregate Utah Diversions</v>
      </c>
      <c r="D382" s="91"/>
      <c r="E382" s="450"/>
      <c r="F382" s="451"/>
      <c r="G382" s="452"/>
      <c r="H382" s="453" t="s">
        <v>54</v>
      </c>
      <c r="I382" s="68">
        <v>30</v>
      </c>
      <c r="J382" s="454"/>
      <c r="K382" s="454"/>
      <c r="L382" s="454"/>
      <c r="M382" s="454"/>
      <c r="N382" s="454"/>
      <c r="O382" s="454"/>
      <c r="P382" s="455"/>
      <c r="Q382" s="96"/>
    </row>
    <row r="383" spans="1:18" ht="15.75" customHeight="1">
      <c r="A383" s="172"/>
      <c r="B383" s="94"/>
      <c r="C383" s="66" t="s">
        <v>57</v>
      </c>
      <c r="D383" s="69"/>
      <c r="E383" s="456">
        <f>VLOOKUP($B382,'Diversion Data'!$B$3:$O$227,3,FALSE)</f>
        <v>0</v>
      </c>
      <c r="F383" s="456">
        <f>VLOOKUP($B382,'Diversion Data'!$B$3:$O$227,4,FALSE)</f>
        <v>0</v>
      </c>
      <c r="G383" s="456">
        <f>VLOOKUP($B382,'Diversion Data'!$B$3:$O$227,5,FALSE)</f>
        <v>0</v>
      </c>
      <c r="H383" s="456">
        <f>VLOOKUP($B382,'Diversion Data'!$B$3:$O$227,6,FALSE)</f>
        <v>0</v>
      </c>
      <c r="I383" s="456">
        <f>VLOOKUP($B382,'Diversion Data'!$B$3:$O$227,7,FALSE)</f>
        <v>0</v>
      </c>
      <c r="J383" s="456">
        <f>VLOOKUP($B382,'Diversion Data'!$B$3:$O$227,8,FALSE)</f>
        <v>0</v>
      </c>
      <c r="K383" s="456">
        <f>VLOOKUP($B382,'Diversion Data'!$B$3:$O$227,9,FALSE)</f>
        <v>0</v>
      </c>
      <c r="L383" s="456">
        <f>VLOOKUP($B382,'Diversion Data'!$B$3:$O$227,10,FALSE)</f>
        <v>0</v>
      </c>
      <c r="M383" s="456">
        <f>VLOOKUP($B382,'Diversion Data'!$B$3:$O$227,11,FALSE)</f>
        <v>0</v>
      </c>
      <c r="N383" s="456">
        <f>VLOOKUP($B382,'Diversion Data'!$B$3:$O$227,12,FALSE)</f>
        <v>0</v>
      </c>
      <c r="O383" s="456">
        <f>VLOOKUP($B382,'Diversion Data'!$B$3:$O$227,13,FALSE)</f>
        <v>0</v>
      </c>
      <c r="P383" s="457">
        <f>VLOOKUP($B382,'Diversion Data'!$B$3:$O$227,14,FALSE)</f>
        <v>0</v>
      </c>
      <c r="Q383" s="96"/>
    </row>
    <row r="384" spans="1:18" ht="15.75" customHeight="1">
      <c r="A384" s="172"/>
      <c r="B384" s="95"/>
      <c r="C384" s="72" t="s">
        <v>56</v>
      </c>
      <c r="D384" s="70"/>
      <c r="E384" s="458">
        <f>VLOOKUP($I382,'Option Tables'!$B$3:$N$19,2,FALSE)*E383</f>
        <v>0</v>
      </c>
      <c r="F384" s="458">
        <f>VLOOKUP($I382,'Option Tables'!$B$3:$N$19,3,FALSE)*F383</f>
        <v>0</v>
      </c>
      <c r="G384" s="458">
        <f>VLOOKUP($I382,'Option Tables'!$B$3:$N$19,4,FALSE)*G383</f>
        <v>0</v>
      </c>
      <c r="H384" s="458">
        <f>VLOOKUP($I382,'Option Tables'!$B$3:$N$19,5,FALSE)*H383</f>
        <v>0</v>
      </c>
      <c r="I384" s="458">
        <f>VLOOKUP($I382,'Option Tables'!$B$3:$N$19,6,FALSE)*I383</f>
        <v>0</v>
      </c>
      <c r="J384" s="458">
        <f>VLOOKUP($I382,'Option Tables'!$B$3:$N$19,7,FALSE)*J383</f>
        <v>0</v>
      </c>
      <c r="K384" s="458">
        <f>VLOOKUP($I382,'Option Tables'!$B$3:$N$19,8,FALSE)*K383</f>
        <v>0</v>
      </c>
      <c r="L384" s="458">
        <f>VLOOKUP($I382,'Option Tables'!$B$3:$N$19,9,FALSE)*L383</f>
        <v>0</v>
      </c>
      <c r="M384" s="458">
        <f>VLOOKUP($I382,'Option Tables'!$B$3:$N$19,10,FALSE)*M383</f>
        <v>0</v>
      </c>
      <c r="N384" s="458">
        <f>VLOOKUP($I382,'Option Tables'!$B$3:$N$19,11,FALSE)*N383</f>
        <v>0</v>
      </c>
      <c r="O384" s="458">
        <f>VLOOKUP($I382,'Option Tables'!$B$3:$N$19,12,FALSE)*O383</f>
        <v>0</v>
      </c>
      <c r="P384" s="459">
        <f>VLOOKUP($I382,'Option Tables'!$B$3:$N$19,13,FALSE)*P383</f>
        <v>0</v>
      </c>
      <c r="Q384" s="96"/>
    </row>
    <row r="385" spans="1:18" ht="15.75" customHeight="1" thickBot="1">
      <c r="A385" s="172"/>
      <c r="B385" s="95"/>
      <c r="C385" s="66"/>
      <c r="D385" s="62"/>
      <c r="E385" s="355"/>
      <c r="F385" s="355"/>
      <c r="G385" s="355"/>
      <c r="H385" s="355"/>
      <c r="I385" s="468"/>
      <c r="J385" s="468"/>
      <c r="K385" s="468"/>
      <c r="L385" s="468"/>
      <c r="M385" s="468"/>
      <c r="N385" s="460"/>
      <c r="O385" s="460"/>
      <c r="P385" s="461"/>
      <c r="Q385" s="96"/>
    </row>
    <row r="386" spans="1:18" ht="15.75" customHeight="1" thickBot="1">
      <c r="A386" s="172"/>
      <c r="B386" s="254" t="s">
        <v>73</v>
      </c>
      <c r="C386" s="105" t="s">
        <v>73</v>
      </c>
      <c r="D386" s="105" t="s">
        <v>74</v>
      </c>
      <c r="E386" s="462"/>
      <c r="F386" s="463"/>
      <c r="G386" s="464"/>
      <c r="H386" s="464" t="s">
        <v>55</v>
      </c>
      <c r="I386" s="68">
        <v>2</v>
      </c>
      <c r="J386" s="460"/>
      <c r="K386" s="460"/>
      <c r="L386" s="460"/>
      <c r="M386" s="460"/>
      <c r="N386" s="460"/>
      <c r="O386" s="460"/>
      <c r="P386" s="461"/>
      <c r="Q386" s="96"/>
    </row>
    <row r="387" spans="1:18" ht="15.75" customHeight="1">
      <c r="A387" s="172"/>
      <c r="B387" s="255" t="e">
        <f>"("&amp;VLOOKUP(C387,NodeList!$D$5:$E$68,2,FALSE)&amp;")"</f>
        <v>#N/A</v>
      </c>
      <c r="C387" s="256"/>
      <c r="D387" s="388">
        <v>1</v>
      </c>
      <c r="E387" s="355">
        <f>$D387*((E384*(VLOOKUP(I386,'Option Tables'!$B$23:$F$26,2)))+(P384*(VLOOKUP(I386,'Option Tables'!$B$23:$F$26,3)))+(O384*(VLOOKUP(I386,'Option Tables'!$B$23:$F$26,4))+(N384*(VLOOKUP(I386,'Option Tables'!$B$23:$F$26,5)))))</f>
        <v>0</v>
      </c>
      <c r="F387" s="355">
        <f>$D387*((F384*(VLOOKUP(I386,'Option Tables'!$B$23:$F$26,2)))+(E384*(VLOOKUP(I386,'Option Tables'!$B$23:$F$26,3)))+(P384*(VLOOKUP(I386,'Option Tables'!$B$23:$F$26,4))+(O384*(VLOOKUP(I386,'Option Tables'!$B$23:$F$26,5)))))</f>
        <v>0</v>
      </c>
      <c r="G387" s="355">
        <f>$D387*((G384*(VLOOKUP(I386,'Option Tables'!$B$23:$F$26,2)))+(F384*(VLOOKUP(I386,'Option Tables'!$B$23:$F$26,3)))+(E384*(VLOOKUP(I386,'Option Tables'!$B$23:$F$26,4))+(P384*(VLOOKUP(I386,'Option Tables'!$B$23:$F$26,5)))))</f>
        <v>0</v>
      </c>
      <c r="H387" s="355">
        <f>$D387*((H384*(VLOOKUP(I386,'Option Tables'!$B$23:$F$26,2)))+(G384*(VLOOKUP(I386,'Option Tables'!$B$23:$F$26,3)))+(F384*(VLOOKUP(I386,'Option Tables'!$B$23:$F$26,4))+(E384*(VLOOKUP(I386,'Option Tables'!$B$23:$F$26,5)))))</f>
        <v>0</v>
      </c>
      <c r="I387" s="355">
        <f>$D387*((I384*(VLOOKUP(I386,'Option Tables'!$B$23:$F$26,2)))+(H384*(VLOOKUP(I386,'Option Tables'!$B$23:$F$26,3)))+(G384*(VLOOKUP(I386,'Option Tables'!$B$23:$F$26,4))+(F384*(VLOOKUP(I386,'Option Tables'!$B$23:$F$26,5)))))</f>
        <v>0</v>
      </c>
      <c r="J387" s="355">
        <f>$D387*((J384*(VLOOKUP(I386,'Option Tables'!$B$23:$F$26,2)))+(I384*(VLOOKUP(I386,'Option Tables'!$B$23:$F$26,3)))+(H384*(VLOOKUP(I386,'Option Tables'!$B$23:$F$26,4))+(G384*(VLOOKUP(I386,'Option Tables'!$B$23:$F$26,5)))))</f>
        <v>0</v>
      </c>
      <c r="K387" s="355">
        <f>$D387*((K384*(VLOOKUP(I386,'Option Tables'!$B$23:$F$26,2)))+(J384*(VLOOKUP(I386,'Option Tables'!$B$23:$F$26,3)))+(I384*(VLOOKUP(I386,'Option Tables'!$B$23:$F$26,4))+(H384*(VLOOKUP(I386,'Option Tables'!$B$23:$F$26,5)))))</f>
        <v>0</v>
      </c>
      <c r="L387" s="355">
        <f>$D387*((L384*(VLOOKUP(I386,'Option Tables'!$B$23:$F$26,2)))+(K384*(VLOOKUP(I386,'Option Tables'!$B$23:$F$26,3)))+(J384*(VLOOKUP(I386,'Option Tables'!$B$23:$F$26,4))+(I384*(VLOOKUP(I386,'Option Tables'!$B$23:$F$26,5)))))</f>
        <v>0</v>
      </c>
      <c r="M387" s="355">
        <f>$D387*((M384*(VLOOKUP(I386,'Option Tables'!$B$23:$F$26,2)))+(L384*(VLOOKUP(I386,'Option Tables'!$B$23:$F$26,3)))+(K384*(VLOOKUP(I386,'Option Tables'!$B$23:$F$26,4))+(J384*(VLOOKUP(I386,'Option Tables'!$B$23:$F$26,5)))))</f>
        <v>0</v>
      </c>
      <c r="N387" s="355">
        <f>$D387*((N384*(VLOOKUP(I386,'Option Tables'!$B$23:$F$26,2)))+(M384*(VLOOKUP(I386,'Option Tables'!$B$23:$F$26,3)))+(L384*(VLOOKUP(I386,'Option Tables'!$B$23:$F$26,4))+(K384*(VLOOKUP(I386,'Option Tables'!$B$23:$F$26,5)))))</f>
        <v>0</v>
      </c>
      <c r="O387" s="355">
        <f>$D387*((O384*(VLOOKUP(I386,'Option Tables'!$B$23:$F$26,2)))+(N384*(VLOOKUP(I386,'Option Tables'!$B$23:$F$26,3)))+(M384*(VLOOKUP(I386,'Option Tables'!$B$23:$F$26,4))+(L384*(VLOOKUP(I386,'Option Tables'!$B$23:$F$26,5)))))</f>
        <v>0</v>
      </c>
      <c r="P387" s="465">
        <f>$D387*((P384*(VLOOKUP(I386,'Option Tables'!$B$23:$F$26,2)))+(O384*(VLOOKUP(I386,'Option Tables'!$B$23:$F$26,3)))+(N384*(VLOOKUP(I386,'Option Tables'!$B$23:$F$26,4))+(M384*(VLOOKUP(I386,'Option Tables'!$B$23:$F$26,5)))))</f>
        <v>0</v>
      </c>
      <c r="Q387" s="96"/>
    </row>
    <row r="388" spans="1:18" ht="15.75" customHeight="1">
      <c r="A388" s="172"/>
      <c r="B388" s="255"/>
      <c r="C388" s="256"/>
      <c r="D388" s="388">
        <v>0</v>
      </c>
      <c r="E388" s="355">
        <f>$D388*((E384*(VLOOKUP(I386,'Option Tables'!$B$23:$F$26,2)))+(P384*(VLOOKUP(I386,'Option Tables'!$B$23:$F$26,3)))+(O384*(VLOOKUP(I386,'Option Tables'!$B$23:$F$26,4))+(N384*(VLOOKUP(I386,'Option Tables'!$B$23:$F$26,5)))))</f>
        <v>0</v>
      </c>
      <c r="F388" s="355">
        <f>$D388*((F384*(VLOOKUP(I386,'Option Tables'!$B$23:$F$26,2)))+(E384*(VLOOKUP(I386,'Option Tables'!$B$23:$F$26,3)))+(P384*(VLOOKUP(I386,'Option Tables'!$B$23:$F$26,4))+(O384*(VLOOKUP(I386,'Option Tables'!$B$23:$F$26,5)))))</f>
        <v>0</v>
      </c>
      <c r="G388" s="355">
        <f>$D388*((G384*(VLOOKUP(I386,'Option Tables'!$B$23:$F$26,2)))+(F384*(VLOOKUP(I386,'Option Tables'!$B$23:$F$26,3)))+(E384*(VLOOKUP(I386,'Option Tables'!$B$23:$F$26,4))+(P384*(VLOOKUP(I386,'Option Tables'!$B$23:$F$26,5)))))</f>
        <v>0</v>
      </c>
      <c r="H388" s="355">
        <f>$D388*((H384*(VLOOKUP(I386,'Option Tables'!$B$23:$F$26,2)))+(G384*(VLOOKUP(I386,'Option Tables'!$B$23:$F$26,3)))+(F384*(VLOOKUP(I386,'Option Tables'!$B$23:$F$26,4))+(E384*(VLOOKUP(I386,'Option Tables'!$B$23:$F$26,5)))))</f>
        <v>0</v>
      </c>
      <c r="I388" s="355">
        <f>$D388*((I384*(VLOOKUP(I386,'Option Tables'!$B$23:$F$26,2)))+(H384*(VLOOKUP(I386,'Option Tables'!$B$23:$F$26,3)))+(G384*(VLOOKUP(I386,'Option Tables'!$B$23:$F$26,4))+(F384*(VLOOKUP(I386,'Option Tables'!$B$23:$F$26,5)))))</f>
        <v>0</v>
      </c>
      <c r="J388" s="355">
        <f>$D388*((J384*(VLOOKUP(I386,'Option Tables'!$B$23:$F$26,2)))+(I384*(VLOOKUP(I386,'Option Tables'!$B$23:$F$26,3)))+(H384*(VLOOKUP(I386,'Option Tables'!$B$23:$F$26,4))+(G384*(VLOOKUP(I386,'Option Tables'!$B$23:$F$26,5)))))</f>
        <v>0</v>
      </c>
      <c r="K388" s="355">
        <f>$D388*((K384*(VLOOKUP(I386,'Option Tables'!$B$23:$F$26,2)))+(J384*(VLOOKUP(I386,'Option Tables'!$B$23:$F$26,3)))+(I384*(VLOOKUP(I386,'Option Tables'!$B$23:$F$26,4))+(H384*(VLOOKUP(I386,'Option Tables'!$B$23:$F$26,5)))))</f>
        <v>0</v>
      </c>
      <c r="L388" s="355">
        <f>$D388*((L384*(VLOOKUP(I386,'Option Tables'!$B$23:$F$26,2)))+(K384*(VLOOKUP(I386,'Option Tables'!$B$23:$F$26,3)))+(J384*(VLOOKUP(I386,'Option Tables'!$B$23:$F$26,4))+(I384*(VLOOKUP(I386,'Option Tables'!$B$23:$F$26,5)))))</f>
        <v>0</v>
      </c>
      <c r="M388" s="355">
        <f>$D388*((M384*(VLOOKUP(I386,'Option Tables'!$B$23:$F$26,2)))+(L384*(VLOOKUP(I386,'Option Tables'!$B$23:$F$26,3)))+(K384*(VLOOKUP(I386,'Option Tables'!$B$23:$F$26,4))+(J384*(VLOOKUP(I386,'Option Tables'!$B$23:$F$26,5)))))</f>
        <v>0</v>
      </c>
      <c r="N388" s="355">
        <f>$D388*((N384*(VLOOKUP(I386,'Option Tables'!$B$23:$F$26,2)))+(M384*(VLOOKUP(I386,'Option Tables'!$B$23:$F$26,3)))+(L384*(VLOOKUP(I386,'Option Tables'!$B$23:$F$26,4))+(K384*(VLOOKUP(I386,'Option Tables'!$B$23:$F$26,5)))))</f>
        <v>0</v>
      </c>
      <c r="O388" s="355">
        <f>$D388*((O384*(VLOOKUP(I386,'Option Tables'!$B$23:$F$26,2)))+(N384*(VLOOKUP(I386,'Option Tables'!$B$23:$F$26,3)))+(M384*(VLOOKUP(I386,'Option Tables'!$B$23:$F$26,4))+(L384*(VLOOKUP(I386,'Option Tables'!$B$23:$F$26,5)))))</f>
        <v>0</v>
      </c>
      <c r="P388" s="465">
        <f>$D388*((P384*(VLOOKUP(I386,'Option Tables'!$B$23:$F$26,2)))+(O384*(VLOOKUP(I386,'Option Tables'!$B$23:$F$26,3)))+(N384*(VLOOKUP(I386,'Option Tables'!$B$23:$F$26,4))+(M384*(VLOOKUP(I386,'Option Tables'!$B$23:$F$26,5)))))</f>
        <v>0</v>
      </c>
      <c r="Q388" s="96"/>
    </row>
    <row r="389" spans="1:18" ht="15.75" customHeight="1">
      <c r="A389" s="172"/>
      <c r="B389" s="95"/>
      <c r="C389" s="256"/>
      <c r="D389" s="388">
        <v>0</v>
      </c>
      <c r="E389" s="355">
        <f>$D389*((E384*(VLOOKUP(I386,'Option Tables'!$B$23:$F$26,2)))+(P384*(VLOOKUP(I386,'Option Tables'!$B$23:$F$26,3)))+(O384*(VLOOKUP(I386,'Option Tables'!$B$23:$F$26,4))+(N384*(VLOOKUP(I386,'Option Tables'!$B$23:$F$26,5)))))</f>
        <v>0</v>
      </c>
      <c r="F389" s="355">
        <f>$D389*((F384*(VLOOKUP(I386,'Option Tables'!$B$23:$F$26,2)))+(E384*(VLOOKUP(I386,'Option Tables'!$B$23:$F$26,3)))+(P384*(VLOOKUP(I386,'Option Tables'!$B$23:$F$26,4))+(O384*(VLOOKUP(I386,'Option Tables'!$B$23:$F$26,5)))))</f>
        <v>0</v>
      </c>
      <c r="G389" s="355">
        <f>$D389*((G384*(VLOOKUP(I386,'Option Tables'!$B$23:$F$26,2)))+(F384*(VLOOKUP(I386,'Option Tables'!$B$23:$F$26,3)))+(E384*(VLOOKUP(I386,'Option Tables'!$B$23:$F$26,4))+(P384*(VLOOKUP(I386,'Option Tables'!$B$23:$F$26,5)))))</f>
        <v>0</v>
      </c>
      <c r="H389" s="355">
        <f>$D389*((H384*(VLOOKUP(I386,'Option Tables'!$B$23:$F$26,2)))+(G384*(VLOOKUP(I386,'Option Tables'!$B$23:$F$26,3)))+(F384*(VLOOKUP(I386,'Option Tables'!$B$23:$F$26,4))+(E384*(VLOOKUP(I386,'Option Tables'!$B$23:$F$26,5)))))</f>
        <v>0</v>
      </c>
      <c r="I389" s="355">
        <f>$D389*((I384*(VLOOKUP(I386,'Option Tables'!$B$23:$F$26,2)))+(H384*(VLOOKUP(I386,'Option Tables'!$B$23:$F$26,3)))+(G384*(VLOOKUP(I386,'Option Tables'!$B$23:$F$26,4))+(F384*(VLOOKUP(I386,'Option Tables'!$B$23:$F$26,5)))))</f>
        <v>0</v>
      </c>
      <c r="J389" s="355">
        <f>$D389*((J384*(VLOOKUP(I386,'Option Tables'!$B$23:$F$26,2)))+(I384*(VLOOKUP(I386,'Option Tables'!$B$23:$F$26,3)))+(H384*(VLOOKUP(I386,'Option Tables'!$B$23:$F$26,4))+(G384*(VLOOKUP(I386,'Option Tables'!$B$23:$F$26,5)))))</f>
        <v>0</v>
      </c>
      <c r="K389" s="355">
        <f>$D389*((K384*(VLOOKUP(I386,'Option Tables'!$B$23:$F$26,2)))+(J384*(VLOOKUP(I386,'Option Tables'!$B$23:$F$26,3)))+(I384*(VLOOKUP(I386,'Option Tables'!$B$23:$F$26,4))+(H384*(VLOOKUP(I386,'Option Tables'!$B$23:$F$26,5)))))</f>
        <v>0</v>
      </c>
      <c r="L389" s="355">
        <f>$D389*((L384*(VLOOKUP(I386,'Option Tables'!$B$23:$F$26,2)))+(K384*(VLOOKUP(I386,'Option Tables'!$B$23:$F$26,3)))+(J384*(VLOOKUP(I386,'Option Tables'!$B$23:$F$26,4))+(I384*(VLOOKUP(I386,'Option Tables'!$B$23:$F$26,5)))))</f>
        <v>0</v>
      </c>
      <c r="M389" s="355">
        <f>$D389*((M384*(VLOOKUP(I386,'Option Tables'!$B$23:$F$26,2)))+(L384*(VLOOKUP(I386,'Option Tables'!$B$23:$F$26,3)))+(K384*(VLOOKUP(I386,'Option Tables'!$B$23:$F$26,4))+(J384*(VLOOKUP(I386,'Option Tables'!$B$23:$F$26,5)))))</f>
        <v>0</v>
      </c>
      <c r="N389" s="355">
        <f>$D389*((N384*(VLOOKUP(I386,'Option Tables'!$B$23:$F$26,2)))+(M384*(VLOOKUP(I386,'Option Tables'!$B$23:$F$26,3)))+(L384*(VLOOKUP(I386,'Option Tables'!$B$23:$F$26,4))+(K384*(VLOOKUP(I386,'Option Tables'!$B$23:$F$26,5)))))</f>
        <v>0</v>
      </c>
      <c r="O389" s="355">
        <f>$D389*((O384*(VLOOKUP(I386,'Option Tables'!$B$23:$F$26,2)))+(N384*(VLOOKUP(I386,'Option Tables'!$B$23:$F$26,3)))+(M384*(VLOOKUP(I386,'Option Tables'!$B$23:$F$26,4))+(L384*(VLOOKUP(I386,'Option Tables'!$B$23:$F$26,5)))))</f>
        <v>0</v>
      </c>
      <c r="P389" s="465">
        <f>$D389*((P384*(VLOOKUP(I386,'Option Tables'!$B$23:$F$26,2)))+(O384*(VLOOKUP(I386,'Option Tables'!$B$23:$F$26,3)))+(N384*(VLOOKUP(I386,'Option Tables'!$B$23:$F$26,4))+(M384*(VLOOKUP(I386,'Option Tables'!$B$23:$F$26,5)))))</f>
        <v>0</v>
      </c>
      <c r="Q389" s="96"/>
    </row>
    <row r="390" spans="1:18" ht="15.75" customHeight="1">
      <c r="A390" s="172"/>
      <c r="B390" s="95"/>
      <c r="C390" s="256"/>
      <c r="D390" s="388">
        <v>0</v>
      </c>
      <c r="E390" s="355">
        <f>$D390*((E384*(VLOOKUP(I386,'Option Tables'!$B$23:$F$26,2)))+(P384*(VLOOKUP(I386,'Option Tables'!$B$23:$F$26,3)))+(O384*(VLOOKUP(I386,'Option Tables'!$B$23:$F$26,4))+(N384*(VLOOKUP(I386,'Option Tables'!$B$23:$F$26,5)))))</f>
        <v>0</v>
      </c>
      <c r="F390" s="355">
        <f>$D390*((F384*(VLOOKUP(I386,'Option Tables'!$B$23:$F$26,2)))+(E384*(VLOOKUP(I386,'Option Tables'!$B$23:$F$26,3)))+(P384*(VLOOKUP(I386,'Option Tables'!$B$23:$F$26,4))+(O384*(VLOOKUP(I386,'Option Tables'!$B$23:$F$26,5)))))</f>
        <v>0</v>
      </c>
      <c r="G390" s="355">
        <f>$D390*((G384*(VLOOKUP(I386,'Option Tables'!$B$23:$F$26,2)))+(F384*(VLOOKUP(I386,'Option Tables'!$B$23:$F$26,3)))+(E384*(VLOOKUP(I386,'Option Tables'!$B$23:$F$26,4))+(P384*(VLOOKUP(I386,'Option Tables'!$B$23:$F$26,5)))))</f>
        <v>0</v>
      </c>
      <c r="H390" s="355">
        <f>$D390*((H384*(VLOOKUP(I386,'Option Tables'!$B$23:$F$26,2)))+(G384*(VLOOKUP(I386,'Option Tables'!$B$23:$F$26,3)))+(F384*(VLOOKUP(I386,'Option Tables'!$B$23:$F$26,4))+(E384*(VLOOKUP(I386,'Option Tables'!$B$23:$F$26,5)))))</f>
        <v>0</v>
      </c>
      <c r="I390" s="355">
        <f>$D390*((I384*(VLOOKUP(I386,'Option Tables'!$B$23:$F$26,2)))+(H384*(VLOOKUP(I386,'Option Tables'!$B$23:$F$26,3)))+(G384*(VLOOKUP(I386,'Option Tables'!$B$23:$F$26,4))+(F384*(VLOOKUP(I386,'Option Tables'!$B$23:$F$26,5)))))</f>
        <v>0</v>
      </c>
      <c r="J390" s="355">
        <f>$D390*((J384*(VLOOKUP(I386,'Option Tables'!$B$23:$F$26,2)))+(I384*(VLOOKUP(I386,'Option Tables'!$B$23:$F$26,3)))+(H384*(VLOOKUP(I386,'Option Tables'!$B$23:$F$26,4))+(G384*(VLOOKUP(I386,'Option Tables'!$B$23:$F$26,5)))))</f>
        <v>0</v>
      </c>
      <c r="K390" s="355">
        <f>$D390*((K384*(VLOOKUP(I386,'Option Tables'!$B$23:$F$26,2)))+(J384*(VLOOKUP(I386,'Option Tables'!$B$23:$F$26,3)))+(I384*(VLOOKUP(I386,'Option Tables'!$B$23:$F$26,4))+(H384*(VLOOKUP(I386,'Option Tables'!$B$23:$F$26,5)))))</f>
        <v>0</v>
      </c>
      <c r="L390" s="355">
        <f>$D390*((L384*(VLOOKUP(I386,'Option Tables'!$B$23:$F$26,2)))+(K384*(VLOOKUP(I386,'Option Tables'!$B$23:$F$26,3)))+(J384*(VLOOKUP(I386,'Option Tables'!$B$23:$F$26,4))+(I384*(VLOOKUP(I386,'Option Tables'!$B$23:$F$26,5)))))</f>
        <v>0</v>
      </c>
      <c r="M390" s="355">
        <f>$D390*((M384*(VLOOKUP(I386,'Option Tables'!$B$23:$F$26,2)))+(L384*(VLOOKUP(I386,'Option Tables'!$B$23:$F$26,3)))+(K384*(VLOOKUP(I386,'Option Tables'!$B$23:$F$26,4))+(J384*(VLOOKUP(I386,'Option Tables'!$B$23:$F$26,5)))))</f>
        <v>0</v>
      </c>
      <c r="N390" s="355">
        <f>$D390*((N384*(VLOOKUP(I386,'Option Tables'!$B$23:$F$26,2)))+(M384*(VLOOKUP(I386,'Option Tables'!$B$23:$F$26,3)))+(L384*(VLOOKUP(I386,'Option Tables'!$B$23:$F$26,4))+(K384*(VLOOKUP(I386,'Option Tables'!$B$23:$F$26,5)))))</f>
        <v>0</v>
      </c>
      <c r="O390" s="355">
        <f>$D390*((O384*(VLOOKUP(I386,'Option Tables'!$B$23:$F$26,2)))+(N384*(VLOOKUP(I386,'Option Tables'!$B$23:$F$26,3)))+(M384*(VLOOKUP(I386,'Option Tables'!$B$23:$F$26,4))+(L384*(VLOOKUP(I386,'Option Tables'!$B$23:$F$26,5)))))</f>
        <v>0</v>
      </c>
      <c r="P390" s="465">
        <f>$D390*((P384*(VLOOKUP(I386,'Option Tables'!$B$23:$F$26,2)))+(O384*(VLOOKUP(I386,'Option Tables'!$B$23:$F$26,3)))+(N384*(VLOOKUP(I386,'Option Tables'!$B$23:$F$26,4))+(M384*(VLOOKUP(I386,'Option Tables'!$B$23:$F$26,5)))))</f>
        <v>0</v>
      </c>
      <c r="Q390" s="96"/>
    </row>
    <row r="391" spans="1:18" ht="15.75" customHeight="1" thickBot="1">
      <c r="A391" s="172"/>
      <c r="B391" s="97"/>
      <c r="C391" s="144" t="str">
        <f>IF(D391&lt;&gt;1,"Must equal %100","")</f>
        <v/>
      </c>
      <c r="D391" s="71">
        <f t="shared" ref="D391:P391" si="37">SUM(D387:D390)</f>
        <v>1</v>
      </c>
      <c r="E391" s="466">
        <f t="shared" si="37"/>
        <v>0</v>
      </c>
      <c r="F391" s="466">
        <f t="shared" si="37"/>
        <v>0</v>
      </c>
      <c r="G391" s="466">
        <f t="shared" si="37"/>
        <v>0</v>
      </c>
      <c r="H391" s="466">
        <f t="shared" si="37"/>
        <v>0</v>
      </c>
      <c r="I391" s="466">
        <f t="shared" si="37"/>
        <v>0</v>
      </c>
      <c r="J391" s="466">
        <f t="shared" si="37"/>
        <v>0</v>
      </c>
      <c r="K391" s="466">
        <f t="shared" si="37"/>
        <v>0</v>
      </c>
      <c r="L391" s="466">
        <f t="shared" si="37"/>
        <v>0</v>
      </c>
      <c r="M391" s="466">
        <f t="shared" si="37"/>
        <v>0</v>
      </c>
      <c r="N391" s="466">
        <f t="shared" si="37"/>
        <v>0</v>
      </c>
      <c r="O391" s="466">
        <f t="shared" si="37"/>
        <v>0</v>
      </c>
      <c r="P391" s="467">
        <f t="shared" si="37"/>
        <v>0</v>
      </c>
      <c r="Q391" s="96"/>
      <c r="R391" s="140"/>
    </row>
    <row r="392" spans="1:18" ht="15.75" customHeight="1" thickBot="1">
      <c r="A392" s="142" t="s">
        <v>269</v>
      </c>
      <c r="B392" s="95"/>
      <c r="C392" s="205"/>
      <c r="D392" s="98"/>
      <c r="E392" s="355"/>
      <c r="F392" s="358"/>
      <c r="G392" s="358"/>
      <c r="H392" s="358"/>
      <c r="I392" s="358"/>
      <c r="J392" s="355"/>
      <c r="K392" s="355"/>
      <c r="L392" s="355"/>
      <c r="M392" s="355"/>
      <c r="N392" s="355"/>
      <c r="O392" s="355"/>
      <c r="P392" s="465"/>
      <c r="Q392" s="96"/>
    </row>
    <row r="393" spans="1:18" ht="15.75" customHeight="1" thickBot="1">
      <c r="B393" s="85" t="s">
        <v>122</v>
      </c>
      <c r="C393" s="284" t="str">
        <f>VLOOKUP(B393,NodeList!$D$5:$E$73,2,FALSE)</f>
        <v>USGS 10026500:  Bear R. nr Randolph, UT</v>
      </c>
      <c r="D393" s="91"/>
      <c r="E393" s="450"/>
      <c r="F393" s="451"/>
      <c r="G393" s="452"/>
      <c r="H393" s="453" t="s">
        <v>54</v>
      </c>
      <c r="I393" s="68">
        <v>15</v>
      </c>
      <c r="J393" s="454"/>
      <c r="K393" s="454"/>
      <c r="L393" s="454"/>
      <c r="M393" s="454"/>
      <c r="N393" s="454"/>
      <c r="O393" s="454"/>
      <c r="P393" s="455"/>
      <c r="Q393" s="96"/>
    </row>
    <row r="394" spans="1:18" ht="15.75" customHeight="1">
      <c r="B394" s="94"/>
      <c r="C394" s="66" t="s">
        <v>57</v>
      </c>
      <c r="D394" s="69"/>
      <c r="E394" s="456">
        <f>VLOOKUP($B393,'Diversion Data'!$B$3:$O$227,3,FALSE)</f>
        <v>0</v>
      </c>
      <c r="F394" s="456">
        <f>VLOOKUP($B393,'Diversion Data'!$B$3:$O$227,4,FALSE)</f>
        <v>0</v>
      </c>
      <c r="G394" s="456">
        <f>VLOOKUP($B393,'Diversion Data'!$B$3:$O$227,5,FALSE)</f>
        <v>0</v>
      </c>
      <c r="H394" s="456">
        <f>VLOOKUP($B393,'Diversion Data'!$B$3:$O$227,6,FALSE)</f>
        <v>0</v>
      </c>
      <c r="I394" s="456">
        <f>VLOOKUP($B393,'Diversion Data'!$B$3:$O$227,7,FALSE)</f>
        <v>0</v>
      </c>
      <c r="J394" s="456">
        <f>VLOOKUP($B393,'Diversion Data'!$B$3:$O$227,8,FALSE)</f>
        <v>0</v>
      </c>
      <c r="K394" s="456">
        <f>VLOOKUP($B393,'Diversion Data'!$B$3:$O$227,9,FALSE)</f>
        <v>0</v>
      </c>
      <c r="L394" s="456">
        <f>VLOOKUP($B393,'Diversion Data'!$B$3:$O$227,10,FALSE)</f>
        <v>0</v>
      </c>
      <c r="M394" s="456">
        <f>VLOOKUP($B393,'Diversion Data'!$B$3:$O$227,11,FALSE)</f>
        <v>0</v>
      </c>
      <c r="N394" s="456">
        <f>VLOOKUP($B393,'Diversion Data'!$B$3:$O$227,12,FALSE)</f>
        <v>0</v>
      </c>
      <c r="O394" s="456">
        <f>VLOOKUP($B393,'Diversion Data'!$B$3:$O$227,13,FALSE)</f>
        <v>0</v>
      </c>
      <c r="P394" s="457">
        <f>VLOOKUP($B393,'Diversion Data'!$B$3:$O$227,14,FALSE)</f>
        <v>0</v>
      </c>
      <c r="Q394" s="96"/>
    </row>
    <row r="395" spans="1:18" ht="15.75" customHeight="1">
      <c r="B395" s="95"/>
      <c r="C395" s="72" t="s">
        <v>56</v>
      </c>
      <c r="D395" s="70"/>
      <c r="E395" s="458">
        <f>VLOOKUP($I393,'Option Tables'!$B$3:$N$19,2,FALSE)*E394</f>
        <v>0</v>
      </c>
      <c r="F395" s="458">
        <f>VLOOKUP($I393,'Option Tables'!$B$3:$N$19,3,FALSE)*F394</f>
        <v>0</v>
      </c>
      <c r="G395" s="458">
        <f>VLOOKUP($I393,'Option Tables'!$B$3:$N$19,4,FALSE)*G394</f>
        <v>0</v>
      </c>
      <c r="H395" s="458">
        <f>VLOOKUP($I393,'Option Tables'!$B$3:$N$19,5,FALSE)*H394</f>
        <v>0</v>
      </c>
      <c r="I395" s="458">
        <f>VLOOKUP($I393,'Option Tables'!$B$3:$N$19,6,FALSE)*I394</f>
        <v>0</v>
      </c>
      <c r="J395" s="458">
        <f>VLOOKUP($I393,'Option Tables'!$B$3:$N$19,7,FALSE)*J394</f>
        <v>0</v>
      </c>
      <c r="K395" s="458">
        <f>VLOOKUP($I393,'Option Tables'!$B$3:$N$19,8,FALSE)*K394</f>
        <v>0</v>
      </c>
      <c r="L395" s="458">
        <f>VLOOKUP($I393,'Option Tables'!$B$3:$N$19,9,FALSE)*L394</f>
        <v>0</v>
      </c>
      <c r="M395" s="458">
        <f>VLOOKUP($I393,'Option Tables'!$B$3:$N$19,10,FALSE)*M394</f>
        <v>0</v>
      </c>
      <c r="N395" s="458">
        <f>VLOOKUP($I393,'Option Tables'!$B$3:$N$19,11,FALSE)*N394</f>
        <v>0</v>
      </c>
      <c r="O395" s="458">
        <f>VLOOKUP($I393,'Option Tables'!$B$3:$N$19,12,FALSE)*O394</f>
        <v>0</v>
      </c>
      <c r="P395" s="459">
        <f>VLOOKUP($I393,'Option Tables'!$B$3:$N$19,13,FALSE)*P394</f>
        <v>0</v>
      </c>
      <c r="Q395" s="96"/>
    </row>
    <row r="396" spans="1:18" ht="15.75" customHeight="1" thickBot="1">
      <c r="B396" s="95"/>
      <c r="C396" s="66"/>
      <c r="D396" s="62"/>
      <c r="E396" s="355"/>
      <c r="F396" s="355"/>
      <c r="G396" s="355"/>
      <c r="H396" s="355"/>
      <c r="I396" s="355"/>
      <c r="J396" s="355"/>
      <c r="K396" s="355"/>
      <c r="L396" s="355"/>
      <c r="M396" s="460"/>
      <c r="N396" s="460"/>
      <c r="O396" s="460"/>
      <c r="P396" s="461"/>
      <c r="Q396" s="96"/>
    </row>
    <row r="397" spans="1:18" ht="15.75" customHeight="1" thickBot="1">
      <c r="B397" s="254" t="s">
        <v>73</v>
      </c>
      <c r="C397" s="105" t="s">
        <v>73</v>
      </c>
      <c r="D397" s="105" t="s">
        <v>74</v>
      </c>
      <c r="E397" s="462"/>
      <c r="F397" s="463"/>
      <c r="G397" s="464"/>
      <c r="H397" s="464" t="s">
        <v>55</v>
      </c>
      <c r="I397" s="68">
        <v>3</v>
      </c>
      <c r="J397" s="460"/>
      <c r="K397" s="460"/>
      <c r="L397" s="460"/>
      <c r="M397" s="460"/>
      <c r="N397" s="460"/>
      <c r="O397" s="460"/>
      <c r="P397" s="461"/>
      <c r="Q397" s="96"/>
    </row>
    <row r="398" spans="1:18" ht="15.75" customHeight="1">
      <c r="B398" s="255" t="e">
        <f>"("&amp;VLOOKUP(C398,NodeList!$D$5:$E$68,2,FALSE)&amp;")"</f>
        <v>#N/A</v>
      </c>
      <c r="C398" s="256"/>
      <c r="D398" s="388">
        <v>1</v>
      </c>
      <c r="E398" s="355">
        <f>$D398*((E395*(VLOOKUP(I397,'Option Tables'!$B$23:$F$26,2)))+(P395*(VLOOKUP(I397,'Option Tables'!$B$23:$F$26,3)))+(O395*(VLOOKUP(I397,'Option Tables'!$B$23:$F$26,4))+(N395*(VLOOKUP(I397,'Option Tables'!$B$23:$F$26,5)))))</f>
        <v>0</v>
      </c>
      <c r="F398" s="355">
        <f>$D398*((F395*(VLOOKUP(I397,'Option Tables'!$B$23:$F$26,2)))+(E395*(VLOOKUP(I397,'Option Tables'!$B$23:$F$26,3)))+(P395*(VLOOKUP(I397,'Option Tables'!$B$23:$F$26,4))+(O395*(VLOOKUP(I397,'Option Tables'!$B$23:$F$26,5)))))</f>
        <v>0</v>
      </c>
      <c r="G398" s="355">
        <f>$D398*((G395*(VLOOKUP(I397,'Option Tables'!$B$23:$F$26,2)))+(F395*(VLOOKUP(I397,'Option Tables'!$B$23:$F$26,3)))+(E395*(VLOOKUP(I397,'Option Tables'!$B$23:$F$26,4))+(P395*(VLOOKUP(I397,'Option Tables'!$B$23:$F$26,5)))))</f>
        <v>0</v>
      </c>
      <c r="H398" s="355">
        <f>$D398*((H395*(VLOOKUP(I397,'Option Tables'!$B$23:$F$26,2)))+(G395*(VLOOKUP(I397,'Option Tables'!$B$23:$F$26,3)))+(F395*(VLOOKUP(I397,'Option Tables'!$B$23:$F$26,4))+(E395*(VLOOKUP(I397,'Option Tables'!$B$23:$F$26,5)))))</f>
        <v>0</v>
      </c>
      <c r="I398" s="355">
        <f>$D398*((I395*(VLOOKUP(I397,'Option Tables'!$B$23:$F$26,2)))+(H395*(VLOOKUP(I397,'Option Tables'!$B$23:$F$26,3)))+(G395*(VLOOKUP(I397,'Option Tables'!$B$23:$F$26,4))+(F395*(VLOOKUP(I397,'Option Tables'!$B$23:$F$26,5)))))</f>
        <v>0</v>
      </c>
      <c r="J398" s="355">
        <f>$D398*((J395*(VLOOKUP(I397,'Option Tables'!$B$23:$F$26,2)))+(I395*(VLOOKUP(I397,'Option Tables'!$B$23:$F$26,3)))+(H395*(VLOOKUP(I397,'Option Tables'!$B$23:$F$26,4))+(G395*(VLOOKUP(I397,'Option Tables'!$B$23:$F$26,5)))))</f>
        <v>0</v>
      </c>
      <c r="K398" s="355">
        <f>$D398*((K395*(VLOOKUP(I397,'Option Tables'!$B$23:$F$26,2)))+(J395*(VLOOKUP(I397,'Option Tables'!$B$23:$F$26,3)))+(I395*(VLOOKUP(I397,'Option Tables'!$B$23:$F$26,4))+(H395*(VLOOKUP(I397,'Option Tables'!$B$23:$F$26,5)))))</f>
        <v>0</v>
      </c>
      <c r="L398" s="355">
        <f>$D398*((L395*(VLOOKUP(I397,'Option Tables'!$B$23:$F$26,2)))+(K395*(VLOOKUP(I397,'Option Tables'!$B$23:$F$26,3)))+(J395*(VLOOKUP(I397,'Option Tables'!$B$23:$F$26,4))+(I395*(VLOOKUP(I397,'Option Tables'!$B$23:$F$26,5)))))</f>
        <v>0</v>
      </c>
      <c r="M398" s="355">
        <f>$D398*((M395*(VLOOKUP(I397,'Option Tables'!$B$23:$F$26,2)))+(L395*(VLOOKUP(I397,'Option Tables'!$B$23:$F$26,3)))+(K395*(VLOOKUP(I397,'Option Tables'!$B$23:$F$26,4))+(J395*(VLOOKUP(I397,'Option Tables'!$B$23:$F$26,5)))))</f>
        <v>0</v>
      </c>
      <c r="N398" s="355">
        <f>$D398*((N395*(VLOOKUP(I397,'Option Tables'!$B$23:$F$26,2)))+(M395*(VLOOKUP(I397,'Option Tables'!$B$23:$F$26,3)))+(L395*(VLOOKUP(I397,'Option Tables'!$B$23:$F$26,4))+(K395*(VLOOKUP(I397,'Option Tables'!$B$23:$F$26,5)))))</f>
        <v>0</v>
      </c>
      <c r="O398" s="355">
        <f>$D398*((O395*(VLOOKUP(I397,'Option Tables'!$B$23:$F$26,2)))+(N395*(VLOOKUP(I397,'Option Tables'!$B$23:$F$26,3)))+(M395*(VLOOKUP(I397,'Option Tables'!$B$23:$F$26,4))+(L395*(VLOOKUP(I397,'Option Tables'!$B$23:$F$26,5)))))</f>
        <v>0</v>
      </c>
      <c r="P398" s="465">
        <f>$D398*((P395*(VLOOKUP(I397,'Option Tables'!$B$23:$F$26,2)))+(O395*(VLOOKUP(I397,'Option Tables'!$B$23:$F$26,3)))+(N395*(VLOOKUP(I397,'Option Tables'!$B$23:$F$26,4))+(M395*(VLOOKUP(I397,'Option Tables'!$B$23:$F$26,5)))))</f>
        <v>0</v>
      </c>
      <c r="Q398" s="96"/>
    </row>
    <row r="399" spans="1:18" ht="15.75" customHeight="1">
      <c r="B399" s="95"/>
      <c r="C399" s="256"/>
      <c r="D399" s="388">
        <v>0</v>
      </c>
      <c r="E399" s="355">
        <f>$D399*((E395*(VLOOKUP(I397,'Option Tables'!$B$23:$F$26,2)))+(P395*(VLOOKUP(I397,'Option Tables'!$B$23:$F$26,3)))+(O395*(VLOOKUP(I397,'Option Tables'!$B$23:$F$26,4))+(N395*(VLOOKUP(I397,'Option Tables'!$B$23:$F$26,5)))))</f>
        <v>0</v>
      </c>
      <c r="F399" s="355">
        <f>$D399*((F395*(VLOOKUP(I397,'Option Tables'!$B$23:$F$26,2)))+(E395*(VLOOKUP(I397,'Option Tables'!$B$23:$F$26,3)))+(P395*(VLOOKUP(I397,'Option Tables'!$B$23:$F$26,4))+(O395*(VLOOKUP(I397,'Option Tables'!$B$23:$F$26,5)))))</f>
        <v>0</v>
      </c>
      <c r="G399" s="355">
        <f>$D399*((G395*(VLOOKUP(I397,'Option Tables'!$B$23:$F$26,2)))+(F395*(VLOOKUP(I397,'Option Tables'!$B$23:$F$26,3)))+(E395*(VLOOKUP(I397,'Option Tables'!$B$23:$F$26,4))+(P395*(VLOOKUP(I397,'Option Tables'!$B$23:$F$26,5)))))</f>
        <v>0</v>
      </c>
      <c r="H399" s="355">
        <f>$D399*((H395*(VLOOKUP(I397,'Option Tables'!$B$23:$F$26,2)))+(G395*(VLOOKUP(I397,'Option Tables'!$B$23:$F$26,3)))+(F395*(VLOOKUP(I397,'Option Tables'!$B$23:$F$26,4))+(E395*(VLOOKUP(I397,'Option Tables'!$B$23:$F$26,5)))))</f>
        <v>0</v>
      </c>
      <c r="I399" s="355">
        <f>$D399*((I395*(VLOOKUP(I397,'Option Tables'!$B$23:$F$26,2)))+(H395*(VLOOKUP(I397,'Option Tables'!$B$23:$F$26,3)))+(G395*(VLOOKUP(I397,'Option Tables'!$B$23:$F$26,4))+(F395*(VLOOKUP(I397,'Option Tables'!$B$23:$F$26,5)))))</f>
        <v>0</v>
      </c>
      <c r="J399" s="355">
        <f>$D399*((J395*(VLOOKUP(I397,'Option Tables'!$B$23:$F$26,2)))+(I395*(VLOOKUP(I397,'Option Tables'!$B$23:$F$26,3)))+(H395*(VLOOKUP(I397,'Option Tables'!$B$23:$F$26,4))+(G395*(VLOOKUP(I397,'Option Tables'!$B$23:$F$26,5)))))</f>
        <v>0</v>
      </c>
      <c r="K399" s="355">
        <f>$D399*((K395*(VLOOKUP(I397,'Option Tables'!$B$23:$F$26,2)))+(J395*(VLOOKUP(I397,'Option Tables'!$B$23:$F$26,3)))+(I395*(VLOOKUP(I397,'Option Tables'!$B$23:$F$26,4))+(H395*(VLOOKUP(I397,'Option Tables'!$B$23:$F$26,5)))))</f>
        <v>0</v>
      </c>
      <c r="L399" s="355">
        <f>$D399*((L395*(VLOOKUP(I397,'Option Tables'!$B$23:$F$26,2)))+(K395*(VLOOKUP(I397,'Option Tables'!$B$23:$F$26,3)))+(J395*(VLOOKUP(I397,'Option Tables'!$B$23:$F$26,4))+(I395*(VLOOKUP(I397,'Option Tables'!$B$23:$F$26,5)))))</f>
        <v>0</v>
      </c>
      <c r="M399" s="355">
        <f>$D399*((M395*(VLOOKUP(I397,'Option Tables'!$B$23:$F$26,2)))+(L395*(VLOOKUP(I397,'Option Tables'!$B$23:$F$26,3)))+(K395*(VLOOKUP(I397,'Option Tables'!$B$23:$F$26,4))+(J395*(VLOOKUP(I397,'Option Tables'!$B$23:$F$26,5)))))</f>
        <v>0</v>
      </c>
      <c r="N399" s="355">
        <f>$D399*((N395*(VLOOKUP(I397,'Option Tables'!$B$23:$F$26,2)))+(M395*(VLOOKUP(I397,'Option Tables'!$B$23:$F$26,3)))+(L395*(VLOOKUP(I397,'Option Tables'!$B$23:$F$26,4))+(K395*(VLOOKUP(I397,'Option Tables'!$B$23:$F$26,5)))))</f>
        <v>0</v>
      </c>
      <c r="O399" s="355">
        <f>$D399*((O395*(VLOOKUP(I397,'Option Tables'!$B$23:$F$26,2)))+(N395*(VLOOKUP(I397,'Option Tables'!$B$23:$F$26,3)))+(M395*(VLOOKUP(I397,'Option Tables'!$B$23:$F$26,4))+(L395*(VLOOKUP(I397,'Option Tables'!$B$23:$F$26,5)))))</f>
        <v>0</v>
      </c>
      <c r="P399" s="465">
        <f>$D399*((P395*(VLOOKUP(I397,'Option Tables'!$B$23:$F$26,2)))+(O395*(VLOOKUP(I397,'Option Tables'!$B$23:$F$26,3)))+(N395*(VLOOKUP(I397,'Option Tables'!$B$23:$F$26,4))+(M395*(VLOOKUP(I397,'Option Tables'!$B$23:$F$26,5)))))</f>
        <v>0</v>
      </c>
      <c r="Q399" s="96"/>
    </row>
    <row r="400" spans="1:18" ht="15.75" customHeight="1">
      <c r="B400" s="95"/>
      <c r="C400" s="256"/>
      <c r="D400" s="388">
        <v>0</v>
      </c>
      <c r="E400" s="355">
        <f>$D400*((E395*(VLOOKUP(I397,'Option Tables'!$B$23:$F$26,2)))+(P395*(VLOOKUP(I397,'Option Tables'!$B$23:$F$26,3)))+(O395*(VLOOKUP(I397,'Option Tables'!$B$23:$F$26,4))+(N395*(VLOOKUP(I397,'Option Tables'!$B$23:$F$26,5)))))</f>
        <v>0</v>
      </c>
      <c r="F400" s="355">
        <f>$D400*((F395*(VLOOKUP(I397,'Option Tables'!$B$23:$F$26,2)))+(E395*(VLOOKUP(I397,'Option Tables'!$B$23:$F$26,3)))+(P395*(VLOOKUP(I397,'Option Tables'!$B$23:$F$26,4))+(O395*(VLOOKUP(I397,'Option Tables'!$B$23:$F$26,5)))))</f>
        <v>0</v>
      </c>
      <c r="G400" s="355">
        <f>$D400*((G395*(VLOOKUP(I397,'Option Tables'!$B$23:$F$26,2)))+(F395*(VLOOKUP(I397,'Option Tables'!$B$23:$F$26,3)))+(E395*(VLOOKUP(I397,'Option Tables'!$B$23:$F$26,4))+(P395*(VLOOKUP(I397,'Option Tables'!$B$23:$F$26,5)))))</f>
        <v>0</v>
      </c>
      <c r="H400" s="355">
        <f>$D400*((H395*(VLOOKUP(I397,'Option Tables'!$B$23:$F$26,2)))+(G395*(VLOOKUP(I397,'Option Tables'!$B$23:$F$26,3)))+(F395*(VLOOKUP(I397,'Option Tables'!$B$23:$F$26,4))+(E395*(VLOOKUP(I397,'Option Tables'!$B$23:$F$26,5)))))</f>
        <v>0</v>
      </c>
      <c r="I400" s="355">
        <f>$D400*((I395*(VLOOKUP(I397,'Option Tables'!$B$23:$F$26,2)))+(H395*(VLOOKUP(I397,'Option Tables'!$B$23:$F$26,3)))+(G395*(VLOOKUP(I397,'Option Tables'!$B$23:$F$26,4))+(F395*(VLOOKUP(I397,'Option Tables'!$B$23:$F$26,5)))))</f>
        <v>0</v>
      </c>
      <c r="J400" s="355">
        <f>$D400*((J395*(VLOOKUP(I397,'Option Tables'!$B$23:$F$26,2)))+(I395*(VLOOKUP(I397,'Option Tables'!$B$23:$F$26,3)))+(H395*(VLOOKUP(I397,'Option Tables'!$B$23:$F$26,4))+(G395*(VLOOKUP(I397,'Option Tables'!$B$23:$F$26,5)))))</f>
        <v>0</v>
      </c>
      <c r="K400" s="355">
        <f>$D400*((K395*(VLOOKUP(I397,'Option Tables'!$B$23:$F$26,2)))+(J395*(VLOOKUP(I397,'Option Tables'!$B$23:$F$26,3)))+(I395*(VLOOKUP(I397,'Option Tables'!$B$23:$F$26,4))+(H395*(VLOOKUP(I397,'Option Tables'!$B$23:$F$26,5)))))</f>
        <v>0</v>
      </c>
      <c r="L400" s="355">
        <f>$D400*((L395*(VLOOKUP(I397,'Option Tables'!$B$23:$F$26,2)))+(K395*(VLOOKUP(I397,'Option Tables'!$B$23:$F$26,3)))+(J395*(VLOOKUP(I397,'Option Tables'!$B$23:$F$26,4))+(I395*(VLOOKUP(I397,'Option Tables'!$B$23:$F$26,5)))))</f>
        <v>0</v>
      </c>
      <c r="M400" s="355">
        <f>$D400*((M395*(VLOOKUP(I397,'Option Tables'!$B$23:$F$26,2)))+(L395*(VLOOKUP(I397,'Option Tables'!$B$23:$F$26,3)))+(K395*(VLOOKUP(I397,'Option Tables'!$B$23:$F$26,4))+(J395*(VLOOKUP(I397,'Option Tables'!$B$23:$F$26,5)))))</f>
        <v>0</v>
      </c>
      <c r="N400" s="355">
        <f>$D400*((N395*(VLOOKUP(I397,'Option Tables'!$B$23:$F$26,2)))+(M395*(VLOOKUP(I397,'Option Tables'!$B$23:$F$26,3)))+(L395*(VLOOKUP(I397,'Option Tables'!$B$23:$F$26,4))+(K395*(VLOOKUP(I397,'Option Tables'!$B$23:$F$26,5)))))</f>
        <v>0</v>
      </c>
      <c r="O400" s="355">
        <f>$D400*((O395*(VLOOKUP(I397,'Option Tables'!$B$23:$F$26,2)))+(N395*(VLOOKUP(I397,'Option Tables'!$B$23:$F$26,3)))+(M395*(VLOOKUP(I397,'Option Tables'!$B$23:$F$26,4))+(L395*(VLOOKUP(I397,'Option Tables'!$B$23:$F$26,5)))))</f>
        <v>0</v>
      </c>
      <c r="P400" s="465">
        <f>$D400*((P395*(VLOOKUP(I397,'Option Tables'!$B$23:$F$26,2)))+(O395*(VLOOKUP(I397,'Option Tables'!$B$23:$F$26,3)))+(N395*(VLOOKUP(I397,'Option Tables'!$B$23:$F$26,4))+(M395*(VLOOKUP(I397,'Option Tables'!$B$23:$F$26,5)))))</f>
        <v>0</v>
      </c>
      <c r="Q400" s="96"/>
    </row>
    <row r="401" spans="1:18" ht="15.75" customHeight="1">
      <c r="B401" s="95"/>
      <c r="C401" s="256"/>
      <c r="D401" s="388">
        <v>0</v>
      </c>
      <c r="E401" s="355">
        <f>$D401*((E395*(VLOOKUP(I397,'Option Tables'!$B$23:$F$26,2)))+(P395*(VLOOKUP(I397,'Option Tables'!$B$23:$F$26,3)))+(O395*(VLOOKUP(I397,'Option Tables'!$B$23:$F$26,4))+(N395*(VLOOKUP(I397,'Option Tables'!$B$23:$F$26,5)))))</f>
        <v>0</v>
      </c>
      <c r="F401" s="355">
        <f>$D401*((F395*(VLOOKUP(I397,'Option Tables'!$B$23:$F$26,2)))+(E395*(VLOOKUP(I397,'Option Tables'!$B$23:$F$26,3)))+(P395*(VLOOKUP(I397,'Option Tables'!$B$23:$F$26,4))+(O395*(VLOOKUP(I397,'Option Tables'!$B$23:$F$26,5)))))</f>
        <v>0</v>
      </c>
      <c r="G401" s="355">
        <f>$D401*((G395*(VLOOKUP(I397,'Option Tables'!$B$23:$F$26,2)))+(F395*(VLOOKUP(I397,'Option Tables'!$B$23:$F$26,3)))+(E395*(VLOOKUP(I397,'Option Tables'!$B$23:$F$26,4))+(P395*(VLOOKUP(I397,'Option Tables'!$B$23:$F$26,5)))))</f>
        <v>0</v>
      </c>
      <c r="H401" s="355">
        <f>$D401*((H395*(VLOOKUP(I397,'Option Tables'!$B$23:$F$26,2)))+(G395*(VLOOKUP(I397,'Option Tables'!$B$23:$F$26,3)))+(F395*(VLOOKUP(I397,'Option Tables'!$B$23:$F$26,4))+(E395*(VLOOKUP(I397,'Option Tables'!$B$23:$F$26,5)))))</f>
        <v>0</v>
      </c>
      <c r="I401" s="355">
        <f>$D401*((I395*(VLOOKUP(I397,'Option Tables'!$B$23:$F$26,2)))+(H395*(VLOOKUP(I397,'Option Tables'!$B$23:$F$26,3)))+(G395*(VLOOKUP(I397,'Option Tables'!$B$23:$F$26,4))+(F395*(VLOOKUP(I397,'Option Tables'!$B$23:$F$26,5)))))</f>
        <v>0</v>
      </c>
      <c r="J401" s="355">
        <f>$D401*((J395*(VLOOKUP(I397,'Option Tables'!$B$23:$F$26,2)))+(I395*(VLOOKUP(I397,'Option Tables'!$B$23:$F$26,3)))+(H395*(VLOOKUP(I397,'Option Tables'!$B$23:$F$26,4))+(G395*(VLOOKUP(I397,'Option Tables'!$B$23:$F$26,5)))))</f>
        <v>0</v>
      </c>
      <c r="K401" s="355">
        <f>$D401*((K395*(VLOOKUP(I397,'Option Tables'!$B$23:$F$26,2)))+(J395*(VLOOKUP(I397,'Option Tables'!$B$23:$F$26,3)))+(I395*(VLOOKUP(I397,'Option Tables'!$B$23:$F$26,4))+(H395*(VLOOKUP(I397,'Option Tables'!$B$23:$F$26,5)))))</f>
        <v>0</v>
      </c>
      <c r="L401" s="355">
        <f>$D401*((L395*(VLOOKUP(I397,'Option Tables'!$B$23:$F$26,2)))+(K395*(VLOOKUP(I397,'Option Tables'!$B$23:$F$26,3)))+(J395*(VLOOKUP(I397,'Option Tables'!$B$23:$F$26,4))+(I395*(VLOOKUP(I397,'Option Tables'!$B$23:$F$26,5)))))</f>
        <v>0</v>
      </c>
      <c r="M401" s="355">
        <f>$D401*((M395*(VLOOKUP(I397,'Option Tables'!$B$23:$F$26,2)))+(L395*(VLOOKUP(I397,'Option Tables'!$B$23:$F$26,3)))+(K395*(VLOOKUP(I397,'Option Tables'!$B$23:$F$26,4))+(J395*(VLOOKUP(I397,'Option Tables'!$B$23:$F$26,5)))))</f>
        <v>0</v>
      </c>
      <c r="N401" s="355">
        <f>$D401*((N395*(VLOOKUP(I397,'Option Tables'!$B$23:$F$26,2)))+(M395*(VLOOKUP(I397,'Option Tables'!$B$23:$F$26,3)))+(L395*(VLOOKUP(I397,'Option Tables'!$B$23:$F$26,4))+(K395*(VLOOKUP(I397,'Option Tables'!$B$23:$F$26,5)))))</f>
        <v>0</v>
      </c>
      <c r="O401" s="355">
        <f>$D401*((O395*(VLOOKUP(I397,'Option Tables'!$B$23:$F$26,2)))+(N395*(VLOOKUP(I397,'Option Tables'!$B$23:$F$26,3)))+(M395*(VLOOKUP(I397,'Option Tables'!$B$23:$F$26,4))+(L395*(VLOOKUP(I397,'Option Tables'!$B$23:$F$26,5)))))</f>
        <v>0</v>
      </c>
      <c r="P401" s="465">
        <f>$D401*((P395*(VLOOKUP(I397,'Option Tables'!$B$23:$F$26,2)))+(O395*(VLOOKUP(I397,'Option Tables'!$B$23:$F$26,3)))+(N395*(VLOOKUP(I397,'Option Tables'!$B$23:$F$26,4))+(M395*(VLOOKUP(I397,'Option Tables'!$B$23:$F$26,5)))))</f>
        <v>0</v>
      </c>
      <c r="Q401" s="96"/>
    </row>
    <row r="402" spans="1:18" ht="15.75" customHeight="1" thickBot="1">
      <c r="B402" s="97"/>
      <c r="C402" s="144" t="str">
        <f>IF(D402&lt;&gt;1,"Must equal %100","")</f>
        <v/>
      </c>
      <c r="D402" s="71">
        <f t="shared" ref="D402:P402" si="38">SUM(D398:D401)</f>
        <v>1</v>
      </c>
      <c r="E402" s="466">
        <f t="shared" si="38"/>
        <v>0</v>
      </c>
      <c r="F402" s="466">
        <f t="shared" si="38"/>
        <v>0</v>
      </c>
      <c r="G402" s="466">
        <f t="shared" si="38"/>
        <v>0</v>
      </c>
      <c r="H402" s="466">
        <f t="shared" si="38"/>
        <v>0</v>
      </c>
      <c r="I402" s="466">
        <f t="shared" si="38"/>
        <v>0</v>
      </c>
      <c r="J402" s="466">
        <f t="shared" si="38"/>
        <v>0</v>
      </c>
      <c r="K402" s="466">
        <f t="shared" si="38"/>
        <v>0</v>
      </c>
      <c r="L402" s="466">
        <f t="shared" si="38"/>
        <v>0</v>
      </c>
      <c r="M402" s="466">
        <f t="shared" si="38"/>
        <v>0</v>
      </c>
      <c r="N402" s="466">
        <f t="shared" si="38"/>
        <v>0</v>
      </c>
      <c r="O402" s="466">
        <f t="shared" si="38"/>
        <v>0</v>
      </c>
      <c r="P402" s="467">
        <f t="shared" si="38"/>
        <v>0</v>
      </c>
      <c r="Q402" s="96"/>
      <c r="R402" s="140"/>
    </row>
    <row r="403" spans="1:18" ht="15.75" customHeight="1" thickBot="1">
      <c r="A403" s="172"/>
      <c r="B403" s="85" t="s">
        <v>164</v>
      </c>
      <c r="C403" s="257" t="str">
        <f>VLOOKUP(B403,NodeList!$D$5:$E$73,2,FALSE)</f>
        <v>Pixley Dam</v>
      </c>
      <c r="D403" s="91"/>
      <c r="E403" s="450"/>
      <c r="F403" s="451"/>
      <c r="G403" s="452"/>
      <c r="H403" s="453" t="s">
        <v>54</v>
      </c>
      <c r="I403" s="68">
        <v>33</v>
      </c>
      <c r="J403" s="454"/>
      <c r="K403" s="454"/>
      <c r="L403" s="454"/>
      <c r="M403" s="454"/>
      <c r="N403" s="454"/>
      <c r="O403" s="454"/>
      <c r="P403" s="455"/>
      <c r="Q403" s="96"/>
    </row>
    <row r="404" spans="1:18" ht="15.75" customHeight="1">
      <c r="A404" s="172"/>
      <c r="B404" s="94"/>
      <c r="C404" s="66" t="s">
        <v>57</v>
      </c>
      <c r="D404" s="69"/>
      <c r="E404" s="456">
        <f>VLOOKUP($B403,'Diversion Data'!$B$3:$O$227,3,FALSE)</f>
        <v>0</v>
      </c>
      <c r="F404" s="456">
        <f>VLOOKUP($B403,'Diversion Data'!$B$3:$O$227,4,FALSE)</f>
        <v>0</v>
      </c>
      <c r="G404" s="456">
        <f>VLOOKUP($B403,'Diversion Data'!$B$3:$O$227,5,FALSE)</f>
        <v>0</v>
      </c>
      <c r="H404" s="456">
        <f>VLOOKUP($B403,'Diversion Data'!$B$3:$O$227,6,FALSE)</f>
        <v>0</v>
      </c>
      <c r="I404" s="456">
        <f>VLOOKUP($B403,'Diversion Data'!$B$3:$O$227,7,FALSE)</f>
        <v>1205.3231878830682</v>
      </c>
      <c r="J404" s="456">
        <f>VLOOKUP($B403,'Diversion Data'!$B$3:$O$227,8,FALSE)</f>
        <v>2927.5541527096284</v>
      </c>
      <c r="K404" s="456">
        <f>VLOOKUP($B403,'Diversion Data'!$B$3:$O$227,9,FALSE)</f>
        <v>1019.7208562686881</v>
      </c>
      <c r="L404" s="456">
        <f>VLOOKUP($B403,'Diversion Data'!$B$3:$O$227,10,FALSE)</f>
        <v>31.247196749999997</v>
      </c>
      <c r="M404" s="456">
        <f>VLOOKUP($B403,'Diversion Data'!$B$3:$O$227,11,FALSE)</f>
        <v>47.612983778925624</v>
      </c>
      <c r="N404" s="456">
        <f>VLOOKUP($B403,'Diversion Data'!$B$3:$O$227,12,FALSE)</f>
        <v>0</v>
      </c>
      <c r="O404" s="456">
        <f>VLOOKUP($B403,'Diversion Data'!$B$3:$O$227,13,FALSE)</f>
        <v>0</v>
      </c>
      <c r="P404" s="457">
        <f>VLOOKUP($B403,'Diversion Data'!$B$3:$O$227,14,FALSE)</f>
        <v>0</v>
      </c>
      <c r="Q404" s="96"/>
    </row>
    <row r="405" spans="1:18" ht="15.75" customHeight="1">
      <c r="A405" s="172"/>
      <c r="B405" s="95"/>
      <c r="C405" s="72" t="s">
        <v>56</v>
      </c>
      <c r="D405" s="70"/>
      <c r="E405" s="458">
        <f>VLOOKUP($I403,'Option Tables'!$B$3:$N$19,2,FALSE)*E404</f>
        <v>0</v>
      </c>
      <c r="F405" s="458">
        <f>VLOOKUP($I403,'Option Tables'!$B$3:$N$19,3,FALSE)*F404</f>
        <v>0</v>
      </c>
      <c r="G405" s="458">
        <f>VLOOKUP($I403,'Option Tables'!$B$3:$N$19,4,FALSE)*G404</f>
        <v>0</v>
      </c>
      <c r="H405" s="458">
        <f>VLOOKUP($I403,'Option Tables'!$B$3:$N$19,5,FALSE)*H404</f>
        <v>0</v>
      </c>
      <c r="I405" s="458">
        <f>VLOOKUP($I403,'Option Tables'!$B$3:$N$19,6,FALSE)*I404</f>
        <v>795.51330400282507</v>
      </c>
      <c r="J405" s="458">
        <f>VLOOKUP($I403,'Option Tables'!$B$3:$N$19,7,FALSE)*J404</f>
        <v>1932.1857407883549</v>
      </c>
      <c r="K405" s="458">
        <f>VLOOKUP($I403,'Option Tables'!$B$3:$N$19,8,FALSE)*K404</f>
        <v>673.01576513733414</v>
      </c>
      <c r="L405" s="458">
        <f>VLOOKUP($I403,'Option Tables'!$B$3:$N$19,9,FALSE)*L404</f>
        <v>20.623149854999998</v>
      </c>
      <c r="M405" s="458">
        <f>VLOOKUP($I403,'Option Tables'!$B$3:$N$19,10,FALSE)*M404</f>
        <v>31.424569294090915</v>
      </c>
      <c r="N405" s="458">
        <f>VLOOKUP($I403,'Option Tables'!$B$3:$N$19,11,FALSE)*N404</f>
        <v>0</v>
      </c>
      <c r="O405" s="458">
        <f>VLOOKUP($I403,'Option Tables'!$B$3:$N$19,12,FALSE)*O404</f>
        <v>0</v>
      </c>
      <c r="P405" s="459">
        <f>VLOOKUP($I403,'Option Tables'!$B$3:$N$19,13,FALSE)*P404</f>
        <v>0</v>
      </c>
      <c r="Q405" s="96"/>
    </row>
    <row r="406" spans="1:18" ht="15.75" customHeight="1" thickBot="1">
      <c r="A406" s="172"/>
      <c r="B406" s="95"/>
      <c r="C406" s="66"/>
      <c r="D406" s="62"/>
      <c r="E406" s="355"/>
      <c r="F406" s="355"/>
      <c r="G406" s="355"/>
      <c r="H406" s="355"/>
      <c r="I406" s="355"/>
      <c r="J406" s="355"/>
      <c r="K406" s="355"/>
      <c r="L406" s="355"/>
      <c r="M406" s="460"/>
      <c r="N406" s="460"/>
      <c r="O406" s="460"/>
      <c r="P406" s="461"/>
      <c r="Q406" s="96"/>
    </row>
    <row r="407" spans="1:18" ht="15.75" customHeight="1" thickBot="1">
      <c r="A407" s="172"/>
      <c r="B407" s="254" t="s">
        <v>73</v>
      </c>
      <c r="C407" s="105" t="s">
        <v>73</v>
      </c>
      <c r="D407" s="105" t="s">
        <v>74</v>
      </c>
      <c r="E407" s="462"/>
      <c r="F407" s="463"/>
      <c r="G407" s="464"/>
      <c r="H407" s="464" t="s">
        <v>55</v>
      </c>
      <c r="I407" s="68">
        <v>2</v>
      </c>
      <c r="J407" s="460"/>
      <c r="K407" s="460"/>
      <c r="L407" s="460"/>
      <c r="M407" s="460"/>
      <c r="N407" s="460"/>
      <c r="O407" s="460"/>
      <c r="P407" s="461"/>
      <c r="Q407" s="96"/>
    </row>
    <row r="408" spans="1:18" ht="15.75" customHeight="1">
      <c r="A408" s="172"/>
      <c r="B408" s="255" t="str">
        <f>"("&amp;VLOOKUP(C408,NodeList!$D$5:$E$68,2,FALSE)&amp;")"</f>
        <v>(Confluence Smiths Fork / Bear)</v>
      </c>
      <c r="C408" s="256" t="s">
        <v>166</v>
      </c>
      <c r="D408" s="388">
        <v>1</v>
      </c>
      <c r="E408" s="355">
        <f>$D408*((E405*(VLOOKUP(I407,'Option Tables'!$B$23:$F$26,2)))+(P405*(VLOOKUP(I407,'Option Tables'!$B$23:$F$26,3)))+(O405*(VLOOKUP(I407,'Option Tables'!$B$23:$F$26,4))+(N405*(VLOOKUP(I407,'Option Tables'!$B$23:$F$26,5)))))</f>
        <v>0</v>
      </c>
      <c r="F408" s="355">
        <f>$D408*((F405*(VLOOKUP(I407,'Option Tables'!$B$23:$F$26,2)))+(E405*(VLOOKUP(I407,'Option Tables'!$B$23:$F$26,3)))+(P405*(VLOOKUP(I407,'Option Tables'!$B$23:$F$26,4))+(O405*(VLOOKUP(I407,'Option Tables'!$B$23:$F$26,5)))))</f>
        <v>0</v>
      </c>
      <c r="G408" s="355">
        <f>$D408*((G405*(VLOOKUP(I407,'Option Tables'!$B$23:$F$26,2)))+(F405*(VLOOKUP(I407,'Option Tables'!$B$23:$F$26,3)))+(E405*(VLOOKUP(I407,'Option Tables'!$B$23:$F$26,4))+(P405*(VLOOKUP(I407,'Option Tables'!$B$23:$F$26,5)))))</f>
        <v>0</v>
      </c>
      <c r="H408" s="355">
        <f>$D408*((H405*(VLOOKUP(I407,'Option Tables'!$B$23:$F$26,2)))+(G405*(VLOOKUP(I407,'Option Tables'!$B$23:$F$26,3)))+(F405*(VLOOKUP(I407,'Option Tables'!$B$23:$F$26,4))+(E405*(VLOOKUP(I407,'Option Tables'!$B$23:$F$26,5)))))</f>
        <v>0</v>
      </c>
      <c r="I408" s="355">
        <f>$D408*((I405*(VLOOKUP(I407,'Option Tables'!$B$23:$F$26,2)))+(H405*(VLOOKUP(I407,'Option Tables'!$B$23:$F$26,3)))+(G405*(VLOOKUP(I407,'Option Tables'!$B$23:$F$26,4))+(F405*(VLOOKUP(I407,'Option Tables'!$B$23:$F$26,5)))))</f>
        <v>556.85931280197747</v>
      </c>
      <c r="J408" s="355">
        <f>$D408*((J405*(VLOOKUP(I407,'Option Tables'!$B$23:$F$26,2)))+(I405*(VLOOKUP(I407,'Option Tables'!$B$23:$F$26,3)))+(H405*(VLOOKUP(I407,'Option Tables'!$B$23:$F$26,4))+(G405*(VLOOKUP(I407,'Option Tables'!$B$23:$F$26,5)))))</f>
        <v>1511.6326793524133</v>
      </c>
      <c r="K408" s="355">
        <f>$D408*((K405*(VLOOKUP(I407,'Option Tables'!$B$23:$F$26,2)))+(J405*(VLOOKUP(I407,'Option Tables'!$B$23:$F$26,3)))+(I405*(VLOOKUP(I407,'Option Tables'!$B$23:$F$26,4))+(H405*(VLOOKUP(I407,'Option Tables'!$B$23:$F$26,5)))))</f>
        <v>937.09951415408739</v>
      </c>
      <c r="L408" s="355">
        <f>$D408*((L405*(VLOOKUP(I407,'Option Tables'!$B$23:$F$26,2)))+(K405*(VLOOKUP(I407,'Option Tables'!$B$23:$F$26,3)))+(J405*(VLOOKUP(I407,'Option Tables'!$B$23:$F$26,4))+(I405*(VLOOKUP(I407,'Option Tables'!$B$23:$F$26,5)))))</f>
        <v>342.25793200480234</v>
      </c>
      <c r="M408" s="355">
        <f>$D408*((M405*(VLOOKUP(I407,'Option Tables'!$B$23:$F$26,2)))+(L405*(VLOOKUP(I407,'Option Tables'!$B$23:$F$26,3)))+(K405*(VLOOKUP(I407,'Option Tables'!$B$23:$F$26,4))+(J405*(VLOOKUP(I407,'Option Tables'!$B$23:$F$26,5)))))</f>
        <v>93.423404990597064</v>
      </c>
      <c r="N408" s="355">
        <f>$D408*((N405*(VLOOKUP(I407,'Option Tables'!$B$23:$F$26,2)))+(M405*(VLOOKUP(I407,'Option Tables'!$B$23:$F$26,3)))+(L405*(VLOOKUP(I407,'Option Tables'!$B$23:$F$26,4))+(K405*(VLOOKUP(I407,'Option Tables'!$B$23:$F$26,5)))))</f>
        <v>8.3472288443181828</v>
      </c>
      <c r="O408" s="355">
        <f>$D408*((O405*(VLOOKUP(I407,'Option Tables'!$B$23:$F$26,2)))+(N405*(VLOOKUP(I407,'Option Tables'!$B$23:$F$26,3)))+(M405*(VLOOKUP(I407,'Option Tables'!$B$23:$F$26,4))+(L405*(VLOOKUP(I407,'Option Tables'!$B$23:$F$26,5)))))</f>
        <v>3.1424569294090916</v>
      </c>
      <c r="P408" s="465">
        <f>$D408*((P405*(VLOOKUP(I407,'Option Tables'!$B$23:$F$26,2)))+(O405*(VLOOKUP(I407,'Option Tables'!$B$23:$F$26,3)))+(N405*(VLOOKUP(I407,'Option Tables'!$B$23:$F$26,4))+(M405*(VLOOKUP(I407,'Option Tables'!$B$23:$F$26,5)))))</f>
        <v>0</v>
      </c>
      <c r="Q408" s="96"/>
    </row>
    <row r="409" spans="1:18" ht="15.75" customHeight="1">
      <c r="A409" s="172"/>
      <c r="B409" s="255"/>
      <c r="C409" s="256"/>
      <c r="D409" s="388">
        <v>0</v>
      </c>
      <c r="E409" s="355">
        <f>$D409*((E405*(VLOOKUP(I407,'Option Tables'!$B$23:$F$26,2)))+(P405*(VLOOKUP(I407,'Option Tables'!$B$23:$F$26,3)))+(O405*(VLOOKUP(I407,'Option Tables'!$B$23:$F$26,4))+(N405*(VLOOKUP(I407,'Option Tables'!$B$23:$F$26,5)))))</f>
        <v>0</v>
      </c>
      <c r="F409" s="355">
        <f>$D409*((F405*(VLOOKUP(I407,'Option Tables'!$B$23:$F$26,2)))+(E405*(VLOOKUP(I407,'Option Tables'!$B$23:$F$26,3)))+(P405*(VLOOKUP(I407,'Option Tables'!$B$23:$F$26,4))+(O405*(VLOOKUP(I407,'Option Tables'!$B$23:$F$26,5)))))</f>
        <v>0</v>
      </c>
      <c r="G409" s="355">
        <f>$D409*((G405*(VLOOKUP(I407,'Option Tables'!$B$23:$F$26,2)))+(F405*(VLOOKUP(I407,'Option Tables'!$B$23:$F$26,3)))+(E405*(VLOOKUP(I407,'Option Tables'!$B$23:$F$26,4))+(P405*(VLOOKUP(I407,'Option Tables'!$B$23:$F$26,5)))))</f>
        <v>0</v>
      </c>
      <c r="H409" s="355">
        <f>$D409*((H405*(VLOOKUP(I407,'Option Tables'!$B$23:$F$26,2)))+(G405*(VLOOKUP(I407,'Option Tables'!$B$23:$F$26,3)))+(F405*(VLOOKUP(I407,'Option Tables'!$B$23:$F$26,4))+(E405*(VLOOKUP(I407,'Option Tables'!$B$23:$F$26,5)))))</f>
        <v>0</v>
      </c>
      <c r="I409" s="355">
        <f>$D409*((I405*(VLOOKUP(I407,'Option Tables'!$B$23:$F$26,2)))+(H405*(VLOOKUP(I407,'Option Tables'!$B$23:$F$26,3)))+(G405*(VLOOKUP(I407,'Option Tables'!$B$23:$F$26,4))+(F405*(VLOOKUP(I407,'Option Tables'!$B$23:$F$26,5)))))</f>
        <v>0</v>
      </c>
      <c r="J409" s="355">
        <f>$D409*((J405*(VLOOKUP(I407,'Option Tables'!$B$23:$F$26,2)))+(I405*(VLOOKUP(I407,'Option Tables'!$B$23:$F$26,3)))+(H405*(VLOOKUP(I407,'Option Tables'!$B$23:$F$26,4))+(G405*(VLOOKUP(I407,'Option Tables'!$B$23:$F$26,5)))))</f>
        <v>0</v>
      </c>
      <c r="K409" s="355">
        <f>$D409*((K405*(VLOOKUP(I407,'Option Tables'!$B$23:$F$26,2)))+(J405*(VLOOKUP(I407,'Option Tables'!$B$23:$F$26,3)))+(I405*(VLOOKUP(I407,'Option Tables'!$B$23:$F$26,4))+(H405*(VLOOKUP(I407,'Option Tables'!$B$23:$F$26,5)))))</f>
        <v>0</v>
      </c>
      <c r="L409" s="355">
        <f>$D409*((L405*(VLOOKUP(I407,'Option Tables'!$B$23:$F$26,2)))+(K405*(VLOOKUP(I407,'Option Tables'!$B$23:$F$26,3)))+(J405*(VLOOKUP(I407,'Option Tables'!$B$23:$F$26,4))+(I405*(VLOOKUP(I407,'Option Tables'!$B$23:$F$26,5)))))</f>
        <v>0</v>
      </c>
      <c r="M409" s="355">
        <f>$D409*((M405*(VLOOKUP(I407,'Option Tables'!$B$23:$F$26,2)))+(L405*(VLOOKUP(I407,'Option Tables'!$B$23:$F$26,3)))+(K405*(VLOOKUP(I407,'Option Tables'!$B$23:$F$26,4))+(J405*(VLOOKUP(I407,'Option Tables'!$B$23:$F$26,5)))))</f>
        <v>0</v>
      </c>
      <c r="N409" s="355">
        <f>$D409*((N405*(VLOOKUP(I407,'Option Tables'!$B$23:$F$26,2)))+(M405*(VLOOKUP(I407,'Option Tables'!$B$23:$F$26,3)))+(L405*(VLOOKUP(I407,'Option Tables'!$B$23:$F$26,4))+(K405*(VLOOKUP(I407,'Option Tables'!$B$23:$F$26,5)))))</f>
        <v>0</v>
      </c>
      <c r="O409" s="355">
        <f>$D409*((O405*(VLOOKUP(I407,'Option Tables'!$B$23:$F$26,2)))+(N405*(VLOOKUP(I407,'Option Tables'!$B$23:$F$26,3)))+(M405*(VLOOKUP(I407,'Option Tables'!$B$23:$F$26,4))+(L405*(VLOOKUP(I407,'Option Tables'!$B$23:$F$26,5)))))</f>
        <v>0</v>
      </c>
      <c r="P409" s="465">
        <f>$D409*((P405*(VLOOKUP(I407,'Option Tables'!$B$23:$F$26,2)))+(O405*(VLOOKUP(I407,'Option Tables'!$B$23:$F$26,3)))+(N405*(VLOOKUP(I407,'Option Tables'!$B$23:$F$26,4))+(M405*(VLOOKUP(I407,'Option Tables'!$B$23:$F$26,5)))))</f>
        <v>0</v>
      </c>
      <c r="Q409" s="96"/>
    </row>
    <row r="410" spans="1:18" ht="15.75" customHeight="1">
      <c r="A410" s="172"/>
      <c r="B410" s="95"/>
      <c r="C410" s="256"/>
      <c r="D410" s="388">
        <v>0</v>
      </c>
      <c r="E410" s="355">
        <f>$D410*((E405*(VLOOKUP(I407,'Option Tables'!$B$23:$F$26,2)))+(P405*(VLOOKUP(I407,'Option Tables'!$B$23:$F$26,3)))+(O405*(VLOOKUP(I407,'Option Tables'!$B$23:$F$26,4))+(N405*(VLOOKUP(I407,'Option Tables'!$B$23:$F$26,5)))))</f>
        <v>0</v>
      </c>
      <c r="F410" s="355">
        <f>$D410*((F405*(VLOOKUP(I407,'Option Tables'!$B$23:$F$26,2)))+(E405*(VLOOKUP(I407,'Option Tables'!$B$23:$F$26,3)))+(P405*(VLOOKUP(I407,'Option Tables'!$B$23:$F$26,4))+(O405*(VLOOKUP(I407,'Option Tables'!$B$23:$F$26,5)))))</f>
        <v>0</v>
      </c>
      <c r="G410" s="355">
        <f>$D410*((G405*(VLOOKUP(I407,'Option Tables'!$B$23:$F$26,2)))+(F405*(VLOOKUP(I407,'Option Tables'!$B$23:$F$26,3)))+(E405*(VLOOKUP(I407,'Option Tables'!$B$23:$F$26,4))+(P405*(VLOOKUP(I407,'Option Tables'!$B$23:$F$26,5)))))</f>
        <v>0</v>
      </c>
      <c r="H410" s="355">
        <f>$D410*((H405*(VLOOKUP(I407,'Option Tables'!$B$23:$F$26,2)))+(G405*(VLOOKUP(I407,'Option Tables'!$B$23:$F$26,3)))+(F405*(VLOOKUP(I407,'Option Tables'!$B$23:$F$26,4))+(E405*(VLOOKUP(I407,'Option Tables'!$B$23:$F$26,5)))))</f>
        <v>0</v>
      </c>
      <c r="I410" s="355">
        <f>$D410*((I405*(VLOOKUP(I407,'Option Tables'!$B$23:$F$26,2)))+(H405*(VLOOKUP(I407,'Option Tables'!$B$23:$F$26,3)))+(G405*(VLOOKUP(I407,'Option Tables'!$B$23:$F$26,4))+(F405*(VLOOKUP(I407,'Option Tables'!$B$23:$F$26,5)))))</f>
        <v>0</v>
      </c>
      <c r="J410" s="355">
        <f>$D410*((J405*(VLOOKUP(I407,'Option Tables'!$B$23:$F$26,2)))+(I405*(VLOOKUP(I407,'Option Tables'!$B$23:$F$26,3)))+(H405*(VLOOKUP(I407,'Option Tables'!$B$23:$F$26,4))+(G405*(VLOOKUP(I407,'Option Tables'!$B$23:$F$26,5)))))</f>
        <v>0</v>
      </c>
      <c r="K410" s="355">
        <f>$D410*((K405*(VLOOKUP(I407,'Option Tables'!$B$23:$F$26,2)))+(J405*(VLOOKUP(I407,'Option Tables'!$B$23:$F$26,3)))+(I405*(VLOOKUP(I407,'Option Tables'!$B$23:$F$26,4))+(H405*(VLOOKUP(I407,'Option Tables'!$B$23:$F$26,5)))))</f>
        <v>0</v>
      </c>
      <c r="L410" s="355">
        <f>$D410*((L405*(VLOOKUP(I407,'Option Tables'!$B$23:$F$26,2)))+(K405*(VLOOKUP(I407,'Option Tables'!$B$23:$F$26,3)))+(J405*(VLOOKUP(I407,'Option Tables'!$B$23:$F$26,4))+(I405*(VLOOKUP(I407,'Option Tables'!$B$23:$F$26,5)))))</f>
        <v>0</v>
      </c>
      <c r="M410" s="355">
        <f>$D410*((M405*(VLOOKUP(I407,'Option Tables'!$B$23:$F$26,2)))+(L405*(VLOOKUP(I407,'Option Tables'!$B$23:$F$26,3)))+(K405*(VLOOKUP(I407,'Option Tables'!$B$23:$F$26,4))+(J405*(VLOOKUP(I407,'Option Tables'!$B$23:$F$26,5)))))</f>
        <v>0</v>
      </c>
      <c r="N410" s="355">
        <f>$D410*((N405*(VLOOKUP(I407,'Option Tables'!$B$23:$F$26,2)))+(M405*(VLOOKUP(I407,'Option Tables'!$B$23:$F$26,3)))+(L405*(VLOOKUP(I407,'Option Tables'!$B$23:$F$26,4))+(K405*(VLOOKUP(I407,'Option Tables'!$B$23:$F$26,5)))))</f>
        <v>0</v>
      </c>
      <c r="O410" s="355">
        <f>$D410*((O405*(VLOOKUP(I407,'Option Tables'!$B$23:$F$26,2)))+(N405*(VLOOKUP(I407,'Option Tables'!$B$23:$F$26,3)))+(M405*(VLOOKUP(I407,'Option Tables'!$B$23:$F$26,4))+(L405*(VLOOKUP(I407,'Option Tables'!$B$23:$F$26,5)))))</f>
        <v>0</v>
      </c>
      <c r="P410" s="465">
        <f>$D410*((P405*(VLOOKUP(I407,'Option Tables'!$B$23:$F$26,2)))+(O405*(VLOOKUP(I407,'Option Tables'!$B$23:$F$26,3)))+(N405*(VLOOKUP(I407,'Option Tables'!$B$23:$F$26,4))+(M405*(VLOOKUP(I407,'Option Tables'!$B$23:$F$26,5)))))</f>
        <v>0</v>
      </c>
      <c r="Q410" s="96"/>
    </row>
    <row r="411" spans="1:18" ht="15.75" customHeight="1">
      <c r="A411" s="172"/>
      <c r="B411" s="95"/>
      <c r="C411" s="256"/>
      <c r="D411" s="388">
        <v>0</v>
      </c>
      <c r="E411" s="355">
        <f>$D411*((E405*(VLOOKUP(I407,'Option Tables'!$B$23:$F$26,2)))+(P405*(VLOOKUP(I407,'Option Tables'!$B$23:$F$26,3)))+(O405*(VLOOKUP(I407,'Option Tables'!$B$23:$F$26,4))+(N405*(VLOOKUP(I407,'Option Tables'!$B$23:$F$26,5)))))</f>
        <v>0</v>
      </c>
      <c r="F411" s="355">
        <f>$D411*((F405*(VLOOKUP(I407,'Option Tables'!$B$23:$F$26,2)))+(E405*(VLOOKUP(I407,'Option Tables'!$B$23:$F$26,3)))+(P405*(VLOOKUP(I407,'Option Tables'!$B$23:$F$26,4))+(O405*(VLOOKUP(I407,'Option Tables'!$B$23:$F$26,5)))))</f>
        <v>0</v>
      </c>
      <c r="G411" s="355">
        <f>$D411*((G405*(VLOOKUP(I407,'Option Tables'!$B$23:$F$26,2)))+(F405*(VLOOKUP(I407,'Option Tables'!$B$23:$F$26,3)))+(E405*(VLOOKUP(I407,'Option Tables'!$B$23:$F$26,4))+(P405*(VLOOKUP(I407,'Option Tables'!$B$23:$F$26,5)))))</f>
        <v>0</v>
      </c>
      <c r="H411" s="355">
        <f>$D411*((H405*(VLOOKUP(I407,'Option Tables'!$B$23:$F$26,2)))+(G405*(VLOOKUP(I407,'Option Tables'!$B$23:$F$26,3)))+(F405*(VLOOKUP(I407,'Option Tables'!$B$23:$F$26,4))+(E405*(VLOOKUP(I407,'Option Tables'!$B$23:$F$26,5)))))</f>
        <v>0</v>
      </c>
      <c r="I411" s="355">
        <f>$D411*((I405*(VLOOKUP(I407,'Option Tables'!$B$23:$F$26,2)))+(H405*(VLOOKUP(I407,'Option Tables'!$B$23:$F$26,3)))+(G405*(VLOOKUP(I407,'Option Tables'!$B$23:$F$26,4))+(F405*(VLOOKUP(I407,'Option Tables'!$B$23:$F$26,5)))))</f>
        <v>0</v>
      </c>
      <c r="J411" s="355">
        <f>$D411*((J405*(VLOOKUP(I407,'Option Tables'!$B$23:$F$26,2)))+(I405*(VLOOKUP(I407,'Option Tables'!$B$23:$F$26,3)))+(H405*(VLOOKUP(I407,'Option Tables'!$B$23:$F$26,4))+(G405*(VLOOKUP(I407,'Option Tables'!$B$23:$F$26,5)))))</f>
        <v>0</v>
      </c>
      <c r="K411" s="355">
        <f>$D411*((K405*(VLOOKUP(I407,'Option Tables'!$B$23:$F$26,2)))+(J405*(VLOOKUP(I407,'Option Tables'!$B$23:$F$26,3)))+(I405*(VLOOKUP(I407,'Option Tables'!$B$23:$F$26,4))+(H405*(VLOOKUP(I407,'Option Tables'!$B$23:$F$26,5)))))</f>
        <v>0</v>
      </c>
      <c r="L411" s="355">
        <f>$D411*((L405*(VLOOKUP(I407,'Option Tables'!$B$23:$F$26,2)))+(K405*(VLOOKUP(I407,'Option Tables'!$B$23:$F$26,3)))+(J405*(VLOOKUP(I407,'Option Tables'!$B$23:$F$26,4))+(I405*(VLOOKUP(I407,'Option Tables'!$B$23:$F$26,5)))))</f>
        <v>0</v>
      </c>
      <c r="M411" s="355">
        <f>$D411*((M405*(VLOOKUP(I407,'Option Tables'!$B$23:$F$26,2)))+(L405*(VLOOKUP(I407,'Option Tables'!$B$23:$F$26,3)))+(K405*(VLOOKUP(I407,'Option Tables'!$B$23:$F$26,4))+(J405*(VLOOKUP(I407,'Option Tables'!$B$23:$F$26,5)))))</f>
        <v>0</v>
      </c>
      <c r="N411" s="355">
        <f>$D411*((N405*(VLOOKUP(I407,'Option Tables'!$B$23:$F$26,2)))+(M405*(VLOOKUP(I407,'Option Tables'!$B$23:$F$26,3)))+(L405*(VLOOKUP(I407,'Option Tables'!$B$23:$F$26,4))+(K405*(VLOOKUP(I407,'Option Tables'!$B$23:$F$26,5)))))</f>
        <v>0</v>
      </c>
      <c r="O411" s="355">
        <f>$D411*((O405*(VLOOKUP(I407,'Option Tables'!$B$23:$F$26,2)))+(N405*(VLOOKUP(I407,'Option Tables'!$B$23:$F$26,3)))+(M405*(VLOOKUP(I407,'Option Tables'!$B$23:$F$26,4))+(L405*(VLOOKUP(I407,'Option Tables'!$B$23:$F$26,5)))))</f>
        <v>0</v>
      </c>
      <c r="P411" s="465">
        <f>$D411*((P405*(VLOOKUP(I407,'Option Tables'!$B$23:$F$26,2)))+(O405*(VLOOKUP(I407,'Option Tables'!$B$23:$F$26,3)))+(N405*(VLOOKUP(I407,'Option Tables'!$B$23:$F$26,4))+(M405*(VLOOKUP(I407,'Option Tables'!$B$23:$F$26,5)))))</f>
        <v>0</v>
      </c>
      <c r="Q411" s="96"/>
    </row>
    <row r="412" spans="1:18" ht="15.75" customHeight="1" thickBot="1">
      <c r="A412" s="172"/>
      <c r="B412" s="97"/>
      <c r="C412" s="144" t="str">
        <f>IF(D412&lt;&gt;1,"Must equal %100","")</f>
        <v/>
      </c>
      <c r="D412" s="71">
        <f t="shared" ref="D412:P412" si="39">SUM(D408:D411)</f>
        <v>1</v>
      </c>
      <c r="E412" s="466">
        <f t="shared" si="39"/>
        <v>0</v>
      </c>
      <c r="F412" s="466">
        <f t="shared" si="39"/>
        <v>0</v>
      </c>
      <c r="G412" s="466">
        <f t="shared" si="39"/>
        <v>0</v>
      </c>
      <c r="H412" s="466">
        <f t="shared" si="39"/>
        <v>0</v>
      </c>
      <c r="I412" s="466">
        <f t="shared" si="39"/>
        <v>556.85931280197747</v>
      </c>
      <c r="J412" s="466">
        <f t="shared" si="39"/>
        <v>1511.6326793524133</v>
      </c>
      <c r="K412" s="466">
        <f t="shared" si="39"/>
        <v>937.09951415408739</v>
      </c>
      <c r="L412" s="466">
        <f t="shared" si="39"/>
        <v>342.25793200480234</v>
      </c>
      <c r="M412" s="466">
        <f t="shared" si="39"/>
        <v>93.423404990597064</v>
      </c>
      <c r="N412" s="466">
        <f t="shared" si="39"/>
        <v>8.3472288443181828</v>
      </c>
      <c r="O412" s="466">
        <f t="shared" si="39"/>
        <v>3.1424569294090916</v>
      </c>
      <c r="P412" s="467">
        <f t="shared" si="39"/>
        <v>0</v>
      </c>
      <c r="Q412" s="96"/>
      <c r="R412" s="140"/>
    </row>
    <row r="413" spans="1:18" ht="15.75" customHeight="1" thickBot="1">
      <c r="B413" s="85" t="s">
        <v>270</v>
      </c>
      <c r="C413" s="284" t="str">
        <f>VLOOKUP(B413,NodeList!$D$5:$E$73,2,FALSE)</f>
        <v>BQ Dam</v>
      </c>
      <c r="D413" s="91"/>
      <c r="E413" s="450"/>
      <c r="F413" s="451"/>
      <c r="G413" s="452"/>
      <c r="H413" s="453" t="s">
        <v>54</v>
      </c>
      <c r="I413" s="68">
        <v>33</v>
      </c>
      <c r="J413" s="454"/>
      <c r="K413" s="454"/>
      <c r="L413" s="454"/>
      <c r="M413" s="454"/>
      <c r="N413" s="454"/>
      <c r="O413" s="454"/>
      <c r="P413" s="455"/>
      <c r="Q413" s="96"/>
    </row>
    <row r="414" spans="1:18" ht="15.75" customHeight="1">
      <c r="A414" s="172"/>
      <c r="B414" s="94"/>
      <c r="C414" s="66" t="s">
        <v>57</v>
      </c>
      <c r="D414" s="69"/>
      <c r="E414" s="456">
        <f>VLOOKUP($B413,'Diversion Data'!$B$3:$O$227,3,FALSE)</f>
        <v>0</v>
      </c>
      <c r="F414" s="456">
        <f>VLOOKUP($B413,'Diversion Data'!$B$3:$O$227,4,FALSE)</f>
        <v>0</v>
      </c>
      <c r="G414" s="456">
        <f>VLOOKUP($B413,'Diversion Data'!$B$3:$O$227,5,FALSE)</f>
        <v>0</v>
      </c>
      <c r="H414" s="456">
        <f>VLOOKUP($B413,'Diversion Data'!$B$3:$O$227,6,FALSE)</f>
        <v>0</v>
      </c>
      <c r="I414" s="456">
        <f>VLOOKUP($B413,'Diversion Data'!$B$3:$O$227,7,FALSE)</f>
        <v>1780.5680029354546</v>
      </c>
      <c r="J414" s="456">
        <f>VLOOKUP($B413,'Diversion Data'!$B$3:$O$227,8,FALSE)</f>
        <v>7433.0612931595351</v>
      </c>
      <c r="K414" s="456">
        <f>VLOOKUP($B413,'Diversion Data'!$B$3:$O$227,9,FALSE)</f>
        <v>2074.4859710805681</v>
      </c>
      <c r="L414" s="456">
        <f>VLOOKUP($B413,'Diversion Data'!$B$3:$O$227,10,FALSE)</f>
        <v>162.91801152272728</v>
      </c>
      <c r="M414" s="456">
        <f>VLOOKUP($B413,'Diversion Data'!$B$3:$O$227,11,FALSE)</f>
        <v>67.453907555785122</v>
      </c>
      <c r="N414" s="456">
        <f>VLOOKUP($B413,'Diversion Data'!$B$3:$O$227,12,FALSE)</f>
        <v>0</v>
      </c>
      <c r="O414" s="456">
        <f>VLOOKUP($B413,'Diversion Data'!$B$3:$O$227,13,FALSE)</f>
        <v>0</v>
      </c>
      <c r="P414" s="457">
        <f>VLOOKUP($B413,'Diversion Data'!$B$3:$O$227,14,FALSE)</f>
        <v>0</v>
      </c>
      <c r="Q414" s="96"/>
    </row>
    <row r="415" spans="1:18" ht="15.75" customHeight="1">
      <c r="A415" s="172"/>
      <c r="B415" s="95"/>
      <c r="C415" s="72" t="s">
        <v>56</v>
      </c>
      <c r="D415" s="70"/>
      <c r="E415" s="458">
        <f>VLOOKUP($I413,'Option Tables'!$B$3:$N$19,2,FALSE)*E414</f>
        <v>0</v>
      </c>
      <c r="F415" s="458">
        <f>VLOOKUP($I413,'Option Tables'!$B$3:$N$19,3,FALSE)*F414</f>
        <v>0</v>
      </c>
      <c r="G415" s="458">
        <f>VLOOKUP($I413,'Option Tables'!$B$3:$N$19,4,FALSE)*G414</f>
        <v>0</v>
      </c>
      <c r="H415" s="458">
        <f>VLOOKUP($I413,'Option Tables'!$B$3:$N$19,5,FALSE)*H414</f>
        <v>0</v>
      </c>
      <c r="I415" s="458">
        <f>VLOOKUP($I413,'Option Tables'!$B$3:$N$19,6,FALSE)*I414</f>
        <v>1175.1748819374002</v>
      </c>
      <c r="J415" s="458">
        <f>VLOOKUP($I413,'Option Tables'!$B$3:$N$19,7,FALSE)*J414</f>
        <v>4905.820453485293</v>
      </c>
      <c r="K415" s="458">
        <f>VLOOKUP($I413,'Option Tables'!$B$3:$N$19,8,FALSE)*K414</f>
        <v>1369.160740913175</v>
      </c>
      <c r="L415" s="458">
        <f>VLOOKUP($I413,'Option Tables'!$B$3:$N$19,9,FALSE)*L414</f>
        <v>107.52588760500001</v>
      </c>
      <c r="M415" s="458">
        <f>VLOOKUP($I413,'Option Tables'!$B$3:$N$19,10,FALSE)*M414</f>
        <v>44.519578986818182</v>
      </c>
      <c r="N415" s="458">
        <f>VLOOKUP($I413,'Option Tables'!$B$3:$N$19,11,FALSE)*N414</f>
        <v>0</v>
      </c>
      <c r="O415" s="458">
        <f>VLOOKUP($I413,'Option Tables'!$B$3:$N$19,12,FALSE)*O414</f>
        <v>0</v>
      </c>
      <c r="P415" s="459">
        <f>VLOOKUP($I413,'Option Tables'!$B$3:$N$19,13,FALSE)*P414</f>
        <v>0</v>
      </c>
      <c r="Q415" s="96"/>
    </row>
    <row r="416" spans="1:18" ht="15.75" customHeight="1" thickBot="1">
      <c r="A416" s="172"/>
      <c r="B416" s="95"/>
      <c r="C416" s="66"/>
      <c r="D416" s="62"/>
      <c r="E416" s="355"/>
      <c r="F416" s="355"/>
      <c r="G416" s="355"/>
      <c r="H416" s="355"/>
      <c r="I416" s="355"/>
      <c r="J416" s="355"/>
      <c r="K416" s="355"/>
      <c r="L416" s="355"/>
      <c r="M416" s="460"/>
      <c r="N416" s="460"/>
      <c r="O416" s="460"/>
      <c r="P416" s="461"/>
      <c r="Q416" s="96"/>
    </row>
    <row r="417" spans="1:18" ht="15.75" customHeight="1" thickBot="1">
      <c r="A417" s="172"/>
      <c r="B417" s="254" t="s">
        <v>73</v>
      </c>
      <c r="C417" s="105" t="s">
        <v>73</v>
      </c>
      <c r="D417" s="105" t="s">
        <v>74</v>
      </c>
      <c r="E417" s="462"/>
      <c r="F417" s="463"/>
      <c r="G417" s="464"/>
      <c r="H417" s="464" t="s">
        <v>55</v>
      </c>
      <c r="I417" s="68">
        <v>2</v>
      </c>
      <c r="J417" s="460"/>
      <c r="K417" s="460"/>
      <c r="L417" s="460"/>
      <c r="M417" s="460"/>
      <c r="N417" s="460"/>
      <c r="O417" s="460"/>
      <c r="P417" s="461"/>
      <c r="Q417" s="96"/>
    </row>
    <row r="418" spans="1:18" ht="15.75" customHeight="1">
      <c r="A418" s="172"/>
      <c r="B418" s="255" t="str">
        <f>"("&amp;VLOOKUP(C418,NodeList!$D$5:$E$68,2,FALSE)&amp;")"</f>
        <v>(Pixley Dam)</v>
      </c>
      <c r="C418" s="256" t="s">
        <v>164</v>
      </c>
      <c r="D418" s="388">
        <v>1</v>
      </c>
      <c r="E418" s="355">
        <f>$D418*((E415*(VLOOKUP(I417,'Option Tables'!$B$23:$F$26,2)))+(P415*(VLOOKUP(I417,'Option Tables'!$B$23:$F$26,3)))+(O415*(VLOOKUP(I417,'Option Tables'!$B$23:$F$26,4))+(N415*(VLOOKUP(I417,'Option Tables'!$B$23:$F$26,5)))))</f>
        <v>0</v>
      </c>
      <c r="F418" s="355">
        <f>$D418*((F415*(VLOOKUP(I417,'Option Tables'!$B$23:$F$26,2)))+(E415*(VLOOKUP(I417,'Option Tables'!$B$23:$F$26,3)))+(P415*(VLOOKUP(I417,'Option Tables'!$B$23:$F$26,4))+(O415*(VLOOKUP(I417,'Option Tables'!$B$23:$F$26,5)))))</f>
        <v>0</v>
      </c>
      <c r="G418" s="355">
        <f>$D418*((G415*(VLOOKUP(I417,'Option Tables'!$B$23:$F$26,2)))+(F415*(VLOOKUP(I417,'Option Tables'!$B$23:$F$26,3)))+(E415*(VLOOKUP(I417,'Option Tables'!$B$23:$F$26,4))+(P415*(VLOOKUP(I417,'Option Tables'!$B$23:$F$26,5)))))</f>
        <v>0</v>
      </c>
      <c r="H418" s="355">
        <f>$D418*((H415*(VLOOKUP(I417,'Option Tables'!$B$23:$F$26,2)))+(G415*(VLOOKUP(I417,'Option Tables'!$B$23:$F$26,3)))+(F415*(VLOOKUP(I417,'Option Tables'!$B$23:$F$26,4))+(E415*(VLOOKUP(I417,'Option Tables'!$B$23:$F$26,5)))))</f>
        <v>0</v>
      </c>
      <c r="I418" s="355">
        <f>$D418*((I415*(VLOOKUP(I417,'Option Tables'!$B$23:$F$26,2)))+(H415*(VLOOKUP(I417,'Option Tables'!$B$23:$F$26,3)))+(G415*(VLOOKUP(I417,'Option Tables'!$B$23:$F$26,4))+(F415*(VLOOKUP(I417,'Option Tables'!$B$23:$F$26,5)))))</f>
        <v>822.62241735618011</v>
      </c>
      <c r="J418" s="355">
        <f>$D418*((J415*(VLOOKUP(I417,'Option Tables'!$B$23:$F$26,2)))+(I415*(VLOOKUP(I417,'Option Tables'!$B$23:$F$26,3)))+(H415*(VLOOKUP(I417,'Option Tables'!$B$23:$F$26,4))+(G415*(VLOOKUP(I417,'Option Tables'!$B$23:$F$26,5)))))</f>
        <v>3669.109293827185</v>
      </c>
      <c r="K418" s="355">
        <f>$D418*((K415*(VLOOKUP(I417,'Option Tables'!$B$23:$F$26,2)))+(J415*(VLOOKUP(I417,'Option Tables'!$B$23:$F$26,3)))+(I415*(VLOOKUP(I417,'Option Tables'!$B$23:$F$26,4))+(H415*(VLOOKUP(I417,'Option Tables'!$B$23:$F$26,5)))))</f>
        <v>2057.0940975300209</v>
      </c>
      <c r="L418" s="355">
        <f>$D418*((L415*(VLOOKUP(I417,'Option Tables'!$B$23:$F$26,2)))+(K415*(VLOOKUP(I417,'Option Tables'!$B$23:$F$26,3)))+(J415*(VLOOKUP(I417,'Option Tables'!$B$23:$F$26,4))+(I415*(VLOOKUP(I417,'Option Tables'!$B$23:$F$26,5)))))</f>
        <v>839.68231485466436</v>
      </c>
      <c r="M418" s="355">
        <f>$D418*((M415*(VLOOKUP(I417,'Option Tables'!$B$23:$F$26,2)))+(L415*(VLOOKUP(I417,'Option Tables'!$B$23:$F$26,3)))+(K415*(VLOOKUP(I417,'Option Tables'!$B$23:$F$26,4))+(J415*(VLOOKUP(I417,'Option Tables'!$B$23:$F$26,5)))))</f>
        <v>189.58495690309024</v>
      </c>
      <c r="N418" s="355">
        <f>$D418*((N415*(VLOOKUP(I417,'Option Tables'!$B$23:$F$26,2)))+(M415*(VLOOKUP(I417,'Option Tables'!$B$23:$F$26,3)))+(L415*(VLOOKUP(I417,'Option Tables'!$B$23:$F$26,4))+(K415*(VLOOKUP(I417,'Option Tables'!$B$23:$F$26,5)))))</f>
        <v>19.656504557863638</v>
      </c>
      <c r="O418" s="355">
        <f>$D418*((O415*(VLOOKUP(I417,'Option Tables'!$B$23:$F$26,2)))+(N415*(VLOOKUP(I417,'Option Tables'!$B$23:$F$26,3)))+(M415*(VLOOKUP(I417,'Option Tables'!$B$23:$F$26,4))+(L415*(VLOOKUP(I417,'Option Tables'!$B$23:$F$26,5)))))</f>
        <v>4.451957898681818</v>
      </c>
      <c r="P418" s="465">
        <f>$D418*((P415*(VLOOKUP(I417,'Option Tables'!$B$23:$F$26,2)))+(O415*(VLOOKUP(I417,'Option Tables'!$B$23:$F$26,3)))+(N415*(VLOOKUP(I417,'Option Tables'!$B$23:$F$26,4))+(M415*(VLOOKUP(I417,'Option Tables'!$B$23:$F$26,5)))))</f>
        <v>0</v>
      </c>
      <c r="Q418" s="96"/>
    </row>
    <row r="419" spans="1:18" ht="15.75" customHeight="1">
      <c r="A419" s="172"/>
      <c r="B419" s="255"/>
      <c r="C419" s="256"/>
      <c r="D419" s="388">
        <v>0</v>
      </c>
      <c r="E419" s="355">
        <f>$D419*((E415*(VLOOKUP(I417,'Option Tables'!$B$23:$F$26,2)))+(P415*(VLOOKUP(I417,'Option Tables'!$B$23:$F$26,3)))+(O415*(VLOOKUP(I417,'Option Tables'!$B$23:$F$26,4))+(N415*(VLOOKUP(I417,'Option Tables'!$B$23:$F$26,5)))))</f>
        <v>0</v>
      </c>
      <c r="F419" s="355">
        <f>$D419*((F415*(VLOOKUP(I417,'Option Tables'!$B$23:$F$26,2)))+(E415*(VLOOKUP(I417,'Option Tables'!$B$23:$F$26,3)))+(P415*(VLOOKUP(I417,'Option Tables'!$B$23:$F$26,4))+(O415*(VLOOKUP(I417,'Option Tables'!$B$23:$F$26,5)))))</f>
        <v>0</v>
      </c>
      <c r="G419" s="355">
        <f>$D419*((G415*(VLOOKUP(I417,'Option Tables'!$B$23:$F$26,2)))+(F415*(VLOOKUP(I417,'Option Tables'!$B$23:$F$26,3)))+(E415*(VLOOKUP(I417,'Option Tables'!$B$23:$F$26,4))+(P415*(VLOOKUP(I417,'Option Tables'!$B$23:$F$26,5)))))</f>
        <v>0</v>
      </c>
      <c r="H419" s="355">
        <f>$D419*((H415*(VLOOKUP(I417,'Option Tables'!$B$23:$F$26,2)))+(G415*(VLOOKUP(I417,'Option Tables'!$B$23:$F$26,3)))+(F415*(VLOOKUP(I417,'Option Tables'!$B$23:$F$26,4))+(E415*(VLOOKUP(I417,'Option Tables'!$B$23:$F$26,5)))))</f>
        <v>0</v>
      </c>
      <c r="I419" s="355">
        <f>$D419*((I415*(VLOOKUP(I417,'Option Tables'!$B$23:$F$26,2)))+(H415*(VLOOKUP(I417,'Option Tables'!$B$23:$F$26,3)))+(G415*(VLOOKUP(I417,'Option Tables'!$B$23:$F$26,4))+(F415*(VLOOKUP(I417,'Option Tables'!$B$23:$F$26,5)))))</f>
        <v>0</v>
      </c>
      <c r="J419" s="355">
        <f>$D419*((J415*(VLOOKUP(I417,'Option Tables'!$B$23:$F$26,2)))+(I415*(VLOOKUP(I417,'Option Tables'!$B$23:$F$26,3)))+(H415*(VLOOKUP(I417,'Option Tables'!$B$23:$F$26,4))+(G415*(VLOOKUP(I417,'Option Tables'!$B$23:$F$26,5)))))</f>
        <v>0</v>
      </c>
      <c r="K419" s="355">
        <f>$D419*((K415*(VLOOKUP(I417,'Option Tables'!$B$23:$F$26,2)))+(J415*(VLOOKUP(I417,'Option Tables'!$B$23:$F$26,3)))+(I415*(VLOOKUP(I417,'Option Tables'!$B$23:$F$26,4))+(H415*(VLOOKUP(I417,'Option Tables'!$B$23:$F$26,5)))))</f>
        <v>0</v>
      </c>
      <c r="L419" s="355">
        <f>$D419*((L415*(VLOOKUP(I417,'Option Tables'!$B$23:$F$26,2)))+(K415*(VLOOKUP(I417,'Option Tables'!$B$23:$F$26,3)))+(J415*(VLOOKUP(I417,'Option Tables'!$B$23:$F$26,4))+(I415*(VLOOKUP(I417,'Option Tables'!$B$23:$F$26,5)))))</f>
        <v>0</v>
      </c>
      <c r="M419" s="355">
        <f>$D419*((M415*(VLOOKUP(I417,'Option Tables'!$B$23:$F$26,2)))+(L415*(VLOOKUP(I417,'Option Tables'!$B$23:$F$26,3)))+(K415*(VLOOKUP(I417,'Option Tables'!$B$23:$F$26,4))+(J415*(VLOOKUP(I417,'Option Tables'!$B$23:$F$26,5)))))</f>
        <v>0</v>
      </c>
      <c r="N419" s="355">
        <f>$D419*((N415*(VLOOKUP(I417,'Option Tables'!$B$23:$F$26,2)))+(M415*(VLOOKUP(I417,'Option Tables'!$B$23:$F$26,3)))+(L415*(VLOOKUP(I417,'Option Tables'!$B$23:$F$26,4))+(K415*(VLOOKUP(I417,'Option Tables'!$B$23:$F$26,5)))))</f>
        <v>0</v>
      </c>
      <c r="O419" s="355">
        <f>$D419*((O415*(VLOOKUP(I417,'Option Tables'!$B$23:$F$26,2)))+(N415*(VLOOKUP(I417,'Option Tables'!$B$23:$F$26,3)))+(M415*(VLOOKUP(I417,'Option Tables'!$B$23:$F$26,4))+(L415*(VLOOKUP(I417,'Option Tables'!$B$23:$F$26,5)))))</f>
        <v>0</v>
      </c>
      <c r="P419" s="465">
        <f>$D419*((P415*(VLOOKUP(I417,'Option Tables'!$B$23:$F$26,2)))+(O415*(VLOOKUP(I417,'Option Tables'!$B$23:$F$26,3)))+(N415*(VLOOKUP(I417,'Option Tables'!$B$23:$F$26,4))+(M415*(VLOOKUP(I417,'Option Tables'!$B$23:$F$26,5)))))</f>
        <v>0</v>
      </c>
      <c r="Q419" s="96"/>
    </row>
    <row r="420" spans="1:18" ht="15.75" customHeight="1">
      <c r="A420" s="172"/>
      <c r="B420" s="95"/>
      <c r="C420" s="256"/>
      <c r="D420" s="388">
        <v>0</v>
      </c>
      <c r="E420" s="355">
        <f>$D420*((E415*(VLOOKUP(I417,'Option Tables'!$B$23:$F$26,2)))+(P415*(VLOOKUP(I417,'Option Tables'!$B$23:$F$26,3)))+(O415*(VLOOKUP(I417,'Option Tables'!$B$23:$F$26,4))+(N415*(VLOOKUP(I417,'Option Tables'!$B$23:$F$26,5)))))</f>
        <v>0</v>
      </c>
      <c r="F420" s="355">
        <f>$D420*((F415*(VLOOKUP(I417,'Option Tables'!$B$23:$F$26,2)))+(E415*(VLOOKUP(I417,'Option Tables'!$B$23:$F$26,3)))+(P415*(VLOOKUP(I417,'Option Tables'!$B$23:$F$26,4))+(O415*(VLOOKUP(I417,'Option Tables'!$B$23:$F$26,5)))))</f>
        <v>0</v>
      </c>
      <c r="G420" s="355">
        <f>$D420*((G415*(VLOOKUP(I417,'Option Tables'!$B$23:$F$26,2)))+(F415*(VLOOKUP(I417,'Option Tables'!$B$23:$F$26,3)))+(E415*(VLOOKUP(I417,'Option Tables'!$B$23:$F$26,4))+(P415*(VLOOKUP(I417,'Option Tables'!$B$23:$F$26,5)))))</f>
        <v>0</v>
      </c>
      <c r="H420" s="355">
        <f>$D420*((H415*(VLOOKUP(I417,'Option Tables'!$B$23:$F$26,2)))+(G415*(VLOOKUP(I417,'Option Tables'!$B$23:$F$26,3)))+(F415*(VLOOKUP(I417,'Option Tables'!$B$23:$F$26,4))+(E415*(VLOOKUP(I417,'Option Tables'!$B$23:$F$26,5)))))</f>
        <v>0</v>
      </c>
      <c r="I420" s="355">
        <f>$D420*((I415*(VLOOKUP(I417,'Option Tables'!$B$23:$F$26,2)))+(H415*(VLOOKUP(I417,'Option Tables'!$B$23:$F$26,3)))+(G415*(VLOOKUP(I417,'Option Tables'!$B$23:$F$26,4))+(F415*(VLOOKUP(I417,'Option Tables'!$B$23:$F$26,5)))))</f>
        <v>0</v>
      </c>
      <c r="J420" s="355">
        <f>$D420*((J415*(VLOOKUP(I417,'Option Tables'!$B$23:$F$26,2)))+(I415*(VLOOKUP(I417,'Option Tables'!$B$23:$F$26,3)))+(H415*(VLOOKUP(I417,'Option Tables'!$B$23:$F$26,4))+(G415*(VLOOKUP(I417,'Option Tables'!$B$23:$F$26,5)))))</f>
        <v>0</v>
      </c>
      <c r="K420" s="355">
        <f>$D420*((K415*(VLOOKUP(I417,'Option Tables'!$B$23:$F$26,2)))+(J415*(VLOOKUP(I417,'Option Tables'!$B$23:$F$26,3)))+(I415*(VLOOKUP(I417,'Option Tables'!$B$23:$F$26,4))+(H415*(VLOOKUP(I417,'Option Tables'!$B$23:$F$26,5)))))</f>
        <v>0</v>
      </c>
      <c r="L420" s="355">
        <f>$D420*((L415*(VLOOKUP(I417,'Option Tables'!$B$23:$F$26,2)))+(K415*(VLOOKUP(I417,'Option Tables'!$B$23:$F$26,3)))+(J415*(VLOOKUP(I417,'Option Tables'!$B$23:$F$26,4))+(I415*(VLOOKUP(I417,'Option Tables'!$B$23:$F$26,5)))))</f>
        <v>0</v>
      </c>
      <c r="M420" s="355">
        <f>$D420*((M415*(VLOOKUP(I417,'Option Tables'!$B$23:$F$26,2)))+(L415*(VLOOKUP(I417,'Option Tables'!$B$23:$F$26,3)))+(K415*(VLOOKUP(I417,'Option Tables'!$B$23:$F$26,4))+(J415*(VLOOKUP(I417,'Option Tables'!$B$23:$F$26,5)))))</f>
        <v>0</v>
      </c>
      <c r="N420" s="355">
        <f>$D420*((N415*(VLOOKUP(I417,'Option Tables'!$B$23:$F$26,2)))+(M415*(VLOOKUP(I417,'Option Tables'!$B$23:$F$26,3)))+(L415*(VLOOKUP(I417,'Option Tables'!$B$23:$F$26,4))+(K415*(VLOOKUP(I417,'Option Tables'!$B$23:$F$26,5)))))</f>
        <v>0</v>
      </c>
      <c r="O420" s="355">
        <f>$D420*((O415*(VLOOKUP(I417,'Option Tables'!$B$23:$F$26,2)))+(N415*(VLOOKUP(I417,'Option Tables'!$B$23:$F$26,3)))+(M415*(VLOOKUP(I417,'Option Tables'!$B$23:$F$26,4))+(L415*(VLOOKUP(I417,'Option Tables'!$B$23:$F$26,5)))))</f>
        <v>0</v>
      </c>
      <c r="P420" s="465">
        <f>$D420*((P415*(VLOOKUP(I417,'Option Tables'!$B$23:$F$26,2)))+(O415*(VLOOKUP(I417,'Option Tables'!$B$23:$F$26,3)))+(N415*(VLOOKUP(I417,'Option Tables'!$B$23:$F$26,4))+(M415*(VLOOKUP(I417,'Option Tables'!$B$23:$F$26,5)))))</f>
        <v>0</v>
      </c>
      <c r="Q420" s="96"/>
    </row>
    <row r="421" spans="1:18" ht="15.75" customHeight="1">
      <c r="A421" s="172"/>
      <c r="B421" s="95"/>
      <c r="C421" s="256"/>
      <c r="D421" s="388">
        <v>0</v>
      </c>
      <c r="E421" s="355">
        <f>$D421*((E415*(VLOOKUP(I417,'Option Tables'!$B$23:$F$26,2)))+(P415*(VLOOKUP(I417,'Option Tables'!$B$23:$F$26,3)))+(O415*(VLOOKUP(I417,'Option Tables'!$B$23:$F$26,4))+(N415*(VLOOKUP(I417,'Option Tables'!$B$23:$F$26,5)))))</f>
        <v>0</v>
      </c>
      <c r="F421" s="355">
        <f>$D421*((F415*(VLOOKUP(I417,'Option Tables'!$B$23:$F$26,2)))+(E415*(VLOOKUP(I417,'Option Tables'!$B$23:$F$26,3)))+(P415*(VLOOKUP(I417,'Option Tables'!$B$23:$F$26,4))+(O415*(VLOOKUP(I417,'Option Tables'!$B$23:$F$26,5)))))</f>
        <v>0</v>
      </c>
      <c r="G421" s="355">
        <f>$D421*((G415*(VLOOKUP(I417,'Option Tables'!$B$23:$F$26,2)))+(F415*(VLOOKUP(I417,'Option Tables'!$B$23:$F$26,3)))+(E415*(VLOOKUP(I417,'Option Tables'!$B$23:$F$26,4))+(P415*(VLOOKUP(I417,'Option Tables'!$B$23:$F$26,5)))))</f>
        <v>0</v>
      </c>
      <c r="H421" s="355">
        <f>$D421*((H415*(VLOOKUP(I417,'Option Tables'!$B$23:$F$26,2)))+(G415*(VLOOKUP(I417,'Option Tables'!$B$23:$F$26,3)))+(F415*(VLOOKUP(I417,'Option Tables'!$B$23:$F$26,4))+(E415*(VLOOKUP(I417,'Option Tables'!$B$23:$F$26,5)))))</f>
        <v>0</v>
      </c>
      <c r="I421" s="355">
        <f>$D421*((I415*(VLOOKUP(I417,'Option Tables'!$B$23:$F$26,2)))+(H415*(VLOOKUP(I417,'Option Tables'!$B$23:$F$26,3)))+(G415*(VLOOKUP(I417,'Option Tables'!$B$23:$F$26,4))+(F415*(VLOOKUP(I417,'Option Tables'!$B$23:$F$26,5)))))</f>
        <v>0</v>
      </c>
      <c r="J421" s="355">
        <f>$D421*((J415*(VLOOKUP(I417,'Option Tables'!$B$23:$F$26,2)))+(I415*(VLOOKUP(I417,'Option Tables'!$B$23:$F$26,3)))+(H415*(VLOOKUP(I417,'Option Tables'!$B$23:$F$26,4))+(G415*(VLOOKUP(I417,'Option Tables'!$B$23:$F$26,5)))))</f>
        <v>0</v>
      </c>
      <c r="K421" s="355">
        <f>$D421*((K415*(VLOOKUP(I417,'Option Tables'!$B$23:$F$26,2)))+(J415*(VLOOKUP(I417,'Option Tables'!$B$23:$F$26,3)))+(I415*(VLOOKUP(I417,'Option Tables'!$B$23:$F$26,4))+(H415*(VLOOKUP(I417,'Option Tables'!$B$23:$F$26,5)))))</f>
        <v>0</v>
      </c>
      <c r="L421" s="355">
        <f>$D421*((L415*(VLOOKUP(I417,'Option Tables'!$B$23:$F$26,2)))+(K415*(VLOOKUP(I417,'Option Tables'!$B$23:$F$26,3)))+(J415*(VLOOKUP(I417,'Option Tables'!$B$23:$F$26,4))+(I415*(VLOOKUP(I417,'Option Tables'!$B$23:$F$26,5)))))</f>
        <v>0</v>
      </c>
      <c r="M421" s="355">
        <f>$D421*((M415*(VLOOKUP(I417,'Option Tables'!$B$23:$F$26,2)))+(L415*(VLOOKUP(I417,'Option Tables'!$B$23:$F$26,3)))+(K415*(VLOOKUP(I417,'Option Tables'!$B$23:$F$26,4))+(J415*(VLOOKUP(I417,'Option Tables'!$B$23:$F$26,5)))))</f>
        <v>0</v>
      </c>
      <c r="N421" s="355">
        <f>$D421*((N415*(VLOOKUP(I417,'Option Tables'!$B$23:$F$26,2)))+(M415*(VLOOKUP(I417,'Option Tables'!$B$23:$F$26,3)))+(L415*(VLOOKUP(I417,'Option Tables'!$B$23:$F$26,4))+(K415*(VLOOKUP(I417,'Option Tables'!$B$23:$F$26,5)))))</f>
        <v>0</v>
      </c>
      <c r="O421" s="355">
        <f>$D421*((O415*(VLOOKUP(I417,'Option Tables'!$B$23:$F$26,2)))+(N415*(VLOOKUP(I417,'Option Tables'!$B$23:$F$26,3)))+(M415*(VLOOKUP(I417,'Option Tables'!$B$23:$F$26,4))+(L415*(VLOOKUP(I417,'Option Tables'!$B$23:$F$26,5)))))</f>
        <v>0</v>
      </c>
      <c r="P421" s="465">
        <f>$D421*((P415*(VLOOKUP(I417,'Option Tables'!$B$23:$F$26,2)))+(O415*(VLOOKUP(I417,'Option Tables'!$B$23:$F$26,3)))+(N415*(VLOOKUP(I417,'Option Tables'!$B$23:$F$26,4))+(M415*(VLOOKUP(I417,'Option Tables'!$B$23:$F$26,5)))))</f>
        <v>0</v>
      </c>
      <c r="Q421" s="96"/>
    </row>
    <row r="422" spans="1:18" ht="15.75" customHeight="1" thickBot="1">
      <c r="A422" s="172"/>
      <c r="B422" s="97"/>
      <c r="C422" s="144" t="str">
        <f>IF(D422&lt;&gt;1,"Must equal %100","")</f>
        <v/>
      </c>
      <c r="D422" s="71">
        <f t="shared" ref="D422:P422" si="40">SUM(D418:D421)</f>
        <v>1</v>
      </c>
      <c r="E422" s="466">
        <f t="shared" si="40"/>
        <v>0</v>
      </c>
      <c r="F422" s="466">
        <f t="shared" si="40"/>
        <v>0</v>
      </c>
      <c r="G422" s="466">
        <f t="shared" si="40"/>
        <v>0</v>
      </c>
      <c r="H422" s="466">
        <f t="shared" si="40"/>
        <v>0</v>
      </c>
      <c r="I422" s="466">
        <f t="shared" si="40"/>
        <v>822.62241735618011</v>
      </c>
      <c r="J422" s="466">
        <f t="shared" si="40"/>
        <v>3669.109293827185</v>
      </c>
      <c r="K422" s="466">
        <f t="shared" si="40"/>
        <v>2057.0940975300209</v>
      </c>
      <c r="L422" s="466">
        <f t="shared" si="40"/>
        <v>839.68231485466436</v>
      </c>
      <c r="M422" s="466">
        <f t="shared" si="40"/>
        <v>189.58495690309024</v>
      </c>
      <c r="N422" s="466">
        <f t="shared" si="40"/>
        <v>19.656504557863638</v>
      </c>
      <c r="O422" s="466">
        <f t="shared" si="40"/>
        <v>4.451957898681818</v>
      </c>
      <c r="P422" s="467">
        <f t="shared" si="40"/>
        <v>0</v>
      </c>
      <c r="Q422" s="96"/>
      <c r="R422" s="140"/>
    </row>
    <row r="423" spans="1:18" ht="15.75" customHeight="1" thickBot="1">
      <c r="A423" s="142" t="s">
        <v>272</v>
      </c>
      <c r="B423" s="95"/>
      <c r="C423" s="205"/>
      <c r="D423" s="98"/>
      <c r="E423" s="355"/>
      <c r="F423" s="358"/>
      <c r="G423" s="358"/>
      <c r="H423" s="358"/>
      <c r="I423" s="358"/>
      <c r="J423" s="355"/>
      <c r="K423" s="355"/>
      <c r="L423" s="355"/>
      <c r="M423" s="355"/>
      <c r="N423" s="355"/>
      <c r="O423" s="355"/>
      <c r="P423" s="465"/>
      <c r="Q423" s="96"/>
    </row>
    <row r="424" spans="1:18" ht="15.75" customHeight="1" thickBot="1">
      <c r="B424" s="85" t="s">
        <v>123</v>
      </c>
      <c r="C424" s="284" t="str">
        <f>VLOOKUP(B424,NodeList!$D$5:$E$73,2,FALSE)</f>
        <v>USGS 10028500:  Bear R. bel Pixley Dam, near Cokeville, WY</v>
      </c>
      <c r="D424" s="91"/>
      <c r="E424" s="450"/>
      <c r="F424" s="451"/>
      <c r="G424" s="452"/>
      <c r="H424" s="453" t="s">
        <v>54</v>
      </c>
      <c r="I424" s="68">
        <v>15</v>
      </c>
      <c r="J424" s="454"/>
      <c r="K424" s="454"/>
      <c r="L424" s="454"/>
      <c r="M424" s="454"/>
      <c r="N424" s="454"/>
      <c r="O424" s="454"/>
      <c r="P424" s="455"/>
      <c r="Q424" s="96"/>
    </row>
    <row r="425" spans="1:18" ht="15.75" customHeight="1">
      <c r="B425" s="94"/>
      <c r="C425" s="66" t="s">
        <v>57</v>
      </c>
      <c r="D425" s="69"/>
      <c r="E425" s="456">
        <f>VLOOKUP($B424,'Diversion Data'!$B$3:$O$227,3,FALSE)</f>
        <v>0</v>
      </c>
      <c r="F425" s="456">
        <f>VLOOKUP($B424,'Diversion Data'!$B$3:$O$227,4,FALSE)</f>
        <v>0</v>
      </c>
      <c r="G425" s="456">
        <f>VLOOKUP($B424,'Diversion Data'!$B$3:$O$227,5,FALSE)</f>
        <v>0</v>
      </c>
      <c r="H425" s="456">
        <f>VLOOKUP($B424,'Diversion Data'!$B$3:$O$227,6,FALSE)</f>
        <v>0</v>
      </c>
      <c r="I425" s="456">
        <f>VLOOKUP($B424,'Diversion Data'!$B$3:$O$227,7,FALSE)</f>
        <v>0</v>
      </c>
      <c r="J425" s="456">
        <f>VLOOKUP($B424,'Diversion Data'!$B$3:$O$227,8,FALSE)</f>
        <v>0</v>
      </c>
      <c r="K425" s="456">
        <f>VLOOKUP($B424,'Diversion Data'!$B$3:$O$227,9,FALSE)</f>
        <v>0</v>
      </c>
      <c r="L425" s="456">
        <f>VLOOKUP($B424,'Diversion Data'!$B$3:$O$227,10,FALSE)</f>
        <v>0</v>
      </c>
      <c r="M425" s="456">
        <f>VLOOKUP($B424,'Diversion Data'!$B$3:$O$227,11,FALSE)</f>
        <v>0</v>
      </c>
      <c r="N425" s="456">
        <f>VLOOKUP($B424,'Diversion Data'!$B$3:$O$227,12,FALSE)</f>
        <v>0</v>
      </c>
      <c r="O425" s="456">
        <f>VLOOKUP($B424,'Diversion Data'!$B$3:$O$227,13,FALSE)</f>
        <v>0</v>
      </c>
      <c r="P425" s="457">
        <f>VLOOKUP($B424,'Diversion Data'!$B$3:$O$227,14,FALSE)</f>
        <v>0</v>
      </c>
      <c r="Q425" s="96"/>
    </row>
    <row r="426" spans="1:18" ht="15.75" customHeight="1">
      <c r="B426" s="95"/>
      <c r="C426" s="72" t="s">
        <v>56</v>
      </c>
      <c r="D426" s="70"/>
      <c r="E426" s="458">
        <f>VLOOKUP($I424,'Option Tables'!$B$3:$N$19,2,FALSE)*E425</f>
        <v>0</v>
      </c>
      <c r="F426" s="458">
        <f>VLOOKUP($I424,'Option Tables'!$B$3:$N$19,3,FALSE)*F425</f>
        <v>0</v>
      </c>
      <c r="G426" s="458">
        <f>VLOOKUP($I424,'Option Tables'!$B$3:$N$19,4,FALSE)*G425</f>
        <v>0</v>
      </c>
      <c r="H426" s="458">
        <f>VLOOKUP($I424,'Option Tables'!$B$3:$N$19,5,FALSE)*H425</f>
        <v>0</v>
      </c>
      <c r="I426" s="458">
        <f>VLOOKUP($I424,'Option Tables'!$B$3:$N$19,6,FALSE)*I425</f>
        <v>0</v>
      </c>
      <c r="J426" s="458">
        <f>VLOOKUP($I424,'Option Tables'!$B$3:$N$19,7,FALSE)*J425</f>
        <v>0</v>
      </c>
      <c r="K426" s="458">
        <f>VLOOKUP($I424,'Option Tables'!$B$3:$N$19,8,FALSE)*K425</f>
        <v>0</v>
      </c>
      <c r="L426" s="458">
        <f>VLOOKUP($I424,'Option Tables'!$B$3:$N$19,9,FALSE)*L425</f>
        <v>0</v>
      </c>
      <c r="M426" s="458">
        <f>VLOOKUP($I424,'Option Tables'!$B$3:$N$19,10,FALSE)*M425</f>
        <v>0</v>
      </c>
      <c r="N426" s="458">
        <f>VLOOKUP($I424,'Option Tables'!$B$3:$N$19,11,FALSE)*N425</f>
        <v>0</v>
      </c>
      <c r="O426" s="458">
        <f>VLOOKUP($I424,'Option Tables'!$B$3:$N$19,12,FALSE)*O425</f>
        <v>0</v>
      </c>
      <c r="P426" s="459">
        <f>VLOOKUP($I424,'Option Tables'!$B$3:$N$19,13,FALSE)*P425</f>
        <v>0</v>
      </c>
      <c r="Q426" s="96"/>
    </row>
    <row r="427" spans="1:18" ht="15.75" customHeight="1" thickBot="1">
      <c r="B427" s="95"/>
      <c r="C427" s="66"/>
      <c r="D427" s="62"/>
      <c r="E427" s="355"/>
      <c r="F427" s="355"/>
      <c r="G427" s="355"/>
      <c r="H427" s="355"/>
      <c r="I427" s="355"/>
      <c r="J427" s="355"/>
      <c r="K427" s="355"/>
      <c r="L427" s="355"/>
      <c r="M427" s="460"/>
      <c r="N427" s="460"/>
      <c r="O427" s="460"/>
      <c r="P427" s="461"/>
      <c r="Q427" s="96"/>
    </row>
    <row r="428" spans="1:18" ht="15.75" customHeight="1" thickBot="1">
      <c r="B428" s="254" t="s">
        <v>73</v>
      </c>
      <c r="C428" s="105" t="s">
        <v>73</v>
      </c>
      <c r="D428" s="105" t="s">
        <v>74</v>
      </c>
      <c r="E428" s="462"/>
      <c r="F428" s="463"/>
      <c r="G428" s="464"/>
      <c r="H428" s="464" t="s">
        <v>55</v>
      </c>
      <c r="I428" s="68">
        <v>3</v>
      </c>
      <c r="J428" s="460"/>
      <c r="K428" s="460"/>
      <c r="L428" s="460"/>
      <c r="M428" s="460"/>
      <c r="N428" s="460"/>
      <c r="O428" s="460"/>
      <c r="P428" s="461"/>
      <c r="Q428" s="96"/>
    </row>
    <row r="429" spans="1:18" ht="15.75" customHeight="1">
      <c r="B429" s="255" t="e">
        <f>"("&amp;VLOOKUP(C429,NodeList!$D$5:$E$68,2,FALSE)&amp;")"</f>
        <v>#N/A</v>
      </c>
      <c r="C429" s="256"/>
      <c r="D429" s="388">
        <v>1</v>
      </c>
      <c r="E429" s="355">
        <f>$D429*((E426*(VLOOKUP(I428,'Option Tables'!$B$23:$F$26,2)))+(P426*(VLOOKUP(I428,'Option Tables'!$B$23:$F$26,3)))+(O426*(VLOOKUP(I428,'Option Tables'!$B$23:$F$26,4))+(N426*(VLOOKUP(I428,'Option Tables'!$B$23:$F$26,5)))))</f>
        <v>0</v>
      </c>
      <c r="F429" s="355">
        <f>$D429*((F426*(VLOOKUP(I428,'Option Tables'!$B$23:$F$26,2)))+(E426*(VLOOKUP(I428,'Option Tables'!$B$23:$F$26,3)))+(P426*(VLOOKUP(I428,'Option Tables'!$B$23:$F$26,4))+(O426*(VLOOKUP(I428,'Option Tables'!$B$23:$F$26,5)))))</f>
        <v>0</v>
      </c>
      <c r="G429" s="355">
        <f>$D429*((G426*(VLOOKUP(I428,'Option Tables'!$B$23:$F$26,2)))+(F426*(VLOOKUP(I428,'Option Tables'!$B$23:$F$26,3)))+(E426*(VLOOKUP(I428,'Option Tables'!$B$23:$F$26,4))+(P426*(VLOOKUP(I428,'Option Tables'!$B$23:$F$26,5)))))</f>
        <v>0</v>
      </c>
      <c r="H429" s="355">
        <f>$D429*((H426*(VLOOKUP(I428,'Option Tables'!$B$23:$F$26,2)))+(G426*(VLOOKUP(I428,'Option Tables'!$B$23:$F$26,3)))+(F426*(VLOOKUP(I428,'Option Tables'!$B$23:$F$26,4))+(E426*(VLOOKUP(I428,'Option Tables'!$B$23:$F$26,5)))))</f>
        <v>0</v>
      </c>
      <c r="I429" s="355">
        <f>$D429*((I426*(VLOOKUP(I428,'Option Tables'!$B$23:$F$26,2)))+(H426*(VLOOKUP(I428,'Option Tables'!$B$23:$F$26,3)))+(G426*(VLOOKUP(I428,'Option Tables'!$B$23:$F$26,4))+(F426*(VLOOKUP(I428,'Option Tables'!$B$23:$F$26,5)))))</f>
        <v>0</v>
      </c>
      <c r="J429" s="355">
        <f>$D429*((J426*(VLOOKUP(I428,'Option Tables'!$B$23:$F$26,2)))+(I426*(VLOOKUP(I428,'Option Tables'!$B$23:$F$26,3)))+(H426*(VLOOKUP(I428,'Option Tables'!$B$23:$F$26,4))+(G426*(VLOOKUP(I428,'Option Tables'!$B$23:$F$26,5)))))</f>
        <v>0</v>
      </c>
      <c r="K429" s="355">
        <f>$D429*((K426*(VLOOKUP(I428,'Option Tables'!$B$23:$F$26,2)))+(J426*(VLOOKUP(I428,'Option Tables'!$B$23:$F$26,3)))+(I426*(VLOOKUP(I428,'Option Tables'!$B$23:$F$26,4))+(H426*(VLOOKUP(I428,'Option Tables'!$B$23:$F$26,5)))))</f>
        <v>0</v>
      </c>
      <c r="L429" s="355">
        <f>$D429*((L426*(VLOOKUP(I428,'Option Tables'!$B$23:$F$26,2)))+(K426*(VLOOKUP(I428,'Option Tables'!$B$23:$F$26,3)))+(J426*(VLOOKUP(I428,'Option Tables'!$B$23:$F$26,4))+(I426*(VLOOKUP(I428,'Option Tables'!$B$23:$F$26,5)))))</f>
        <v>0</v>
      </c>
      <c r="M429" s="355">
        <f>$D429*((M426*(VLOOKUP(I428,'Option Tables'!$B$23:$F$26,2)))+(L426*(VLOOKUP(I428,'Option Tables'!$B$23:$F$26,3)))+(K426*(VLOOKUP(I428,'Option Tables'!$B$23:$F$26,4))+(J426*(VLOOKUP(I428,'Option Tables'!$B$23:$F$26,5)))))</f>
        <v>0</v>
      </c>
      <c r="N429" s="355">
        <f>$D429*((N426*(VLOOKUP(I428,'Option Tables'!$B$23:$F$26,2)))+(M426*(VLOOKUP(I428,'Option Tables'!$B$23:$F$26,3)))+(L426*(VLOOKUP(I428,'Option Tables'!$B$23:$F$26,4))+(K426*(VLOOKUP(I428,'Option Tables'!$B$23:$F$26,5)))))</f>
        <v>0</v>
      </c>
      <c r="O429" s="355">
        <f>$D429*((O426*(VLOOKUP(I428,'Option Tables'!$B$23:$F$26,2)))+(N426*(VLOOKUP(I428,'Option Tables'!$B$23:$F$26,3)))+(M426*(VLOOKUP(I428,'Option Tables'!$B$23:$F$26,4))+(L426*(VLOOKUP(I428,'Option Tables'!$B$23:$F$26,5)))))</f>
        <v>0</v>
      </c>
      <c r="P429" s="465">
        <f>$D429*((P426*(VLOOKUP(I428,'Option Tables'!$B$23:$F$26,2)))+(O426*(VLOOKUP(I428,'Option Tables'!$B$23:$F$26,3)))+(N426*(VLOOKUP(I428,'Option Tables'!$B$23:$F$26,4))+(M426*(VLOOKUP(I428,'Option Tables'!$B$23:$F$26,5)))))</f>
        <v>0</v>
      </c>
      <c r="Q429" s="96"/>
    </row>
    <row r="430" spans="1:18" ht="15.75" customHeight="1">
      <c r="B430" s="95"/>
      <c r="C430" s="256"/>
      <c r="D430" s="388">
        <v>0</v>
      </c>
      <c r="E430" s="355">
        <f>$D430*((E426*(VLOOKUP(I428,'Option Tables'!$B$23:$F$26,2)))+(P426*(VLOOKUP(I428,'Option Tables'!$B$23:$F$26,3)))+(O426*(VLOOKUP(I428,'Option Tables'!$B$23:$F$26,4))+(N426*(VLOOKUP(I428,'Option Tables'!$B$23:$F$26,5)))))</f>
        <v>0</v>
      </c>
      <c r="F430" s="355">
        <f>$D430*((F426*(VLOOKUP(I428,'Option Tables'!$B$23:$F$26,2)))+(E426*(VLOOKUP(I428,'Option Tables'!$B$23:$F$26,3)))+(P426*(VLOOKUP(I428,'Option Tables'!$B$23:$F$26,4))+(O426*(VLOOKUP(I428,'Option Tables'!$B$23:$F$26,5)))))</f>
        <v>0</v>
      </c>
      <c r="G430" s="355">
        <f>$D430*((G426*(VLOOKUP(I428,'Option Tables'!$B$23:$F$26,2)))+(F426*(VLOOKUP(I428,'Option Tables'!$B$23:$F$26,3)))+(E426*(VLOOKUP(I428,'Option Tables'!$B$23:$F$26,4))+(P426*(VLOOKUP(I428,'Option Tables'!$B$23:$F$26,5)))))</f>
        <v>0</v>
      </c>
      <c r="H430" s="355">
        <f>$D430*((H426*(VLOOKUP(I428,'Option Tables'!$B$23:$F$26,2)))+(G426*(VLOOKUP(I428,'Option Tables'!$B$23:$F$26,3)))+(F426*(VLOOKUP(I428,'Option Tables'!$B$23:$F$26,4))+(E426*(VLOOKUP(I428,'Option Tables'!$B$23:$F$26,5)))))</f>
        <v>0</v>
      </c>
      <c r="I430" s="355">
        <f>$D430*((I426*(VLOOKUP(I428,'Option Tables'!$B$23:$F$26,2)))+(H426*(VLOOKUP(I428,'Option Tables'!$B$23:$F$26,3)))+(G426*(VLOOKUP(I428,'Option Tables'!$B$23:$F$26,4))+(F426*(VLOOKUP(I428,'Option Tables'!$B$23:$F$26,5)))))</f>
        <v>0</v>
      </c>
      <c r="J430" s="355">
        <f>$D430*((J426*(VLOOKUP(I428,'Option Tables'!$B$23:$F$26,2)))+(I426*(VLOOKUP(I428,'Option Tables'!$B$23:$F$26,3)))+(H426*(VLOOKUP(I428,'Option Tables'!$B$23:$F$26,4))+(G426*(VLOOKUP(I428,'Option Tables'!$B$23:$F$26,5)))))</f>
        <v>0</v>
      </c>
      <c r="K430" s="355">
        <f>$D430*((K426*(VLOOKUP(I428,'Option Tables'!$B$23:$F$26,2)))+(J426*(VLOOKUP(I428,'Option Tables'!$B$23:$F$26,3)))+(I426*(VLOOKUP(I428,'Option Tables'!$B$23:$F$26,4))+(H426*(VLOOKUP(I428,'Option Tables'!$B$23:$F$26,5)))))</f>
        <v>0</v>
      </c>
      <c r="L430" s="355">
        <f>$D430*((L426*(VLOOKUP(I428,'Option Tables'!$B$23:$F$26,2)))+(K426*(VLOOKUP(I428,'Option Tables'!$B$23:$F$26,3)))+(J426*(VLOOKUP(I428,'Option Tables'!$B$23:$F$26,4))+(I426*(VLOOKUP(I428,'Option Tables'!$B$23:$F$26,5)))))</f>
        <v>0</v>
      </c>
      <c r="M430" s="355">
        <f>$D430*((M426*(VLOOKUP(I428,'Option Tables'!$B$23:$F$26,2)))+(L426*(VLOOKUP(I428,'Option Tables'!$B$23:$F$26,3)))+(K426*(VLOOKUP(I428,'Option Tables'!$B$23:$F$26,4))+(J426*(VLOOKUP(I428,'Option Tables'!$B$23:$F$26,5)))))</f>
        <v>0</v>
      </c>
      <c r="N430" s="355">
        <f>$D430*((N426*(VLOOKUP(I428,'Option Tables'!$B$23:$F$26,2)))+(M426*(VLOOKUP(I428,'Option Tables'!$B$23:$F$26,3)))+(L426*(VLOOKUP(I428,'Option Tables'!$B$23:$F$26,4))+(K426*(VLOOKUP(I428,'Option Tables'!$B$23:$F$26,5)))))</f>
        <v>0</v>
      </c>
      <c r="O430" s="355">
        <f>$D430*((O426*(VLOOKUP(I428,'Option Tables'!$B$23:$F$26,2)))+(N426*(VLOOKUP(I428,'Option Tables'!$B$23:$F$26,3)))+(M426*(VLOOKUP(I428,'Option Tables'!$B$23:$F$26,4))+(L426*(VLOOKUP(I428,'Option Tables'!$B$23:$F$26,5)))))</f>
        <v>0</v>
      </c>
      <c r="P430" s="465">
        <f>$D430*((P426*(VLOOKUP(I428,'Option Tables'!$B$23:$F$26,2)))+(O426*(VLOOKUP(I428,'Option Tables'!$B$23:$F$26,3)))+(N426*(VLOOKUP(I428,'Option Tables'!$B$23:$F$26,4))+(M426*(VLOOKUP(I428,'Option Tables'!$B$23:$F$26,5)))))</f>
        <v>0</v>
      </c>
      <c r="Q430" s="96"/>
    </row>
    <row r="431" spans="1:18" ht="15.75" customHeight="1">
      <c r="B431" s="95"/>
      <c r="C431" s="256"/>
      <c r="D431" s="388">
        <v>0</v>
      </c>
      <c r="E431" s="355">
        <f>$D431*((E426*(VLOOKUP(I428,'Option Tables'!$B$23:$F$26,2)))+(P426*(VLOOKUP(I428,'Option Tables'!$B$23:$F$26,3)))+(O426*(VLOOKUP(I428,'Option Tables'!$B$23:$F$26,4))+(N426*(VLOOKUP(I428,'Option Tables'!$B$23:$F$26,5)))))</f>
        <v>0</v>
      </c>
      <c r="F431" s="355">
        <f>$D431*((F426*(VLOOKUP(I428,'Option Tables'!$B$23:$F$26,2)))+(E426*(VLOOKUP(I428,'Option Tables'!$B$23:$F$26,3)))+(P426*(VLOOKUP(I428,'Option Tables'!$B$23:$F$26,4))+(O426*(VLOOKUP(I428,'Option Tables'!$B$23:$F$26,5)))))</f>
        <v>0</v>
      </c>
      <c r="G431" s="355">
        <f>$D431*((G426*(VLOOKUP(I428,'Option Tables'!$B$23:$F$26,2)))+(F426*(VLOOKUP(I428,'Option Tables'!$B$23:$F$26,3)))+(E426*(VLOOKUP(I428,'Option Tables'!$B$23:$F$26,4))+(P426*(VLOOKUP(I428,'Option Tables'!$B$23:$F$26,5)))))</f>
        <v>0</v>
      </c>
      <c r="H431" s="355">
        <f>$D431*((H426*(VLOOKUP(I428,'Option Tables'!$B$23:$F$26,2)))+(G426*(VLOOKUP(I428,'Option Tables'!$B$23:$F$26,3)))+(F426*(VLOOKUP(I428,'Option Tables'!$B$23:$F$26,4))+(E426*(VLOOKUP(I428,'Option Tables'!$B$23:$F$26,5)))))</f>
        <v>0</v>
      </c>
      <c r="I431" s="355">
        <f>$D431*((I426*(VLOOKUP(I428,'Option Tables'!$B$23:$F$26,2)))+(H426*(VLOOKUP(I428,'Option Tables'!$B$23:$F$26,3)))+(G426*(VLOOKUP(I428,'Option Tables'!$B$23:$F$26,4))+(F426*(VLOOKUP(I428,'Option Tables'!$B$23:$F$26,5)))))</f>
        <v>0</v>
      </c>
      <c r="J431" s="355">
        <f>$D431*((J426*(VLOOKUP(I428,'Option Tables'!$B$23:$F$26,2)))+(I426*(VLOOKUP(I428,'Option Tables'!$B$23:$F$26,3)))+(H426*(VLOOKUP(I428,'Option Tables'!$B$23:$F$26,4))+(G426*(VLOOKUP(I428,'Option Tables'!$B$23:$F$26,5)))))</f>
        <v>0</v>
      </c>
      <c r="K431" s="355">
        <f>$D431*((K426*(VLOOKUP(I428,'Option Tables'!$B$23:$F$26,2)))+(J426*(VLOOKUP(I428,'Option Tables'!$B$23:$F$26,3)))+(I426*(VLOOKUP(I428,'Option Tables'!$B$23:$F$26,4))+(H426*(VLOOKUP(I428,'Option Tables'!$B$23:$F$26,5)))))</f>
        <v>0</v>
      </c>
      <c r="L431" s="355">
        <f>$D431*((L426*(VLOOKUP(I428,'Option Tables'!$B$23:$F$26,2)))+(K426*(VLOOKUP(I428,'Option Tables'!$B$23:$F$26,3)))+(J426*(VLOOKUP(I428,'Option Tables'!$B$23:$F$26,4))+(I426*(VLOOKUP(I428,'Option Tables'!$B$23:$F$26,5)))))</f>
        <v>0</v>
      </c>
      <c r="M431" s="355">
        <f>$D431*((M426*(VLOOKUP(I428,'Option Tables'!$B$23:$F$26,2)))+(L426*(VLOOKUP(I428,'Option Tables'!$B$23:$F$26,3)))+(K426*(VLOOKUP(I428,'Option Tables'!$B$23:$F$26,4))+(J426*(VLOOKUP(I428,'Option Tables'!$B$23:$F$26,5)))))</f>
        <v>0</v>
      </c>
      <c r="N431" s="355">
        <f>$D431*((N426*(VLOOKUP(I428,'Option Tables'!$B$23:$F$26,2)))+(M426*(VLOOKUP(I428,'Option Tables'!$B$23:$F$26,3)))+(L426*(VLOOKUP(I428,'Option Tables'!$B$23:$F$26,4))+(K426*(VLOOKUP(I428,'Option Tables'!$B$23:$F$26,5)))))</f>
        <v>0</v>
      </c>
      <c r="O431" s="355">
        <f>$D431*((O426*(VLOOKUP(I428,'Option Tables'!$B$23:$F$26,2)))+(N426*(VLOOKUP(I428,'Option Tables'!$B$23:$F$26,3)))+(M426*(VLOOKUP(I428,'Option Tables'!$B$23:$F$26,4))+(L426*(VLOOKUP(I428,'Option Tables'!$B$23:$F$26,5)))))</f>
        <v>0</v>
      </c>
      <c r="P431" s="465">
        <f>$D431*((P426*(VLOOKUP(I428,'Option Tables'!$B$23:$F$26,2)))+(O426*(VLOOKUP(I428,'Option Tables'!$B$23:$F$26,3)))+(N426*(VLOOKUP(I428,'Option Tables'!$B$23:$F$26,4))+(M426*(VLOOKUP(I428,'Option Tables'!$B$23:$F$26,5)))))</f>
        <v>0</v>
      </c>
      <c r="Q431" s="96"/>
    </row>
    <row r="432" spans="1:18" ht="15.75" customHeight="1">
      <c r="B432" s="95"/>
      <c r="C432" s="256"/>
      <c r="D432" s="388">
        <v>0</v>
      </c>
      <c r="E432" s="355">
        <f>$D432*((E426*(VLOOKUP(I428,'Option Tables'!$B$23:$F$26,2)))+(P426*(VLOOKUP(I428,'Option Tables'!$B$23:$F$26,3)))+(O426*(VLOOKUP(I428,'Option Tables'!$B$23:$F$26,4))+(N426*(VLOOKUP(I428,'Option Tables'!$B$23:$F$26,5)))))</f>
        <v>0</v>
      </c>
      <c r="F432" s="355">
        <f>$D432*((F426*(VLOOKUP(I428,'Option Tables'!$B$23:$F$26,2)))+(E426*(VLOOKUP(I428,'Option Tables'!$B$23:$F$26,3)))+(P426*(VLOOKUP(I428,'Option Tables'!$B$23:$F$26,4))+(O426*(VLOOKUP(I428,'Option Tables'!$B$23:$F$26,5)))))</f>
        <v>0</v>
      </c>
      <c r="G432" s="355">
        <f>$D432*((G426*(VLOOKUP(I428,'Option Tables'!$B$23:$F$26,2)))+(F426*(VLOOKUP(I428,'Option Tables'!$B$23:$F$26,3)))+(E426*(VLOOKUP(I428,'Option Tables'!$B$23:$F$26,4))+(P426*(VLOOKUP(I428,'Option Tables'!$B$23:$F$26,5)))))</f>
        <v>0</v>
      </c>
      <c r="H432" s="355">
        <f>$D432*((H426*(VLOOKUP(I428,'Option Tables'!$B$23:$F$26,2)))+(G426*(VLOOKUP(I428,'Option Tables'!$B$23:$F$26,3)))+(F426*(VLOOKUP(I428,'Option Tables'!$B$23:$F$26,4))+(E426*(VLOOKUP(I428,'Option Tables'!$B$23:$F$26,5)))))</f>
        <v>0</v>
      </c>
      <c r="I432" s="355">
        <f>$D432*((I426*(VLOOKUP(I428,'Option Tables'!$B$23:$F$26,2)))+(H426*(VLOOKUP(I428,'Option Tables'!$B$23:$F$26,3)))+(G426*(VLOOKUP(I428,'Option Tables'!$B$23:$F$26,4))+(F426*(VLOOKUP(I428,'Option Tables'!$B$23:$F$26,5)))))</f>
        <v>0</v>
      </c>
      <c r="J432" s="355">
        <f>$D432*((J426*(VLOOKUP(I428,'Option Tables'!$B$23:$F$26,2)))+(I426*(VLOOKUP(I428,'Option Tables'!$B$23:$F$26,3)))+(H426*(VLOOKUP(I428,'Option Tables'!$B$23:$F$26,4))+(G426*(VLOOKUP(I428,'Option Tables'!$B$23:$F$26,5)))))</f>
        <v>0</v>
      </c>
      <c r="K432" s="355">
        <f>$D432*((K426*(VLOOKUP(I428,'Option Tables'!$B$23:$F$26,2)))+(J426*(VLOOKUP(I428,'Option Tables'!$B$23:$F$26,3)))+(I426*(VLOOKUP(I428,'Option Tables'!$B$23:$F$26,4))+(H426*(VLOOKUP(I428,'Option Tables'!$B$23:$F$26,5)))))</f>
        <v>0</v>
      </c>
      <c r="L432" s="355">
        <f>$D432*((L426*(VLOOKUP(I428,'Option Tables'!$B$23:$F$26,2)))+(K426*(VLOOKUP(I428,'Option Tables'!$B$23:$F$26,3)))+(J426*(VLOOKUP(I428,'Option Tables'!$B$23:$F$26,4))+(I426*(VLOOKUP(I428,'Option Tables'!$B$23:$F$26,5)))))</f>
        <v>0</v>
      </c>
      <c r="M432" s="355">
        <f>$D432*((M426*(VLOOKUP(I428,'Option Tables'!$B$23:$F$26,2)))+(L426*(VLOOKUP(I428,'Option Tables'!$B$23:$F$26,3)))+(K426*(VLOOKUP(I428,'Option Tables'!$B$23:$F$26,4))+(J426*(VLOOKUP(I428,'Option Tables'!$B$23:$F$26,5)))))</f>
        <v>0</v>
      </c>
      <c r="N432" s="355">
        <f>$D432*((N426*(VLOOKUP(I428,'Option Tables'!$B$23:$F$26,2)))+(M426*(VLOOKUP(I428,'Option Tables'!$B$23:$F$26,3)))+(L426*(VLOOKUP(I428,'Option Tables'!$B$23:$F$26,4))+(K426*(VLOOKUP(I428,'Option Tables'!$B$23:$F$26,5)))))</f>
        <v>0</v>
      </c>
      <c r="O432" s="355">
        <f>$D432*((O426*(VLOOKUP(I428,'Option Tables'!$B$23:$F$26,2)))+(N426*(VLOOKUP(I428,'Option Tables'!$B$23:$F$26,3)))+(M426*(VLOOKUP(I428,'Option Tables'!$B$23:$F$26,4))+(L426*(VLOOKUP(I428,'Option Tables'!$B$23:$F$26,5)))))</f>
        <v>0</v>
      </c>
      <c r="P432" s="465">
        <f>$D432*((P426*(VLOOKUP(I428,'Option Tables'!$B$23:$F$26,2)))+(O426*(VLOOKUP(I428,'Option Tables'!$B$23:$F$26,3)))+(N426*(VLOOKUP(I428,'Option Tables'!$B$23:$F$26,4))+(M426*(VLOOKUP(I428,'Option Tables'!$B$23:$F$26,5)))))</f>
        <v>0</v>
      </c>
      <c r="Q432" s="96"/>
    </row>
    <row r="433" spans="2:18" ht="15.75" customHeight="1" thickBot="1">
      <c r="B433" s="97"/>
      <c r="C433" s="144" t="str">
        <f>IF(D433&lt;&gt;1,"Must equal %100","")</f>
        <v/>
      </c>
      <c r="D433" s="71">
        <f t="shared" ref="D433:P433" si="41">SUM(D429:D432)</f>
        <v>1</v>
      </c>
      <c r="E433" s="466">
        <f t="shared" si="41"/>
        <v>0</v>
      </c>
      <c r="F433" s="466">
        <f t="shared" si="41"/>
        <v>0</v>
      </c>
      <c r="G433" s="466">
        <f t="shared" si="41"/>
        <v>0</v>
      </c>
      <c r="H433" s="466">
        <f t="shared" si="41"/>
        <v>0</v>
      </c>
      <c r="I433" s="466">
        <f t="shared" si="41"/>
        <v>0</v>
      </c>
      <c r="J433" s="466">
        <f t="shared" si="41"/>
        <v>0</v>
      </c>
      <c r="K433" s="466">
        <f t="shared" si="41"/>
        <v>0</v>
      </c>
      <c r="L433" s="466">
        <f t="shared" si="41"/>
        <v>0</v>
      </c>
      <c r="M433" s="466">
        <f t="shared" si="41"/>
        <v>0</v>
      </c>
      <c r="N433" s="466">
        <f t="shared" si="41"/>
        <v>0</v>
      </c>
      <c r="O433" s="466">
        <f t="shared" si="41"/>
        <v>0</v>
      </c>
      <c r="P433" s="467">
        <f t="shared" si="41"/>
        <v>0</v>
      </c>
      <c r="R433" s="140"/>
    </row>
    <row r="434" spans="2:18" ht="15.75" customHeight="1" thickBot="1">
      <c r="B434" s="85" t="s">
        <v>166</v>
      </c>
      <c r="C434" s="257" t="str">
        <f>VLOOKUP(B434,NodeList!$D$5:$E$73,2,FALSE)</f>
        <v>Confluence Smiths Fork / Bear</v>
      </c>
      <c r="D434" s="91"/>
      <c r="E434" s="450"/>
      <c r="F434" s="451"/>
      <c r="G434" s="452"/>
      <c r="H434" s="453" t="s">
        <v>54</v>
      </c>
      <c r="I434" s="68">
        <v>15</v>
      </c>
      <c r="J434" s="454"/>
      <c r="K434" s="454"/>
      <c r="L434" s="454"/>
      <c r="M434" s="454"/>
      <c r="N434" s="454"/>
      <c r="O434" s="454"/>
      <c r="P434" s="455"/>
      <c r="Q434" s="96"/>
    </row>
    <row r="435" spans="2:18" ht="15.75" customHeight="1">
      <c r="B435" s="94"/>
      <c r="C435" s="66" t="s">
        <v>57</v>
      </c>
      <c r="D435" s="69"/>
      <c r="E435" s="456">
        <f>VLOOKUP($B434,'Diversion Data'!$B$3:$O$227,3,FALSE)</f>
        <v>0</v>
      </c>
      <c r="F435" s="456">
        <f>VLOOKUP($B434,'Diversion Data'!$B$3:$O$227,4,FALSE)</f>
        <v>0</v>
      </c>
      <c r="G435" s="456">
        <f>VLOOKUP($B434,'Diversion Data'!$B$3:$O$227,5,FALSE)</f>
        <v>0</v>
      </c>
      <c r="H435" s="456">
        <f>VLOOKUP($B434,'Diversion Data'!$B$3:$O$227,6,FALSE)</f>
        <v>0</v>
      </c>
      <c r="I435" s="456">
        <f>VLOOKUP($B434,'Diversion Data'!$B$3:$O$227,7,FALSE)</f>
        <v>0</v>
      </c>
      <c r="J435" s="456">
        <f>VLOOKUP($B434,'Diversion Data'!$B$3:$O$227,8,FALSE)</f>
        <v>0</v>
      </c>
      <c r="K435" s="456">
        <f>VLOOKUP($B434,'Diversion Data'!$B$3:$O$227,9,FALSE)</f>
        <v>0</v>
      </c>
      <c r="L435" s="456">
        <f>VLOOKUP($B434,'Diversion Data'!$B$3:$O$227,10,FALSE)</f>
        <v>0</v>
      </c>
      <c r="M435" s="456">
        <f>VLOOKUP($B434,'Diversion Data'!$B$3:$O$227,11,FALSE)</f>
        <v>0</v>
      </c>
      <c r="N435" s="456">
        <f>VLOOKUP($B434,'Diversion Data'!$B$3:$O$227,12,FALSE)</f>
        <v>0</v>
      </c>
      <c r="O435" s="456">
        <f>VLOOKUP($B434,'Diversion Data'!$B$3:$O$227,13,FALSE)</f>
        <v>0</v>
      </c>
      <c r="P435" s="457">
        <f>VLOOKUP($B434,'Diversion Data'!$B$3:$O$227,14,FALSE)</f>
        <v>0</v>
      </c>
      <c r="Q435" s="96"/>
    </row>
    <row r="436" spans="2:18" ht="15.75" customHeight="1">
      <c r="B436" s="95"/>
      <c r="C436" s="72" t="s">
        <v>56</v>
      </c>
      <c r="D436" s="70"/>
      <c r="E436" s="458">
        <f>VLOOKUP($I434,'Option Tables'!$B$3:$N$19,2,FALSE)*E435</f>
        <v>0</v>
      </c>
      <c r="F436" s="458">
        <f>VLOOKUP($I434,'Option Tables'!$B$3:$N$19,3,FALSE)*F435</f>
        <v>0</v>
      </c>
      <c r="G436" s="458">
        <f>VLOOKUP($I434,'Option Tables'!$B$3:$N$19,4,FALSE)*G435</f>
        <v>0</v>
      </c>
      <c r="H436" s="458">
        <f>VLOOKUP($I434,'Option Tables'!$B$3:$N$19,5,FALSE)*H435</f>
        <v>0</v>
      </c>
      <c r="I436" s="458">
        <f>VLOOKUP($I434,'Option Tables'!$B$3:$N$19,6,FALSE)*I435</f>
        <v>0</v>
      </c>
      <c r="J436" s="458">
        <f>VLOOKUP($I434,'Option Tables'!$B$3:$N$19,7,FALSE)*J435</f>
        <v>0</v>
      </c>
      <c r="K436" s="458">
        <f>VLOOKUP($I434,'Option Tables'!$B$3:$N$19,8,FALSE)*K435</f>
        <v>0</v>
      </c>
      <c r="L436" s="458">
        <f>VLOOKUP($I434,'Option Tables'!$B$3:$N$19,9,FALSE)*L435</f>
        <v>0</v>
      </c>
      <c r="M436" s="458">
        <f>VLOOKUP($I434,'Option Tables'!$B$3:$N$19,10,FALSE)*M435</f>
        <v>0</v>
      </c>
      <c r="N436" s="458">
        <f>VLOOKUP($I434,'Option Tables'!$B$3:$N$19,11,FALSE)*N435</f>
        <v>0</v>
      </c>
      <c r="O436" s="458">
        <f>VLOOKUP($I434,'Option Tables'!$B$3:$N$19,12,FALSE)*O435</f>
        <v>0</v>
      </c>
      <c r="P436" s="459">
        <f>VLOOKUP($I434,'Option Tables'!$B$3:$N$19,13,FALSE)*P435</f>
        <v>0</v>
      </c>
      <c r="Q436" s="96"/>
    </row>
    <row r="437" spans="2:18" ht="15.75" customHeight="1" thickBot="1">
      <c r="B437" s="95"/>
      <c r="C437" s="66"/>
      <c r="D437" s="62"/>
      <c r="E437" s="355"/>
      <c r="F437" s="355"/>
      <c r="G437" s="355"/>
      <c r="H437" s="355"/>
      <c r="I437" s="355"/>
      <c r="J437" s="355"/>
      <c r="K437" s="355"/>
      <c r="L437" s="355"/>
      <c r="M437" s="460"/>
      <c r="N437" s="460"/>
      <c r="O437" s="460"/>
      <c r="P437" s="461"/>
      <c r="Q437" s="96"/>
    </row>
    <row r="438" spans="2:18" ht="15.75" customHeight="1" thickBot="1">
      <c r="B438" s="254" t="s">
        <v>73</v>
      </c>
      <c r="C438" s="105" t="s">
        <v>73</v>
      </c>
      <c r="D438" s="105" t="s">
        <v>74</v>
      </c>
      <c r="E438" s="462"/>
      <c r="F438" s="463"/>
      <c r="G438" s="464"/>
      <c r="H438" s="464" t="s">
        <v>55</v>
      </c>
      <c r="I438" s="68">
        <v>3</v>
      </c>
      <c r="J438" s="460"/>
      <c r="K438" s="460"/>
      <c r="L438" s="460"/>
      <c r="M438" s="460"/>
      <c r="N438" s="460"/>
      <c r="O438" s="460"/>
      <c r="P438" s="461"/>
      <c r="Q438" s="96"/>
    </row>
    <row r="439" spans="2:18" ht="15.75" customHeight="1">
      <c r="B439" s="255" t="e">
        <f>"("&amp;VLOOKUP(C439,NodeList!$D$5:$E$68,2,FALSE)&amp;")"</f>
        <v>#N/A</v>
      </c>
      <c r="C439" s="256"/>
      <c r="D439" s="388">
        <v>1</v>
      </c>
      <c r="E439" s="355">
        <f>$D439*((E436*(VLOOKUP(I438,'Option Tables'!$B$23:$F$26,2)))+(P436*(VLOOKUP(I438,'Option Tables'!$B$23:$F$26,3)))+(O436*(VLOOKUP(I438,'Option Tables'!$B$23:$F$26,4))+(N436*(VLOOKUP(I438,'Option Tables'!$B$23:$F$26,5)))))</f>
        <v>0</v>
      </c>
      <c r="F439" s="355">
        <f>$D439*((F436*(VLOOKUP(I438,'Option Tables'!$B$23:$F$26,2)))+(E436*(VLOOKUP(I438,'Option Tables'!$B$23:$F$26,3)))+(P436*(VLOOKUP(I438,'Option Tables'!$B$23:$F$26,4))+(O436*(VLOOKUP(I438,'Option Tables'!$B$23:$F$26,5)))))</f>
        <v>0</v>
      </c>
      <c r="G439" s="355">
        <f>$D439*((G436*(VLOOKUP(I438,'Option Tables'!$B$23:$F$26,2)))+(F436*(VLOOKUP(I438,'Option Tables'!$B$23:$F$26,3)))+(E436*(VLOOKUP(I438,'Option Tables'!$B$23:$F$26,4))+(P436*(VLOOKUP(I438,'Option Tables'!$B$23:$F$26,5)))))</f>
        <v>0</v>
      </c>
      <c r="H439" s="355">
        <f>$D439*((H436*(VLOOKUP(I438,'Option Tables'!$B$23:$F$26,2)))+(G436*(VLOOKUP(I438,'Option Tables'!$B$23:$F$26,3)))+(F436*(VLOOKUP(I438,'Option Tables'!$B$23:$F$26,4))+(E436*(VLOOKUP(I438,'Option Tables'!$B$23:$F$26,5)))))</f>
        <v>0</v>
      </c>
      <c r="I439" s="355">
        <f>$D439*((I436*(VLOOKUP(I438,'Option Tables'!$B$23:$F$26,2)))+(H436*(VLOOKUP(I438,'Option Tables'!$B$23:$F$26,3)))+(G436*(VLOOKUP(I438,'Option Tables'!$B$23:$F$26,4))+(F436*(VLOOKUP(I438,'Option Tables'!$B$23:$F$26,5)))))</f>
        <v>0</v>
      </c>
      <c r="J439" s="355">
        <f>$D439*((J436*(VLOOKUP(I438,'Option Tables'!$B$23:$F$26,2)))+(I436*(VLOOKUP(I438,'Option Tables'!$B$23:$F$26,3)))+(H436*(VLOOKUP(I438,'Option Tables'!$B$23:$F$26,4))+(G436*(VLOOKUP(I438,'Option Tables'!$B$23:$F$26,5)))))</f>
        <v>0</v>
      </c>
      <c r="K439" s="355">
        <f>$D439*((K436*(VLOOKUP(I438,'Option Tables'!$B$23:$F$26,2)))+(J436*(VLOOKUP(I438,'Option Tables'!$B$23:$F$26,3)))+(I436*(VLOOKUP(I438,'Option Tables'!$B$23:$F$26,4))+(H436*(VLOOKUP(I438,'Option Tables'!$B$23:$F$26,5)))))</f>
        <v>0</v>
      </c>
      <c r="L439" s="355">
        <f>$D439*((L436*(VLOOKUP(I438,'Option Tables'!$B$23:$F$26,2)))+(K436*(VLOOKUP(I438,'Option Tables'!$B$23:$F$26,3)))+(J436*(VLOOKUP(I438,'Option Tables'!$B$23:$F$26,4))+(I436*(VLOOKUP(I438,'Option Tables'!$B$23:$F$26,5)))))</f>
        <v>0</v>
      </c>
      <c r="M439" s="355">
        <f>$D439*((M436*(VLOOKUP(I438,'Option Tables'!$B$23:$F$26,2)))+(L436*(VLOOKUP(I438,'Option Tables'!$B$23:$F$26,3)))+(K436*(VLOOKUP(I438,'Option Tables'!$B$23:$F$26,4))+(J436*(VLOOKUP(I438,'Option Tables'!$B$23:$F$26,5)))))</f>
        <v>0</v>
      </c>
      <c r="N439" s="355">
        <f>$D439*((N436*(VLOOKUP(I438,'Option Tables'!$B$23:$F$26,2)))+(M436*(VLOOKUP(I438,'Option Tables'!$B$23:$F$26,3)))+(L436*(VLOOKUP(I438,'Option Tables'!$B$23:$F$26,4))+(K436*(VLOOKUP(I438,'Option Tables'!$B$23:$F$26,5)))))</f>
        <v>0</v>
      </c>
      <c r="O439" s="355">
        <f>$D439*((O436*(VLOOKUP(I438,'Option Tables'!$B$23:$F$26,2)))+(N436*(VLOOKUP(I438,'Option Tables'!$B$23:$F$26,3)))+(M436*(VLOOKUP(I438,'Option Tables'!$B$23:$F$26,4))+(L436*(VLOOKUP(I438,'Option Tables'!$B$23:$F$26,5)))))</f>
        <v>0</v>
      </c>
      <c r="P439" s="465">
        <f>$D439*((P436*(VLOOKUP(I438,'Option Tables'!$B$23:$F$26,2)))+(O436*(VLOOKUP(I438,'Option Tables'!$B$23:$F$26,3)))+(N436*(VLOOKUP(I438,'Option Tables'!$B$23:$F$26,4))+(M436*(VLOOKUP(I438,'Option Tables'!$B$23:$F$26,5)))))</f>
        <v>0</v>
      </c>
      <c r="Q439" s="96"/>
    </row>
    <row r="440" spans="2:18" ht="15.75" customHeight="1">
      <c r="B440" s="95"/>
      <c r="C440" s="256"/>
      <c r="D440" s="388">
        <v>0</v>
      </c>
      <c r="E440" s="355">
        <f>$D440*((E436*(VLOOKUP(I438,'Option Tables'!$B$23:$F$26,2)))+(P436*(VLOOKUP(I438,'Option Tables'!$B$23:$F$26,3)))+(O436*(VLOOKUP(I438,'Option Tables'!$B$23:$F$26,4))+(N436*(VLOOKUP(I438,'Option Tables'!$B$23:$F$26,5)))))</f>
        <v>0</v>
      </c>
      <c r="F440" s="355">
        <f>$D440*((F436*(VLOOKUP(I438,'Option Tables'!$B$23:$F$26,2)))+(E436*(VLOOKUP(I438,'Option Tables'!$B$23:$F$26,3)))+(P436*(VLOOKUP(I438,'Option Tables'!$B$23:$F$26,4))+(O436*(VLOOKUP(I438,'Option Tables'!$B$23:$F$26,5)))))</f>
        <v>0</v>
      </c>
      <c r="G440" s="355">
        <f>$D440*((G436*(VLOOKUP(I438,'Option Tables'!$B$23:$F$26,2)))+(F436*(VLOOKUP(I438,'Option Tables'!$B$23:$F$26,3)))+(E436*(VLOOKUP(I438,'Option Tables'!$B$23:$F$26,4))+(P436*(VLOOKUP(I438,'Option Tables'!$B$23:$F$26,5)))))</f>
        <v>0</v>
      </c>
      <c r="H440" s="355">
        <f>$D440*((H436*(VLOOKUP(I438,'Option Tables'!$B$23:$F$26,2)))+(G436*(VLOOKUP(I438,'Option Tables'!$B$23:$F$26,3)))+(F436*(VLOOKUP(I438,'Option Tables'!$B$23:$F$26,4))+(E436*(VLOOKUP(I438,'Option Tables'!$B$23:$F$26,5)))))</f>
        <v>0</v>
      </c>
      <c r="I440" s="355">
        <f>$D440*((I436*(VLOOKUP(I438,'Option Tables'!$B$23:$F$26,2)))+(H436*(VLOOKUP(I438,'Option Tables'!$B$23:$F$26,3)))+(G436*(VLOOKUP(I438,'Option Tables'!$B$23:$F$26,4))+(F436*(VLOOKUP(I438,'Option Tables'!$B$23:$F$26,5)))))</f>
        <v>0</v>
      </c>
      <c r="J440" s="355">
        <f>$D440*((J436*(VLOOKUP(I438,'Option Tables'!$B$23:$F$26,2)))+(I436*(VLOOKUP(I438,'Option Tables'!$B$23:$F$26,3)))+(H436*(VLOOKUP(I438,'Option Tables'!$B$23:$F$26,4))+(G436*(VLOOKUP(I438,'Option Tables'!$B$23:$F$26,5)))))</f>
        <v>0</v>
      </c>
      <c r="K440" s="355">
        <f>$D440*((K436*(VLOOKUP(I438,'Option Tables'!$B$23:$F$26,2)))+(J436*(VLOOKUP(I438,'Option Tables'!$B$23:$F$26,3)))+(I436*(VLOOKUP(I438,'Option Tables'!$B$23:$F$26,4))+(H436*(VLOOKUP(I438,'Option Tables'!$B$23:$F$26,5)))))</f>
        <v>0</v>
      </c>
      <c r="L440" s="355">
        <f>$D440*((L436*(VLOOKUP(I438,'Option Tables'!$B$23:$F$26,2)))+(K436*(VLOOKUP(I438,'Option Tables'!$B$23:$F$26,3)))+(J436*(VLOOKUP(I438,'Option Tables'!$B$23:$F$26,4))+(I436*(VLOOKUP(I438,'Option Tables'!$B$23:$F$26,5)))))</f>
        <v>0</v>
      </c>
      <c r="M440" s="355">
        <f>$D440*((M436*(VLOOKUP(I438,'Option Tables'!$B$23:$F$26,2)))+(L436*(VLOOKUP(I438,'Option Tables'!$B$23:$F$26,3)))+(K436*(VLOOKUP(I438,'Option Tables'!$B$23:$F$26,4))+(J436*(VLOOKUP(I438,'Option Tables'!$B$23:$F$26,5)))))</f>
        <v>0</v>
      </c>
      <c r="N440" s="355">
        <f>$D440*((N436*(VLOOKUP(I438,'Option Tables'!$B$23:$F$26,2)))+(M436*(VLOOKUP(I438,'Option Tables'!$B$23:$F$26,3)))+(L436*(VLOOKUP(I438,'Option Tables'!$B$23:$F$26,4))+(K436*(VLOOKUP(I438,'Option Tables'!$B$23:$F$26,5)))))</f>
        <v>0</v>
      </c>
      <c r="O440" s="355">
        <f>$D440*((O436*(VLOOKUP(I438,'Option Tables'!$B$23:$F$26,2)))+(N436*(VLOOKUP(I438,'Option Tables'!$B$23:$F$26,3)))+(M436*(VLOOKUP(I438,'Option Tables'!$B$23:$F$26,4))+(L436*(VLOOKUP(I438,'Option Tables'!$B$23:$F$26,5)))))</f>
        <v>0</v>
      </c>
      <c r="P440" s="465">
        <f>$D440*((P436*(VLOOKUP(I438,'Option Tables'!$B$23:$F$26,2)))+(O436*(VLOOKUP(I438,'Option Tables'!$B$23:$F$26,3)))+(N436*(VLOOKUP(I438,'Option Tables'!$B$23:$F$26,4))+(M436*(VLOOKUP(I438,'Option Tables'!$B$23:$F$26,5)))))</f>
        <v>0</v>
      </c>
      <c r="Q440" s="96"/>
    </row>
    <row r="441" spans="2:18" ht="15.75" customHeight="1">
      <c r="B441" s="95"/>
      <c r="C441" s="256"/>
      <c r="D441" s="388">
        <v>0</v>
      </c>
      <c r="E441" s="355">
        <f>$D441*((E436*(VLOOKUP(I438,'Option Tables'!$B$23:$F$26,2)))+(P436*(VLOOKUP(I438,'Option Tables'!$B$23:$F$26,3)))+(O436*(VLOOKUP(I438,'Option Tables'!$B$23:$F$26,4))+(N436*(VLOOKUP(I438,'Option Tables'!$B$23:$F$26,5)))))</f>
        <v>0</v>
      </c>
      <c r="F441" s="355">
        <f>$D441*((F436*(VLOOKUP(I438,'Option Tables'!$B$23:$F$26,2)))+(E436*(VLOOKUP(I438,'Option Tables'!$B$23:$F$26,3)))+(P436*(VLOOKUP(I438,'Option Tables'!$B$23:$F$26,4))+(O436*(VLOOKUP(I438,'Option Tables'!$B$23:$F$26,5)))))</f>
        <v>0</v>
      </c>
      <c r="G441" s="355">
        <f>$D441*((G436*(VLOOKUP(I438,'Option Tables'!$B$23:$F$26,2)))+(F436*(VLOOKUP(I438,'Option Tables'!$B$23:$F$26,3)))+(E436*(VLOOKUP(I438,'Option Tables'!$B$23:$F$26,4))+(P436*(VLOOKUP(I438,'Option Tables'!$B$23:$F$26,5)))))</f>
        <v>0</v>
      </c>
      <c r="H441" s="355">
        <f>$D441*((H436*(VLOOKUP(I438,'Option Tables'!$B$23:$F$26,2)))+(G436*(VLOOKUP(I438,'Option Tables'!$B$23:$F$26,3)))+(F436*(VLOOKUP(I438,'Option Tables'!$B$23:$F$26,4))+(E436*(VLOOKUP(I438,'Option Tables'!$B$23:$F$26,5)))))</f>
        <v>0</v>
      </c>
      <c r="I441" s="355">
        <f>$D441*((I436*(VLOOKUP(I438,'Option Tables'!$B$23:$F$26,2)))+(H436*(VLOOKUP(I438,'Option Tables'!$B$23:$F$26,3)))+(G436*(VLOOKUP(I438,'Option Tables'!$B$23:$F$26,4))+(F436*(VLOOKUP(I438,'Option Tables'!$B$23:$F$26,5)))))</f>
        <v>0</v>
      </c>
      <c r="J441" s="355">
        <f>$D441*((J436*(VLOOKUP(I438,'Option Tables'!$B$23:$F$26,2)))+(I436*(VLOOKUP(I438,'Option Tables'!$B$23:$F$26,3)))+(H436*(VLOOKUP(I438,'Option Tables'!$B$23:$F$26,4))+(G436*(VLOOKUP(I438,'Option Tables'!$B$23:$F$26,5)))))</f>
        <v>0</v>
      </c>
      <c r="K441" s="355">
        <f>$D441*((K436*(VLOOKUP(I438,'Option Tables'!$B$23:$F$26,2)))+(J436*(VLOOKUP(I438,'Option Tables'!$B$23:$F$26,3)))+(I436*(VLOOKUP(I438,'Option Tables'!$B$23:$F$26,4))+(H436*(VLOOKUP(I438,'Option Tables'!$B$23:$F$26,5)))))</f>
        <v>0</v>
      </c>
      <c r="L441" s="355">
        <f>$D441*((L436*(VLOOKUP(I438,'Option Tables'!$B$23:$F$26,2)))+(K436*(VLOOKUP(I438,'Option Tables'!$B$23:$F$26,3)))+(J436*(VLOOKUP(I438,'Option Tables'!$B$23:$F$26,4))+(I436*(VLOOKUP(I438,'Option Tables'!$B$23:$F$26,5)))))</f>
        <v>0</v>
      </c>
      <c r="M441" s="355">
        <f>$D441*((M436*(VLOOKUP(I438,'Option Tables'!$B$23:$F$26,2)))+(L436*(VLOOKUP(I438,'Option Tables'!$B$23:$F$26,3)))+(K436*(VLOOKUP(I438,'Option Tables'!$B$23:$F$26,4))+(J436*(VLOOKUP(I438,'Option Tables'!$B$23:$F$26,5)))))</f>
        <v>0</v>
      </c>
      <c r="N441" s="355">
        <f>$D441*((N436*(VLOOKUP(I438,'Option Tables'!$B$23:$F$26,2)))+(M436*(VLOOKUP(I438,'Option Tables'!$B$23:$F$26,3)))+(L436*(VLOOKUP(I438,'Option Tables'!$B$23:$F$26,4))+(K436*(VLOOKUP(I438,'Option Tables'!$B$23:$F$26,5)))))</f>
        <v>0</v>
      </c>
      <c r="O441" s="355">
        <f>$D441*((O436*(VLOOKUP(I438,'Option Tables'!$B$23:$F$26,2)))+(N436*(VLOOKUP(I438,'Option Tables'!$B$23:$F$26,3)))+(M436*(VLOOKUP(I438,'Option Tables'!$B$23:$F$26,4))+(L436*(VLOOKUP(I438,'Option Tables'!$B$23:$F$26,5)))))</f>
        <v>0</v>
      </c>
      <c r="P441" s="465">
        <f>$D441*((P436*(VLOOKUP(I438,'Option Tables'!$B$23:$F$26,2)))+(O436*(VLOOKUP(I438,'Option Tables'!$B$23:$F$26,3)))+(N436*(VLOOKUP(I438,'Option Tables'!$B$23:$F$26,4))+(M436*(VLOOKUP(I438,'Option Tables'!$B$23:$F$26,5)))))</f>
        <v>0</v>
      </c>
      <c r="Q441" s="96"/>
    </row>
    <row r="442" spans="2:18" ht="15.75" customHeight="1">
      <c r="B442" s="95"/>
      <c r="C442" s="256"/>
      <c r="D442" s="388">
        <v>0</v>
      </c>
      <c r="E442" s="355">
        <f>$D442*((E436*(VLOOKUP(I438,'Option Tables'!$B$23:$F$26,2)))+(P436*(VLOOKUP(I438,'Option Tables'!$B$23:$F$26,3)))+(O436*(VLOOKUP(I438,'Option Tables'!$B$23:$F$26,4))+(N436*(VLOOKUP(I438,'Option Tables'!$B$23:$F$26,5)))))</f>
        <v>0</v>
      </c>
      <c r="F442" s="355">
        <f>$D442*((F436*(VLOOKUP(I438,'Option Tables'!$B$23:$F$26,2)))+(E436*(VLOOKUP(I438,'Option Tables'!$B$23:$F$26,3)))+(P436*(VLOOKUP(I438,'Option Tables'!$B$23:$F$26,4))+(O436*(VLOOKUP(I438,'Option Tables'!$B$23:$F$26,5)))))</f>
        <v>0</v>
      </c>
      <c r="G442" s="355">
        <f>$D442*((G436*(VLOOKUP(I438,'Option Tables'!$B$23:$F$26,2)))+(F436*(VLOOKUP(I438,'Option Tables'!$B$23:$F$26,3)))+(E436*(VLOOKUP(I438,'Option Tables'!$B$23:$F$26,4))+(P436*(VLOOKUP(I438,'Option Tables'!$B$23:$F$26,5)))))</f>
        <v>0</v>
      </c>
      <c r="H442" s="355">
        <f>$D442*((H436*(VLOOKUP(I438,'Option Tables'!$B$23:$F$26,2)))+(G436*(VLOOKUP(I438,'Option Tables'!$B$23:$F$26,3)))+(F436*(VLOOKUP(I438,'Option Tables'!$B$23:$F$26,4))+(E436*(VLOOKUP(I438,'Option Tables'!$B$23:$F$26,5)))))</f>
        <v>0</v>
      </c>
      <c r="I442" s="355">
        <f>$D442*((I436*(VLOOKUP(I438,'Option Tables'!$B$23:$F$26,2)))+(H436*(VLOOKUP(I438,'Option Tables'!$B$23:$F$26,3)))+(G436*(VLOOKUP(I438,'Option Tables'!$B$23:$F$26,4))+(F436*(VLOOKUP(I438,'Option Tables'!$B$23:$F$26,5)))))</f>
        <v>0</v>
      </c>
      <c r="J442" s="355">
        <f>$D442*((J436*(VLOOKUP(I438,'Option Tables'!$B$23:$F$26,2)))+(I436*(VLOOKUP(I438,'Option Tables'!$B$23:$F$26,3)))+(H436*(VLOOKUP(I438,'Option Tables'!$B$23:$F$26,4))+(G436*(VLOOKUP(I438,'Option Tables'!$B$23:$F$26,5)))))</f>
        <v>0</v>
      </c>
      <c r="K442" s="355">
        <f>$D442*((K436*(VLOOKUP(I438,'Option Tables'!$B$23:$F$26,2)))+(J436*(VLOOKUP(I438,'Option Tables'!$B$23:$F$26,3)))+(I436*(VLOOKUP(I438,'Option Tables'!$B$23:$F$26,4))+(H436*(VLOOKUP(I438,'Option Tables'!$B$23:$F$26,5)))))</f>
        <v>0</v>
      </c>
      <c r="L442" s="355">
        <f>$D442*((L436*(VLOOKUP(I438,'Option Tables'!$B$23:$F$26,2)))+(K436*(VLOOKUP(I438,'Option Tables'!$B$23:$F$26,3)))+(J436*(VLOOKUP(I438,'Option Tables'!$B$23:$F$26,4))+(I436*(VLOOKUP(I438,'Option Tables'!$B$23:$F$26,5)))))</f>
        <v>0</v>
      </c>
      <c r="M442" s="355">
        <f>$D442*((M436*(VLOOKUP(I438,'Option Tables'!$B$23:$F$26,2)))+(L436*(VLOOKUP(I438,'Option Tables'!$B$23:$F$26,3)))+(K436*(VLOOKUP(I438,'Option Tables'!$B$23:$F$26,4))+(J436*(VLOOKUP(I438,'Option Tables'!$B$23:$F$26,5)))))</f>
        <v>0</v>
      </c>
      <c r="N442" s="355">
        <f>$D442*((N436*(VLOOKUP(I438,'Option Tables'!$B$23:$F$26,2)))+(M436*(VLOOKUP(I438,'Option Tables'!$B$23:$F$26,3)))+(L436*(VLOOKUP(I438,'Option Tables'!$B$23:$F$26,4))+(K436*(VLOOKUP(I438,'Option Tables'!$B$23:$F$26,5)))))</f>
        <v>0</v>
      </c>
      <c r="O442" s="355">
        <f>$D442*((O436*(VLOOKUP(I438,'Option Tables'!$B$23:$F$26,2)))+(N436*(VLOOKUP(I438,'Option Tables'!$B$23:$F$26,3)))+(M436*(VLOOKUP(I438,'Option Tables'!$B$23:$F$26,4))+(L436*(VLOOKUP(I438,'Option Tables'!$B$23:$F$26,5)))))</f>
        <v>0</v>
      </c>
      <c r="P442" s="465">
        <f>$D442*((P436*(VLOOKUP(I438,'Option Tables'!$B$23:$F$26,2)))+(O436*(VLOOKUP(I438,'Option Tables'!$B$23:$F$26,3)))+(N436*(VLOOKUP(I438,'Option Tables'!$B$23:$F$26,4))+(M436*(VLOOKUP(I438,'Option Tables'!$B$23:$F$26,5)))))</f>
        <v>0</v>
      </c>
      <c r="Q442" s="96"/>
    </row>
    <row r="443" spans="2:18" ht="15.75" customHeight="1" thickBot="1">
      <c r="B443" s="97"/>
      <c r="C443" s="144" t="str">
        <f>IF(D443&lt;&gt;1,"Must equal %100","")</f>
        <v/>
      </c>
      <c r="D443" s="71">
        <f t="shared" ref="D443:P443" si="42">SUM(D439:D442)</f>
        <v>1</v>
      </c>
      <c r="E443" s="466">
        <f t="shared" si="42"/>
        <v>0</v>
      </c>
      <c r="F443" s="466">
        <f t="shared" si="42"/>
        <v>0</v>
      </c>
      <c r="G443" s="466">
        <f t="shared" si="42"/>
        <v>0</v>
      </c>
      <c r="H443" s="466">
        <f t="shared" si="42"/>
        <v>0</v>
      </c>
      <c r="I443" s="466">
        <f t="shared" si="42"/>
        <v>0</v>
      </c>
      <c r="J443" s="466">
        <f t="shared" si="42"/>
        <v>0</v>
      </c>
      <c r="K443" s="466">
        <f t="shared" si="42"/>
        <v>0</v>
      </c>
      <c r="L443" s="466">
        <f t="shared" si="42"/>
        <v>0</v>
      </c>
      <c r="M443" s="466">
        <f t="shared" si="42"/>
        <v>0</v>
      </c>
      <c r="N443" s="466">
        <f t="shared" si="42"/>
        <v>0</v>
      </c>
      <c r="O443" s="466">
        <f t="shared" si="42"/>
        <v>0</v>
      </c>
      <c r="P443" s="467">
        <f t="shared" si="42"/>
        <v>0</v>
      </c>
      <c r="R443" s="140"/>
    </row>
    <row r="444" spans="2:18" ht="15.75" customHeight="1" thickBot="1">
      <c r="B444" s="95"/>
      <c r="C444" s="205"/>
      <c r="D444" s="98"/>
      <c r="E444" s="355"/>
      <c r="F444" s="358"/>
      <c r="G444" s="358"/>
      <c r="H444" s="358"/>
      <c r="I444" s="358"/>
      <c r="J444" s="355"/>
      <c r="K444" s="355"/>
      <c r="L444" s="355"/>
      <c r="M444" s="355"/>
      <c r="N444" s="355"/>
      <c r="O444" s="355"/>
      <c r="P444" s="465"/>
    </row>
    <row r="445" spans="2:18" ht="15.75" customHeight="1" thickBot="1">
      <c r="B445" s="85" t="s">
        <v>327</v>
      </c>
      <c r="C445" s="284" t="str">
        <f>VLOOKUP(B445,NodeList!$D$5:$E$73,2,FALSE)</f>
        <v>AggDiv BR-4</v>
      </c>
      <c r="D445" s="91"/>
      <c r="E445" s="450"/>
      <c r="F445" s="451"/>
      <c r="G445" s="452"/>
      <c r="H445" s="453" t="s">
        <v>54</v>
      </c>
      <c r="I445" s="68">
        <v>42</v>
      </c>
      <c r="J445" s="454"/>
      <c r="K445" s="454"/>
      <c r="L445" s="454"/>
      <c r="M445" s="454"/>
      <c r="N445" s="454"/>
      <c r="O445" s="454"/>
      <c r="P445" s="455"/>
      <c r="Q445" s="96"/>
    </row>
    <row r="446" spans="2:18" ht="15.75" customHeight="1">
      <c r="B446" s="94"/>
      <c r="C446" s="66" t="s">
        <v>57</v>
      </c>
      <c r="D446" s="69"/>
      <c r="E446" s="456">
        <f>VLOOKUP($B445,'Diversion Data'!$B$3:$O$227,3,FALSE)</f>
        <v>0</v>
      </c>
      <c r="F446" s="456">
        <f>VLOOKUP($B445,'Diversion Data'!$B$3:$O$227,4,FALSE)</f>
        <v>0</v>
      </c>
      <c r="G446" s="456">
        <f>VLOOKUP($B445,'Diversion Data'!$B$3:$O$227,5,FALSE)</f>
        <v>0</v>
      </c>
      <c r="H446" s="456">
        <f>VLOOKUP($B445,'Diversion Data'!$B$3:$O$227,6,FALSE)</f>
        <v>0</v>
      </c>
      <c r="I446" s="456">
        <f>VLOOKUP($B445,'Diversion Data'!$B$3:$O$227,7,FALSE)</f>
        <v>691.02375000000006</v>
      </c>
      <c r="J446" s="456">
        <f>VLOOKUP($B445,'Diversion Data'!$B$3:$O$227,8,FALSE)</f>
        <v>2031.52</v>
      </c>
      <c r="K446" s="456">
        <f>VLOOKUP($B445,'Diversion Data'!$B$3:$O$227,9,FALSE)</f>
        <v>2453.8799999999997</v>
      </c>
      <c r="L446" s="456">
        <f>VLOOKUP($B445,'Diversion Data'!$B$3:$O$227,10,FALSE)</f>
        <v>1075.8462500000001</v>
      </c>
      <c r="M446" s="456">
        <f>VLOOKUP($B445,'Diversion Data'!$B$3:$O$227,11,FALSE)</f>
        <v>347.375</v>
      </c>
      <c r="N446" s="456">
        <f>VLOOKUP($B445,'Diversion Data'!$B$3:$O$227,12,FALSE)</f>
        <v>0</v>
      </c>
      <c r="O446" s="456">
        <f>VLOOKUP($B445,'Diversion Data'!$B$3:$O$227,13,FALSE)</f>
        <v>0</v>
      </c>
      <c r="P446" s="457">
        <f>VLOOKUP($B445,'Diversion Data'!$B$3:$O$227,14,FALSE)</f>
        <v>0</v>
      </c>
      <c r="Q446" s="96"/>
    </row>
    <row r="447" spans="2:18" ht="15.75" customHeight="1">
      <c r="B447" s="95"/>
      <c r="C447" s="72" t="s">
        <v>56</v>
      </c>
      <c r="D447" s="70"/>
      <c r="E447" s="458">
        <f>VLOOKUP($I445,'Option Tables'!$B$3:$N$19,2,FALSE)*E446</f>
        <v>0</v>
      </c>
      <c r="F447" s="458">
        <f>VLOOKUP($I445,'Option Tables'!$B$3:$N$19,3,FALSE)*F446</f>
        <v>0</v>
      </c>
      <c r="G447" s="458">
        <f>VLOOKUP($I445,'Option Tables'!$B$3:$N$19,4,FALSE)*G446</f>
        <v>0</v>
      </c>
      <c r="H447" s="458">
        <f>VLOOKUP($I445,'Option Tables'!$B$3:$N$19,5,FALSE)*H446</f>
        <v>0</v>
      </c>
      <c r="I447" s="458">
        <f>VLOOKUP($I445,'Option Tables'!$B$3:$N$19,6,FALSE)*I446</f>
        <v>400.79377499999998</v>
      </c>
      <c r="J447" s="458">
        <f>VLOOKUP($I445,'Option Tables'!$B$3:$N$19,7,FALSE)*J446</f>
        <v>1178.2815999999998</v>
      </c>
      <c r="K447" s="458">
        <f>VLOOKUP($I445,'Option Tables'!$B$3:$N$19,8,FALSE)*K446</f>
        <v>1423.2503999999997</v>
      </c>
      <c r="L447" s="458">
        <f>VLOOKUP($I445,'Option Tables'!$B$3:$N$19,9,FALSE)*L446</f>
        <v>623.99082499999997</v>
      </c>
      <c r="M447" s="458">
        <f>VLOOKUP($I445,'Option Tables'!$B$3:$N$19,10,FALSE)*M446</f>
        <v>201.47749999999999</v>
      </c>
      <c r="N447" s="458">
        <f>VLOOKUP($I445,'Option Tables'!$B$3:$N$19,11,FALSE)*N446</f>
        <v>0</v>
      </c>
      <c r="O447" s="458">
        <f>VLOOKUP($I445,'Option Tables'!$B$3:$N$19,12,FALSE)*O446</f>
        <v>0</v>
      </c>
      <c r="P447" s="459">
        <f>VLOOKUP($I445,'Option Tables'!$B$3:$N$19,13,FALSE)*P446</f>
        <v>0</v>
      </c>
      <c r="Q447" s="96"/>
    </row>
    <row r="448" spans="2:18" ht="15.75" customHeight="1" thickBot="1">
      <c r="B448" s="95"/>
      <c r="C448" s="66"/>
      <c r="D448" s="62"/>
      <c r="E448" s="355"/>
      <c r="F448" s="355"/>
      <c r="G448" s="355"/>
      <c r="H448" s="355"/>
      <c r="I448" s="355"/>
      <c r="J448" s="355"/>
      <c r="K448" s="355"/>
      <c r="L448" s="355"/>
      <c r="M448" s="460"/>
      <c r="N448" s="460"/>
      <c r="O448" s="460"/>
      <c r="P448" s="461"/>
      <c r="Q448" s="96"/>
    </row>
    <row r="449" spans="1:18" ht="15.75" customHeight="1" thickBot="1">
      <c r="B449" s="254" t="s">
        <v>73</v>
      </c>
      <c r="C449" s="105" t="s">
        <v>73</v>
      </c>
      <c r="D449" s="105" t="s">
        <v>74</v>
      </c>
      <c r="E449" s="462"/>
      <c r="F449" s="463"/>
      <c r="G449" s="464"/>
      <c r="H449" s="464" t="s">
        <v>55</v>
      </c>
      <c r="I449" s="68">
        <v>2</v>
      </c>
      <c r="J449" s="460"/>
      <c r="K449" s="460"/>
      <c r="L449" s="460"/>
      <c r="M449" s="460"/>
      <c r="N449" s="460"/>
      <c r="O449" s="460"/>
      <c r="P449" s="461"/>
      <c r="Q449" s="96"/>
    </row>
    <row r="450" spans="1:18" ht="15.75" customHeight="1">
      <c r="B450" s="255" t="str">
        <f>"("&amp;VLOOKUP(C450,NodeList!$D$5:$E$68,2,FALSE)&amp;")"</f>
        <v>(Confluence Smiths Fork / Bear)</v>
      </c>
      <c r="C450" s="256" t="s">
        <v>166</v>
      </c>
      <c r="D450" s="388">
        <v>1</v>
      </c>
      <c r="E450" s="355">
        <f>$D450*((E447*(VLOOKUP(I449,'Option Tables'!$B$23:$F$26,2)))+(P447*(VLOOKUP(I449,'Option Tables'!$B$23:$F$26,3)))+(O447*(VLOOKUP(I449,'Option Tables'!$B$23:$F$26,4))+(N447*(VLOOKUP(I449,'Option Tables'!$B$23:$F$26,5)))))</f>
        <v>0</v>
      </c>
      <c r="F450" s="355">
        <f>$D450*((F447*(VLOOKUP(I449,'Option Tables'!$B$23:$F$26,2)))+(E447*(VLOOKUP(I449,'Option Tables'!$B$23:$F$26,3)))+(P447*(VLOOKUP(I449,'Option Tables'!$B$23:$F$26,4))+(O447*(VLOOKUP(I449,'Option Tables'!$B$23:$F$26,5)))))</f>
        <v>0</v>
      </c>
      <c r="G450" s="355">
        <f>$D450*((G447*(VLOOKUP(I449,'Option Tables'!$B$23:$F$26,2)))+(F447*(VLOOKUP(I449,'Option Tables'!$B$23:$F$26,3)))+(E447*(VLOOKUP(I449,'Option Tables'!$B$23:$F$26,4))+(P447*(VLOOKUP(I449,'Option Tables'!$B$23:$F$26,5)))))</f>
        <v>0</v>
      </c>
      <c r="H450" s="355">
        <f>$D450*((H447*(VLOOKUP(I449,'Option Tables'!$B$23:$F$26,2)))+(G447*(VLOOKUP(I449,'Option Tables'!$B$23:$F$26,3)))+(F447*(VLOOKUP(I449,'Option Tables'!$B$23:$F$26,4))+(E447*(VLOOKUP(I449,'Option Tables'!$B$23:$F$26,5)))))</f>
        <v>0</v>
      </c>
      <c r="I450" s="355">
        <f>$D450*((I447*(VLOOKUP(I449,'Option Tables'!$B$23:$F$26,2)))+(H447*(VLOOKUP(I449,'Option Tables'!$B$23:$F$26,3)))+(G447*(VLOOKUP(I449,'Option Tables'!$B$23:$F$26,4))+(F447*(VLOOKUP(I449,'Option Tables'!$B$23:$F$26,5)))))</f>
        <v>280.55564249999998</v>
      </c>
      <c r="J450" s="355">
        <f>$D450*((J447*(VLOOKUP(I449,'Option Tables'!$B$23:$F$26,2)))+(I447*(VLOOKUP(I449,'Option Tables'!$B$23:$F$26,3)))+(H447*(VLOOKUP(I449,'Option Tables'!$B$23:$F$26,4))+(G447*(VLOOKUP(I449,'Option Tables'!$B$23:$F$26,5)))))</f>
        <v>904.95587499999988</v>
      </c>
      <c r="K450" s="355">
        <f>$D450*((K447*(VLOOKUP(I449,'Option Tables'!$B$23:$F$26,2)))+(J447*(VLOOKUP(I449,'Option Tables'!$B$23:$F$26,3)))+(I447*(VLOOKUP(I449,'Option Tables'!$B$23:$F$26,4))+(H447*(VLOOKUP(I449,'Option Tables'!$B$23:$F$26,5)))))</f>
        <v>1272.0109774999996</v>
      </c>
      <c r="L450" s="355">
        <f>$D450*((L447*(VLOOKUP(I449,'Option Tables'!$B$23:$F$26,2)))+(K447*(VLOOKUP(I449,'Option Tables'!$B$23:$F$26,3)))+(J447*(VLOOKUP(I449,'Option Tables'!$B$23:$F$26,4))+(I447*(VLOOKUP(I449,'Option Tables'!$B$23:$F$26,5)))))</f>
        <v>839.2718175</v>
      </c>
      <c r="M450" s="355">
        <f>$D450*((M447*(VLOOKUP(I449,'Option Tables'!$B$23:$F$26,2)))+(L447*(VLOOKUP(I449,'Option Tables'!$B$23:$F$26,3)))+(K447*(VLOOKUP(I449,'Option Tables'!$B$23:$F$26,4))+(J447*(VLOOKUP(I449,'Option Tables'!$B$23:$F$26,5)))))</f>
        <v>408.15745499999991</v>
      </c>
      <c r="N450" s="355">
        <f>$D450*((N447*(VLOOKUP(I449,'Option Tables'!$B$23:$F$26,2)))+(M447*(VLOOKUP(I449,'Option Tables'!$B$23:$F$26,3)))+(L447*(VLOOKUP(I449,'Option Tables'!$B$23:$F$26,4))+(K447*(VLOOKUP(I449,'Option Tables'!$B$23:$F$26,5)))))</f>
        <v>102.6945825</v>
      </c>
      <c r="O450" s="355">
        <f>$D450*((O447*(VLOOKUP(I449,'Option Tables'!$B$23:$F$26,2)))+(N447*(VLOOKUP(I449,'Option Tables'!$B$23:$F$26,3)))+(M447*(VLOOKUP(I449,'Option Tables'!$B$23:$F$26,4))+(L447*(VLOOKUP(I449,'Option Tables'!$B$23:$F$26,5)))))</f>
        <v>20.147750000000002</v>
      </c>
      <c r="P450" s="465">
        <f>$D450*((P447*(VLOOKUP(I449,'Option Tables'!$B$23:$F$26,2)))+(O447*(VLOOKUP(I449,'Option Tables'!$B$23:$F$26,3)))+(N447*(VLOOKUP(I449,'Option Tables'!$B$23:$F$26,4))+(M447*(VLOOKUP(I449,'Option Tables'!$B$23:$F$26,5)))))</f>
        <v>0</v>
      </c>
      <c r="Q450" s="96"/>
    </row>
    <row r="451" spans="1:18" ht="15.75" customHeight="1">
      <c r="B451" s="95"/>
      <c r="C451" s="256"/>
      <c r="D451" s="388">
        <v>0</v>
      </c>
      <c r="E451" s="355">
        <f>$D451*((E447*(VLOOKUP(I449,'Option Tables'!$B$23:$F$26,2)))+(P447*(VLOOKUP(I449,'Option Tables'!$B$23:$F$26,3)))+(O447*(VLOOKUP(I449,'Option Tables'!$B$23:$F$26,4))+(N447*(VLOOKUP(I449,'Option Tables'!$B$23:$F$26,5)))))</f>
        <v>0</v>
      </c>
      <c r="F451" s="355">
        <f>$D451*((F447*(VLOOKUP(I449,'Option Tables'!$B$23:$F$26,2)))+(E447*(VLOOKUP(I449,'Option Tables'!$B$23:$F$26,3)))+(P447*(VLOOKUP(I449,'Option Tables'!$B$23:$F$26,4))+(O447*(VLOOKUP(I449,'Option Tables'!$B$23:$F$26,5)))))</f>
        <v>0</v>
      </c>
      <c r="G451" s="355">
        <f>$D451*((G447*(VLOOKUP(I449,'Option Tables'!$B$23:$F$26,2)))+(F447*(VLOOKUP(I449,'Option Tables'!$B$23:$F$26,3)))+(E447*(VLOOKUP(I449,'Option Tables'!$B$23:$F$26,4))+(P447*(VLOOKUP(I449,'Option Tables'!$B$23:$F$26,5)))))</f>
        <v>0</v>
      </c>
      <c r="H451" s="355">
        <f>$D451*((H447*(VLOOKUP(I449,'Option Tables'!$B$23:$F$26,2)))+(G447*(VLOOKUP(I449,'Option Tables'!$B$23:$F$26,3)))+(F447*(VLOOKUP(I449,'Option Tables'!$B$23:$F$26,4))+(E447*(VLOOKUP(I449,'Option Tables'!$B$23:$F$26,5)))))</f>
        <v>0</v>
      </c>
      <c r="I451" s="355">
        <f>$D451*((I447*(VLOOKUP(I449,'Option Tables'!$B$23:$F$26,2)))+(H447*(VLOOKUP(I449,'Option Tables'!$B$23:$F$26,3)))+(G447*(VLOOKUP(I449,'Option Tables'!$B$23:$F$26,4))+(F447*(VLOOKUP(I449,'Option Tables'!$B$23:$F$26,5)))))</f>
        <v>0</v>
      </c>
      <c r="J451" s="355">
        <f>$D451*((J447*(VLOOKUP(I449,'Option Tables'!$B$23:$F$26,2)))+(I447*(VLOOKUP(I449,'Option Tables'!$B$23:$F$26,3)))+(H447*(VLOOKUP(I449,'Option Tables'!$B$23:$F$26,4))+(G447*(VLOOKUP(I449,'Option Tables'!$B$23:$F$26,5)))))</f>
        <v>0</v>
      </c>
      <c r="K451" s="355">
        <f>$D451*((K447*(VLOOKUP(I449,'Option Tables'!$B$23:$F$26,2)))+(J447*(VLOOKUP(I449,'Option Tables'!$B$23:$F$26,3)))+(I447*(VLOOKUP(I449,'Option Tables'!$B$23:$F$26,4))+(H447*(VLOOKUP(I449,'Option Tables'!$B$23:$F$26,5)))))</f>
        <v>0</v>
      </c>
      <c r="L451" s="355">
        <f>$D451*((L447*(VLOOKUP(I449,'Option Tables'!$B$23:$F$26,2)))+(K447*(VLOOKUP(I449,'Option Tables'!$B$23:$F$26,3)))+(J447*(VLOOKUP(I449,'Option Tables'!$B$23:$F$26,4))+(I447*(VLOOKUP(I449,'Option Tables'!$B$23:$F$26,5)))))</f>
        <v>0</v>
      </c>
      <c r="M451" s="355">
        <f>$D451*((M447*(VLOOKUP(I449,'Option Tables'!$B$23:$F$26,2)))+(L447*(VLOOKUP(I449,'Option Tables'!$B$23:$F$26,3)))+(K447*(VLOOKUP(I449,'Option Tables'!$B$23:$F$26,4))+(J447*(VLOOKUP(I449,'Option Tables'!$B$23:$F$26,5)))))</f>
        <v>0</v>
      </c>
      <c r="N451" s="355">
        <f>$D451*((N447*(VLOOKUP(I449,'Option Tables'!$B$23:$F$26,2)))+(M447*(VLOOKUP(I449,'Option Tables'!$B$23:$F$26,3)))+(L447*(VLOOKUP(I449,'Option Tables'!$B$23:$F$26,4))+(K447*(VLOOKUP(I449,'Option Tables'!$B$23:$F$26,5)))))</f>
        <v>0</v>
      </c>
      <c r="O451" s="355">
        <f>$D451*((O447*(VLOOKUP(I449,'Option Tables'!$B$23:$F$26,2)))+(N447*(VLOOKUP(I449,'Option Tables'!$B$23:$F$26,3)))+(M447*(VLOOKUP(I449,'Option Tables'!$B$23:$F$26,4))+(L447*(VLOOKUP(I449,'Option Tables'!$B$23:$F$26,5)))))</f>
        <v>0</v>
      </c>
      <c r="P451" s="465">
        <f>$D451*((P447*(VLOOKUP(I449,'Option Tables'!$B$23:$F$26,2)))+(O447*(VLOOKUP(I449,'Option Tables'!$B$23:$F$26,3)))+(N447*(VLOOKUP(I449,'Option Tables'!$B$23:$F$26,4))+(M447*(VLOOKUP(I449,'Option Tables'!$B$23:$F$26,5)))))</f>
        <v>0</v>
      </c>
      <c r="Q451" s="96"/>
    </row>
    <row r="452" spans="1:18" ht="15.75" customHeight="1">
      <c r="B452" s="95"/>
      <c r="C452" s="256"/>
      <c r="D452" s="388">
        <v>0</v>
      </c>
      <c r="E452" s="355">
        <f>$D452*((E447*(VLOOKUP(I449,'Option Tables'!$B$23:$F$26,2)))+(P447*(VLOOKUP(I449,'Option Tables'!$B$23:$F$26,3)))+(O447*(VLOOKUP(I449,'Option Tables'!$B$23:$F$26,4))+(N447*(VLOOKUP(I449,'Option Tables'!$B$23:$F$26,5)))))</f>
        <v>0</v>
      </c>
      <c r="F452" s="355">
        <f>$D452*((F447*(VLOOKUP(I449,'Option Tables'!$B$23:$F$26,2)))+(E447*(VLOOKUP(I449,'Option Tables'!$B$23:$F$26,3)))+(P447*(VLOOKUP(I449,'Option Tables'!$B$23:$F$26,4))+(O447*(VLOOKUP(I449,'Option Tables'!$B$23:$F$26,5)))))</f>
        <v>0</v>
      </c>
      <c r="G452" s="355">
        <f>$D452*((G447*(VLOOKUP(I449,'Option Tables'!$B$23:$F$26,2)))+(F447*(VLOOKUP(I449,'Option Tables'!$B$23:$F$26,3)))+(E447*(VLOOKUP(I449,'Option Tables'!$B$23:$F$26,4))+(P447*(VLOOKUP(I449,'Option Tables'!$B$23:$F$26,5)))))</f>
        <v>0</v>
      </c>
      <c r="H452" s="355">
        <f>$D452*((H447*(VLOOKUP(I449,'Option Tables'!$B$23:$F$26,2)))+(G447*(VLOOKUP(I449,'Option Tables'!$B$23:$F$26,3)))+(F447*(VLOOKUP(I449,'Option Tables'!$B$23:$F$26,4))+(E447*(VLOOKUP(I449,'Option Tables'!$B$23:$F$26,5)))))</f>
        <v>0</v>
      </c>
      <c r="I452" s="355">
        <f>$D452*((I447*(VLOOKUP(I449,'Option Tables'!$B$23:$F$26,2)))+(H447*(VLOOKUP(I449,'Option Tables'!$B$23:$F$26,3)))+(G447*(VLOOKUP(I449,'Option Tables'!$B$23:$F$26,4))+(F447*(VLOOKUP(I449,'Option Tables'!$B$23:$F$26,5)))))</f>
        <v>0</v>
      </c>
      <c r="J452" s="355">
        <f>$D452*((J447*(VLOOKUP(I449,'Option Tables'!$B$23:$F$26,2)))+(I447*(VLOOKUP(I449,'Option Tables'!$B$23:$F$26,3)))+(H447*(VLOOKUP(I449,'Option Tables'!$B$23:$F$26,4))+(G447*(VLOOKUP(I449,'Option Tables'!$B$23:$F$26,5)))))</f>
        <v>0</v>
      </c>
      <c r="K452" s="355">
        <f>$D452*((K447*(VLOOKUP(I449,'Option Tables'!$B$23:$F$26,2)))+(J447*(VLOOKUP(I449,'Option Tables'!$B$23:$F$26,3)))+(I447*(VLOOKUP(I449,'Option Tables'!$B$23:$F$26,4))+(H447*(VLOOKUP(I449,'Option Tables'!$B$23:$F$26,5)))))</f>
        <v>0</v>
      </c>
      <c r="L452" s="355">
        <f>$D452*((L447*(VLOOKUP(I449,'Option Tables'!$B$23:$F$26,2)))+(K447*(VLOOKUP(I449,'Option Tables'!$B$23:$F$26,3)))+(J447*(VLOOKUP(I449,'Option Tables'!$B$23:$F$26,4))+(I447*(VLOOKUP(I449,'Option Tables'!$B$23:$F$26,5)))))</f>
        <v>0</v>
      </c>
      <c r="M452" s="355">
        <f>$D452*((M447*(VLOOKUP(I449,'Option Tables'!$B$23:$F$26,2)))+(L447*(VLOOKUP(I449,'Option Tables'!$B$23:$F$26,3)))+(K447*(VLOOKUP(I449,'Option Tables'!$B$23:$F$26,4))+(J447*(VLOOKUP(I449,'Option Tables'!$B$23:$F$26,5)))))</f>
        <v>0</v>
      </c>
      <c r="N452" s="355">
        <f>$D452*((N447*(VLOOKUP(I449,'Option Tables'!$B$23:$F$26,2)))+(M447*(VLOOKUP(I449,'Option Tables'!$B$23:$F$26,3)))+(L447*(VLOOKUP(I449,'Option Tables'!$B$23:$F$26,4))+(K447*(VLOOKUP(I449,'Option Tables'!$B$23:$F$26,5)))))</f>
        <v>0</v>
      </c>
      <c r="O452" s="355">
        <f>$D452*((O447*(VLOOKUP(I449,'Option Tables'!$B$23:$F$26,2)))+(N447*(VLOOKUP(I449,'Option Tables'!$B$23:$F$26,3)))+(M447*(VLOOKUP(I449,'Option Tables'!$B$23:$F$26,4))+(L447*(VLOOKUP(I449,'Option Tables'!$B$23:$F$26,5)))))</f>
        <v>0</v>
      </c>
      <c r="P452" s="465">
        <f>$D452*((P447*(VLOOKUP(I449,'Option Tables'!$B$23:$F$26,2)))+(O447*(VLOOKUP(I449,'Option Tables'!$B$23:$F$26,3)))+(N447*(VLOOKUP(I449,'Option Tables'!$B$23:$F$26,4))+(M447*(VLOOKUP(I449,'Option Tables'!$B$23:$F$26,5)))))</f>
        <v>0</v>
      </c>
      <c r="Q452" s="96"/>
    </row>
    <row r="453" spans="1:18" ht="15.75" customHeight="1">
      <c r="B453" s="95"/>
      <c r="C453" s="256"/>
      <c r="D453" s="388">
        <v>0</v>
      </c>
      <c r="E453" s="355">
        <f>$D453*((E447*(VLOOKUP(I449,'Option Tables'!$B$23:$F$26,2)))+(P447*(VLOOKUP(I449,'Option Tables'!$B$23:$F$26,3)))+(O447*(VLOOKUP(I449,'Option Tables'!$B$23:$F$26,4))+(N447*(VLOOKUP(I449,'Option Tables'!$B$23:$F$26,5)))))</f>
        <v>0</v>
      </c>
      <c r="F453" s="355">
        <f>$D453*((F447*(VLOOKUP(I449,'Option Tables'!$B$23:$F$26,2)))+(E447*(VLOOKUP(I449,'Option Tables'!$B$23:$F$26,3)))+(P447*(VLOOKUP(I449,'Option Tables'!$B$23:$F$26,4))+(O447*(VLOOKUP(I449,'Option Tables'!$B$23:$F$26,5)))))</f>
        <v>0</v>
      </c>
      <c r="G453" s="355">
        <f>$D453*((G447*(VLOOKUP(I449,'Option Tables'!$B$23:$F$26,2)))+(F447*(VLOOKUP(I449,'Option Tables'!$B$23:$F$26,3)))+(E447*(VLOOKUP(I449,'Option Tables'!$B$23:$F$26,4))+(P447*(VLOOKUP(I449,'Option Tables'!$B$23:$F$26,5)))))</f>
        <v>0</v>
      </c>
      <c r="H453" s="355">
        <f>$D453*((H447*(VLOOKUP(I449,'Option Tables'!$B$23:$F$26,2)))+(G447*(VLOOKUP(I449,'Option Tables'!$B$23:$F$26,3)))+(F447*(VLOOKUP(I449,'Option Tables'!$B$23:$F$26,4))+(E447*(VLOOKUP(I449,'Option Tables'!$B$23:$F$26,5)))))</f>
        <v>0</v>
      </c>
      <c r="I453" s="355">
        <f>$D453*((I447*(VLOOKUP(I449,'Option Tables'!$B$23:$F$26,2)))+(H447*(VLOOKUP(I449,'Option Tables'!$B$23:$F$26,3)))+(G447*(VLOOKUP(I449,'Option Tables'!$B$23:$F$26,4))+(F447*(VLOOKUP(I449,'Option Tables'!$B$23:$F$26,5)))))</f>
        <v>0</v>
      </c>
      <c r="J453" s="355">
        <f>$D453*((J447*(VLOOKUP(I449,'Option Tables'!$B$23:$F$26,2)))+(I447*(VLOOKUP(I449,'Option Tables'!$B$23:$F$26,3)))+(H447*(VLOOKUP(I449,'Option Tables'!$B$23:$F$26,4))+(G447*(VLOOKUP(I449,'Option Tables'!$B$23:$F$26,5)))))</f>
        <v>0</v>
      </c>
      <c r="K453" s="355">
        <f>$D453*((K447*(VLOOKUP(I449,'Option Tables'!$B$23:$F$26,2)))+(J447*(VLOOKUP(I449,'Option Tables'!$B$23:$F$26,3)))+(I447*(VLOOKUP(I449,'Option Tables'!$B$23:$F$26,4))+(H447*(VLOOKUP(I449,'Option Tables'!$B$23:$F$26,5)))))</f>
        <v>0</v>
      </c>
      <c r="L453" s="355">
        <f>$D453*((L447*(VLOOKUP(I449,'Option Tables'!$B$23:$F$26,2)))+(K447*(VLOOKUP(I449,'Option Tables'!$B$23:$F$26,3)))+(J447*(VLOOKUP(I449,'Option Tables'!$B$23:$F$26,4))+(I447*(VLOOKUP(I449,'Option Tables'!$B$23:$F$26,5)))))</f>
        <v>0</v>
      </c>
      <c r="M453" s="355">
        <f>$D453*((M447*(VLOOKUP(I449,'Option Tables'!$B$23:$F$26,2)))+(L447*(VLOOKUP(I449,'Option Tables'!$B$23:$F$26,3)))+(K447*(VLOOKUP(I449,'Option Tables'!$B$23:$F$26,4))+(J447*(VLOOKUP(I449,'Option Tables'!$B$23:$F$26,5)))))</f>
        <v>0</v>
      </c>
      <c r="N453" s="355">
        <f>$D453*((N447*(VLOOKUP(I449,'Option Tables'!$B$23:$F$26,2)))+(M447*(VLOOKUP(I449,'Option Tables'!$B$23:$F$26,3)))+(L447*(VLOOKUP(I449,'Option Tables'!$B$23:$F$26,4))+(K447*(VLOOKUP(I449,'Option Tables'!$B$23:$F$26,5)))))</f>
        <v>0</v>
      </c>
      <c r="O453" s="355">
        <f>$D453*((O447*(VLOOKUP(I449,'Option Tables'!$B$23:$F$26,2)))+(N447*(VLOOKUP(I449,'Option Tables'!$B$23:$F$26,3)))+(M447*(VLOOKUP(I449,'Option Tables'!$B$23:$F$26,4))+(L447*(VLOOKUP(I449,'Option Tables'!$B$23:$F$26,5)))))</f>
        <v>0</v>
      </c>
      <c r="P453" s="465">
        <f>$D453*((P447*(VLOOKUP(I449,'Option Tables'!$B$23:$F$26,2)))+(O447*(VLOOKUP(I449,'Option Tables'!$B$23:$F$26,3)))+(N447*(VLOOKUP(I449,'Option Tables'!$B$23:$F$26,4))+(M447*(VLOOKUP(I449,'Option Tables'!$B$23:$F$26,5)))))</f>
        <v>0</v>
      </c>
      <c r="Q453" s="96"/>
    </row>
    <row r="454" spans="1:18" ht="15.75" customHeight="1" thickBot="1">
      <c r="B454" s="97"/>
      <c r="C454" s="144" t="str">
        <f>IF(D454&lt;&gt;1,"Must equal %100","")</f>
        <v/>
      </c>
      <c r="D454" s="71">
        <f t="shared" ref="D454:P454" si="43">SUM(D450:D453)</f>
        <v>1</v>
      </c>
      <c r="E454" s="466">
        <f t="shared" si="43"/>
        <v>0</v>
      </c>
      <c r="F454" s="466">
        <f t="shared" si="43"/>
        <v>0</v>
      </c>
      <c r="G454" s="466">
        <f t="shared" si="43"/>
        <v>0</v>
      </c>
      <c r="H454" s="466">
        <f t="shared" si="43"/>
        <v>0</v>
      </c>
      <c r="I454" s="466">
        <f t="shared" si="43"/>
        <v>280.55564249999998</v>
      </c>
      <c r="J454" s="466">
        <f t="shared" si="43"/>
        <v>904.95587499999988</v>
      </c>
      <c r="K454" s="466">
        <f t="shared" si="43"/>
        <v>1272.0109774999996</v>
      </c>
      <c r="L454" s="466">
        <f t="shared" si="43"/>
        <v>839.2718175</v>
      </c>
      <c r="M454" s="466">
        <f t="shared" si="43"/>
        <v>408.15745499999991</v>
      </c>
      <c r="N454" s="466">
        <f t="shared" si="43"/>
        <v>102.6945825</v>
      </c>
      <c r="O454" s="466">
        <f t="shared" si="43"/>
        <v>20.147750000000002</v>
      </c>
      <c r="P454" s="467">
        <f t="shared" si="43"/>
        <v>0</v>
      </c>
      <c r="R454" s="140"/>
    </row>
    <row r="455" spans="1:18" ht="15.75" customHeight="1" thickBot="1">
      <c r="A455" s="142" t="s">
        <v>273</v>
      </c>
      <c r="B455" s="206"/>
      <c r="C455" s="205"/>
      <c r="D455" s="98"/>
      <c r="E455" s="355"/>
      <c r="F455" s="355"/>
      <c r="G455" s="355"/>
      <c r="H455" s="355"/>
      <c r="I455" s="355"/>
      <c r="J455" s="355"/>
      <c r="K455" s="355"/>
      <c r="L455" s="355"/>
      <c r="M455" s="355"/>
      <c r="N455" s="355"/>
      <c r="O455" s="355"/>
      <c r="P455" s="355"/>
    </row>
    <row r="456" spans="1:18" ht="15.75" customHeight="1" thickBot="1">
      <c r="B456" s="85" t="s">
        <v>147</v>
      </c>
      <c r="C456" s="284" t="str">
        <f>VLOOKUP(B456,NodeList!$D$5:$E$73,2,FALSE)</f>
        <v>USGS 10032000:  Smiths Fork nr Border,WY</v>
      </c>
      <c r="D456" s="91"/>
      <c r="E456" s="450"/>
      <c r="F456" s="451"/>
      <c r="G456" s="452"/>
      <c r="H456" s="453" t="s">
        <v>54</v>
      </c>
      <c r="I456" s="68">
        <v>40</v>
      </c>
      <c r="J456" s="454"/>
      <c r="K456" s="454"/>
      <c r="L456" s="454"/>
      <c r="M456" s="454"/>
      <c r="N456" s="454"/>
      <c r="O456" s="454"/>
      <c r="P456" s="455"/>
    </row>
    <row r="457" spans="1:18" ht="15.75" customHeight="1">
      <c r="B457" s="94"/>
      <c r="C457" s="66" t="s">
        <v>57</v>
      </c>
      <c r="D457" s="69"/>
      <c r="E457" s="456">
        <f>VLOOKUP($B456,'Diversion Data'!$B$3:$O$227,3,FALSE)</f>
        <v>0</v>
      </c>
      <c r="F457" s="456">
        <f>VLOOKUP($B456,'Diversion Data'!$B$3:$O$227,4,FALSE)</f>
        <v>0</v>
      </c>
      <c r="G457" s="456">
        <f>VLOOKUP($B456,'Diversion Data'!$B$3:$O$227,5,FALSE)</f>
        <v>0</v>
      </c>
      <c r="H457" s="456">
        <f>VLOOKUP($B456,'Diversion Data'!$B$3:$O$227,6,FALSE)</f>
        <v>0</v>
      </c>
      <c r="I457" s="456">
        <f>VLOOKUP($B456,'Diversion Data'!$B$3:$O$227,7,FALSE)</f>
        <v>0</v>
      </c>
      <c r="J457" s="456">
        <f>VLOOKUP($B456,'Diversion Data'!$B$3:$O$227,8,FALSE)</f>
        <v>0</v>
      </c>
      <c r="K457" s="456">
        <f>VLOOKUP($B456,'Diversion Data'!$B$3:$O$227,9,FALSE)</f>
        <v>0</v>
      </c>
      <c r="L457" s="456">
        <f>VLOOKUP($B456,'Diversion Data'!$B$3:$O$227,10,FALSE)</f>
        <v>0</v>
      </c>
      <c r="M457" s="456">
        <f>VLOOKUP($B456,'Diversion Data'!$B$3:$O$227,11,FALSE)</f>
        <v>0</v>
      </c>
      <c r="N457" s="456">
        <f>VLOOKUP($B456,'Diversion Data'!$B$3:$O$227,12,FALSE)</f>
        <v>0</v>
      </c>
      <c r="O457" s="456">
        <f>VLOOKUP($B456,'Diversion Data'!$B$3:$O$227,13,FALSE)</f>
        <v>0</v>
      </c>
      <c r="P457" s="457">
        <f>VLOOKUP($B456,'Diversion Data'!$B$3:$O$227,14,FALSE)</f>
        <v>0</v>
      </c>
    </row>
    <row r="458" spans="1:18" ht="15.75" customHeight="1">
      <c r="B458" s="95"/>
      <c r="C458" s="72" t="s">
        <v>56</v>
      </c>
      <c r="D458" s="70"/>
      <c r="E458" s="458">
        <f>VLOOKUP($I456,'Option Tables'!$B$3:$N$19,2,FALSE)*E457</f>
        <v>0</v>
      </c>
      <c r="F458" s="458">
        <f>VLOOKUP($I456,'Option Tables'!$B$3:$N$19,3,FALSE)*F457</f>
        <v>0</v>
      </c>
      <c r="G458" s="458">
        <f>VLOOKUP($I456,'Option Tables'!$B$3:$N$19,4,FALSE)*G457</f>
        <v>0</v>
      </c>
      <c r="H458" s="458">
        <f>VLOOKUP($I456,'Option Tables'!$B$3:$N$19,5,FALSE)*H457</f>
        <v>0</v>
      </c>
      <c r="I458" s="458">
        <f>VLOOKUP($I456,'Option Tables'!$B$3:$N$19,6,FALSE)*I457</f>
        <v>0</v>
      </c>
      <c r="J458" s="458">
        <f>VLOOKUP($I456,'Option Tables'!$B$3:$N$19,7,FALSE)*J457</f>
        <v>0</v>
      </c>
      <c r="K458" s="458">
        <f>VLOOKUP($I456,'Option Tables'!$B$3:$N$19,8,FALSE)*K457</f>
        <v>0</v>
      </c>
      <c r="L458" s="458">
        <f>VLOOKUP($I456,'Option Tables'!$B$3:$N$19,9,FALSE)*L457</f>
        <v>0</v>
      </c>
      <c r="M458" s="458">
        <f>VLOOKUP($I456,'Option Tables'!$B$3:$N$19,10,FALSE)*M457</f>
        <v>0</v>
      </c>
      <c r="N458" s="458">
        <f>VLOOKUP($I456,'Option Tables'!$B$3:$N$19,11,FALSE)*N457</f>
        <v>0</v>
      </c>
      <c r="O458" s="458">
        <f>VLOOKUP($I456,'Option Tables'!$B$3:$N$19,12,FALSE)*O457</f>
        <v>0</v>
      </c>
      <c r="P458" s="459">
        <f>VLOOKUP($I456,'Option Tables'!$B$3:$N$19,13,FALSE)*P457</f>
        <v>0</v>
      </c>
    </row>
    <row r="459" spans="1:18" ht="15.75" customHeight="1" thickBot="1">
      <c r="B459" s="95"/>
      <c r="C459" s="66"/>
      <c r="D459" s="62"/>
      <c r="E459" s="355"/>
      <c r="F459" s="355"/>
      <c r="G459" s="355"/>
      <c r="H459" s="355"/>
      <c r="I459" s="355"/>
      <c r="J459" s="355"/>
      <c r="K459" s="355"/>
      <c r="L459" s="355"/>
      <c r="M459" s="460"/>
      <c r="N459" s="460"/>
      <c r="O459" s="460"/>
      <c r="P459" s="461"/>
    </row>
    <row r="460" spans="1:18" ht="15.75" customHeight="1" thickBot="1">
      <c r="B460" s="254" t="s">
        <v>73</v>
      </c>
      <c r="C460" s="105" t="s">
        <v>73</v>
      </c>
      <c r="D460" s="105" t="s">
        <v>74</v>
      </c>
      <c r="E460" s="462"/>
      <c r="F460" s="463"/>
      <c r="G460" s="464"/>
      <c r="H460" s="464" t="s">
        <v>55</v>
      </c>
      <c r="I460" s="68">
        <v>2</v>
      </c>
      <c r="J460" s="460"/>
      <c r="K460" s="460"/>
      <c r="L460" s="460"/>
      <c r="M460" s="460"/>
      <c r="N460" s="460"/>
      <c r="O460" s="460"/>
      <c r="P460" s="461"/>
    </row>
    <row r="461" spans="1:18" ht="15.75" customHeight="1">
      <c r="B461" s="255" t="e">
        <f>"("&amp;VLOOKUP(C461,NodeList!$D$5:$E$68,2,FALSE)&amp;")"</f>
        <v>#N/A</v>
      </c>
      <c r="C461" s="256"/>
      <c r="D461" s="388">
        <v>1</v>
      </c>
      <c r="E461" s="355">
        <f>$D461*((E458*(VLOOKUP(I460,'Option Tables'!$B$23:$F$26,2)))+(P458*(VLOOKUP(I460,'Option Tables'!$B$23:$F$26,3)))+(O458*(VLOOKUP(I460,'Option Tables'!$B$23:$F$26,4))+(N458*(VLOOKUP(I460,'Option Tables'!$B$23:$F$26,5)))))</f>
        <v>0</v>
      </c>
      <c r="F461" s="355">
        <f>$D461*((F458*(VLOOKUP(I460,'Option Tables'!$B$23:$F$26,2)))+(E458*(VLOOKUP(I460,'Option Tables'!$B$23:$F$26,3)))+(P458*(VLOOKUP(I460,'Option Tables'!$B$23:$F$26,4))+(O458*(VLOOKUP(I460,'Option Tables'!$B$23:$F$26,5)))))</f>
        <v>0</v>
      </c>
      <c r="G461" s="355">
        <f>$D461*((G458*(VLOOKUP(I460,'Option Tables'!$B$23:$F$26,2)))+(F458*(VLOOKUP(I460,'Option Tables'!$B$23:$F$26,3)))+(E458*(VLOOKUP(I460,'Option Tables'!$B$23:$F$26,4))+(P458*(VLOOKUP(I460,'Option Tables'!$B$23:$F$26,5)))))</f>
        <v>0</v>
      </c>
      <c r="H461" s="355">
        <f>$D461*((H458*(VLOOKUP(I460,'Option Tables'!$B$23:$F$26,2)))+(G458*(VLOOKUP(I460,'Option Tables'!$B$23:$F$26,3)))+(F458*(VLOOKUP(I460,'Option Tables'!$B$23:$F$26,4))+(E458*(VLOOKUP(I460,'Option Tables'!$B$23:$F$26,5)))))</f>
        <v>0</v>
      </c>
      <c r="I461" s="355">
        <f>$D461*((I458*(VLOOKUP(I460,'Option Tables'!$B$23:$F$26,2)))+(H458*(VLOOKUP(I460,'Option Tables'!$B$23:$F$26,3)))+(G458*(VLOOKUP(I460,'Option Tables'!$B$23:$F$26,4))+(F458*(VLOOKUP(I460,'Option Tables'!$B$23:$F$26,5)))))</f>
        <v>0</v>
      </c>
      <c r="J461" s="355">
        <f>$D461*((J458*(VLOOKUP(I460,'Option Tables'!$B$23:$F$26,2)))+(I458*(VLOOKUP(I460,'Option Tables'!$B$23:$F$26,3)))+(H458*(VLOOKUP(I460,'Option Tables'!$B$23:$F$26,4))+(G458*(VLOOKUP(I460,'Option Tables'!$B$23:$F$26,5)))))</f>
        <v>0</v>
      </c>
      <c r="K461" s="355">
        <f>$D461*((K458*(VLOOKUP(I460,'Option Tables'!$B$23:$F$26,2)))+(J458*(VLOOKUP(I460,'Option Tables'!$B$23:$F$26,3)))+(I458*(VLOOKUP(I460,'Option Tables'!$B$23:$F$26,4))+(H458*(VLOOKUP(I460,'Option Tables'!$B$23:$F$26,5)))))</f>
        <v>0</v>
      </c>
      <c r="L461" s="355">
        <f>$D461*((L458*(VLOOKUP(I460,'Option Tables'!$B$23:$F$26,2)))+(K458*(VLOOKUP(I460,'Option Tables'!$B$23:$F$26,3)))+(J458*(VLOOKUP(I460,'Option Tables'!$B$23:$F$26,4))+(I458*(VLOOKUP(I460,'Option Tables'!$B$23:$F$26,5)))))</f>
        <v>0</v>
      </c>
      <c r="M461" s="355">
        <f>$D461*((M458*(VLOOKUP(I460,'Option Tables'!$B$23:$F$26,2)))+(L458*(VLOOKUP(I460,'Option Tables'!$B$23:$F$26,3)))+(K458*(VLOOKUP(I460,'Option Tables'!$B$23:$F$26,4))+(J458*(VLOOKUP(I460,'Option Tables'!$B$23:$F$26,5)))))</f>
        <v>0</v>
      </c>
      <c r="N461" s="355">
        <f>$D461*((N458*(VLOOKUP(I460,'Option Tables'!$B$23:$F$26,2)))+(M458*(VLOOKUP(I460,'Option Tables'!$B$23:$F$26,3)))+(L458*(VLOOKUP(I460,'Option Tables'!$B$23:$F$26,4))+(K458*(VLOOKUP(I460,'Option Tables'!$B$23:$F$26,5)))))</f>
        <v>0</v>
      </c>
      <c r="O461" s="355">
        <f>$D461*((O458*(VLOOKUP(I460,'Option Tables'!$B$23:$F$26,2)))+(N458*(VLOOKUP(I460,'Option Tables'!$B$23:$F$26,3)))+(M458*(VLOOKUP(I460,'Option Tables'!$B$23:$F$26,4))+(L458*(VLOOKUP(I460,'Option Tables'!$B$23:$F$26,5)))))</f>
        <v>0</v>
      </c>
      <c r="P461" s="465">
        <f>$D461*((P458*(VLOOKUP(I460,'Option Tables'!$B$23:$F$26,2)))+(O458*(VLOOKUP(I460,'Option Tables'!$B$23:$F$26,3)))+(N458*(VLOOKUP(I460,'Option Tables'!$B$23:$F$26,4))+(M458*(VLOOKUP(I460,'Option Tables'!$B$23:$F$26,5)))))</f>
        <v>0</v>
      </c>
    </row>
    <row r="462" spans="1:18" ht="15.75" customHeight="1">
      <c r="B462" s="95"/>
      <c r="C462" s="256"/>
      <c r="D462" s="388">
        <v>0</v>
      </c>
      <c r="E462" s="355">
        <f>$D462*((E458*(VLOOKUP(I460,'Option Tables'!$B$23:$F$26,2)))+(P458*(VLOOKUP(I460,'Option Tables'!$B$23:$F$26,3)))+(O458*(VLOOKUP(I460,'Option Tables'!$B$23:$F$26,4))+(N458*(VLOOKUP(I460,'Option Tables'!$B$23:$F$26,5)))))</f>
        <v>0</v>
      </c>
      <c r="F462" s="355">
        <f>$D462*((F458*(VLOOKUP(I460,'Option Tables'!$B$23:$F$26,2)))+(E458*(VLOOKUP(I460,'Option Tables'!$B$23:$F$26,3)))+(P458*(VLOOKUP(I460,'Option Tables'!$B$23:$F$26,4))+(O458*(VLOOKUP(I460,'Option Tables'!$B$23:$F$26,5)))))</f>
        <v>0</v>
      </c>
      <c r="G462" s="355">
        <f>$D462*((G458*(VLOOKUP(I460,'Option Tables'!$B$23:$F$26,2)))+(F458*(VLOOKUP(I460,'Option Tables'!$B$23:$F$26,3)))+(E458*(VLOOKUP(I460,'Option Tables'!$B$23:$F$26,4))+(P458*(VLOOKUP(I460,'Option Tables'!$B$23:$F$26,5)))))</f>
        <v>0</v>
      </c>
      <c r="H462" s="355">
        <f>$D462*((H458*(VLOOKUP(I460,'Option Tables'!$B$23:$F$26,2)))+(G458*(VLOOKUP(I460,'Option Tables'!$B$23:$F$26,3)))+(F458*(VLOOKUP(I460,'Option Tables'!$B$23:$F$26,4))+(E458*(VLOOKUP(I460,'Option Tables'!$B$23:$F$26,5)))))</f>
        <v>0</v>
      </c>
      <c r="I462" s="355">
        <f>$D462*((I458*(VLOOKUP(I460,'Option Tables'!$B$23:$F$26,2)))+(H458*(VLOOKUP(I460,'Option Tables'!$B$23:$F$26,3)))+(G458*(VLOOKUP(I460,'Option Tables'!$B$23:$F$26,4))+(F458*(VLOOKUP(I460,'Option Tables'!$B$23:$F$26,5)))))</f>
        <v>0</v>
      </c>
      <c r="J462" s="355">
        <f>$D462*((J458*(VLOOKUP(I460,'Option Tables'!$B$23:$F$26,2)))+(I458*(VLOOKUP(I460,'Option Tables'!$B$23:$F$26,3)))+(H458*(VLOOKUP(I460,'Option Tables'!$B$23:$F$26,4))+(G458*(VLOOKUP(I460,'Option Tables'!$B$23:$F$26,5)))))</f>
        <v>0</v>
      </c>
      <c r="K462" s="355">
        <f>$D462*((K458*(VLOOKUP(I460,'Option Tables'!$B$23:$F$26,2)))+(J458*(VLOOKUP(I460,'Option Tables'!$B$23:$F$26,3)))+(I458*(VLOOKUP(I460,'Option Tables'!$B$23:$F$26,4))+(H458*(VLOOKUP(I460,'Option Tables'!$B$23:$F$26,5)))))</f>
        <v>0</v>
      </c>
      <c r="L462" s="355">
        <f>$D462*((L458*(VLOOKUP(I460,'Option Tables'!$B$23:$F$26,2)))+(K458*(VLOOKUP(I460,'Option Tables'!$B$23:$F$26,3)))+(J458*(VLOOKUP(I460,'Option Tables'!$B$23:$F$26,4))+(I458*(VLOOKUP(I460,'Option Tables'!$B$23:$F$26,5)))))</f>
        <v>0</v>
      </c>
      <c r="M462" s="355">
        <f>$D462*((M458*(VLOOKUP(I460,'Option Tables'!$B$23:$F$26,2)))+(L458*(VLOOKUP(I460,'Option Tables'!$B$23:$F$26,3)))+(K458*(VLOOKUP(I460,'Option Tables'!$B$23:$F$26,4))+(J458*(VLOOKUP(I460,'Option Tables'!$B$23:$F$26,5)))))</f>
        <v>0</v>
      </c>
      <c r="N462" s="355">
        <f>$D462*((N458*(VLOOKUP(I460,'Option Tables'!$B$23:$F$26,2)))+(M458*(VLOOKUP(I460,'Option Tables'!$B$23:$F$26,3)))+(L458*(VLOOKUP(I460,'Option Tables'!$B$23:$F$26,4))+(K458*(VLOOKUP(I460,'Option Tables'!$B$23:$F$26,5)))))</f>
        <v>0</v>
      </c>
      <c r="O462" s="355">
        <f>$D462*((O458*(VLOOKUP(I460,'Option Tables'!$B$23:$F$26,2)))+(N458*(VLOOKUP(I460,'Option Tables'!$B$23:$F$26,3)))+(M458*(VLOOKUP(I460,'Option Tables'!$B$23:$F$26,4))+(L458*(VLOOKUP(I460,'Option Tables'!$B$23:$F$26,5)))))</f>
        <v>0</v>
      </c>
      <c r="P462" s="465">
        <f>$D462*((P458*(VLOOKUP(I460,'Option Tables'!$B$23:$F$26,2)))+(O458*(VLOOKUP(I460,'Option Tables'!$B$23:$F$26,3)))+(N458*(VLOOKUP(I460,'Option Tables'!$B$23:$F$26,4))+(M458*(VLOOKUP(I460,'Option Tables'!$B$23:$F$26,5)))))</f>
        <v>0</v>
      </c>
    </row>
    <row r="463" spans="1:18" ht="15.75" customHeight="1">
      <c r="B463" s="95"/>
      <c r="C463" s="256"/>
      <c r="D463" s="388">
        <v>0</v>
      </c>
      <c r="E463" s="355">
        <f>$D463*((E458*(VLOOKUP(I460,'Option Tables'!$B$23:$F$26,2)))+(P458*(VLOOKUP(I460,'Option Tables'!$B$23:$F$26,3)))+(O458*(VLOOKUP(I460,'Option Tables'!$B$23:$F$26,4))+(N458*(VLOOKUP(I460,'Option Tables'!$B$23:$F$26,5)))))</f>
        <v>0</v>
      </c>
      <c r="F463" s="355">
        <f>$D463*((F458*(VLOOKUP(I460,'Option Tables'!$B$23:$F$26,2)))+(E458*(VLOOKUP(I460,'Option Tables'!$B$23:$F$26,3)))+(P458*(VLOOKUP(I460,'Option Tables'!$B$23:$F$26,4))+(O458*(VLOOKUP(I460,'Option Tables'!$B$23:$F$26,5)))))</f>
        <v>0</v>
      </c>
      <c r="G463" s="355">
        <f>$D463*((G458*(VLOOKUP(I460,'Option Tables'!$B$23:$F$26,2)))+(F458*(VLOOKUP(I460,'Option Tables'!$B$23:$F$26,3)))+(E458*(VLOOKUP(I460,'Option Tables'!$B$23:$F$26,4))+(P458*(VLOOKUP(I460,'Option Tables'!$B$23:$F$26,5)))))</f>
        <v>0</v>
      </c>
      <c r="H463" s="355">
        <f>$D463*((H458*(VLOOKUP(I460,'Option Tables'!$B$23:$F$26,2)))+(G458*(VLOOKUP(I460,'Option Tables'!$B$23:$F$26,3)))+(F458*(VLOOKUP(I460,'Option Tables'!$B$23:$F$26,4))+(E458*(VLOOKUP(I460,'Option Tables'!$B$23:$F$26,5)))))</f>
        <v>0</v>
      </c>
      <c r="I463" s="355">
        <f>$D463*((I458*(VLOOKUP(I460,'Option Tables'!$B$23:$F$26,2)))+(H458*(VLOOKUP(I460,'Option Tables'!$B$23:$F$26,3)))+(G458*(VLOOKUP(I460,'Option Tables'!$B$23:$F$26,4))+(F458*(VLOOKUP(I460,'Option Tables'!$B$23:$F$26,5)))))</f>
        <v>0</v>
      </c>
      <c r="J463" s="355">
        <f>$D463*((J458*(VLOOKUP(I460,'Option Tables'!$B$23:$F$26,2)))+(I458*(VLOOKUP(I460,'Option Tables'!$B$23:$F$26,3)))+(H458*(VLOOKUP(I460,'Option Tables'!$B$23:$F$26,4))+(G458*(VLOOKUP(I460,'Option Tables'!$B$23:$F$26,5)))))</f>
        <v>0</v>
      </c>
      <c r="K463" s="355">
        <f>$D463*((K458*(VLOOKUP(I460,'Option Tables'!$B$23:$F$26,2)))+(J458*(VLOOKUP(I460,'Option Tables'!$B$23:$F$26,3)))+(I458*(VLOOKUP(I460,'Option Tables'!$B$23:$F$26,4))+(H458*(VLOOKUP(I460,'Option Tables'!$B$23:$F$26,5)))))</f>
        <v>0</v>
      </c>
      <c r="L463" s="355">
        <f>$D463*((L458*(VLOOKUP(I460,'Option Tables'!$B$23:$F$26,2)))+(K458*(VLOOKUP(I460,'Option Tables'!$B$23:$F$26,3)))+(J458*(VLOOKUP(I460,'Option Tables'!$B$23:$F$26,4))+(I458*(VLOOKUP(I460,'Option Tables'!$B$23:$F$26,5)))))</f>
        <v>0</v>
      </c>
      <c r="M463" s="355">
        <f>$D463*((M458*(VLOOKUP(I460,'Option Tables'!$B$23:$F$26,2)))+(L458*(VLOOKUP(I460,'Option Tables'!$B$23:$F$26,3)))+(K458*(VLOOKUP(I460,'Option Tables'!$B$23:$F$26,4))+(J458*(VLOOKUP(I460,'Option Tables'!$B$23:$F$26,5)))))</f>
        <v>0</v>
      </c>
      <c r="N463" s="355">
        <f>$D463*((N458*(VLOOKUP(I460,'Option Tables'!$B$23:$F$26,2)))+(M458*(VLOOKUP(I460,'Option Tables'!$B$23:$F$26,3)))+(L458*(VLOOKUP(I460,'Option Tables'!$B$23:$F$26,4))+(K458*(VLOOKUP(I460,'Option Tables'!$B$23:$F$26,5)))))</f>
        <v>0</v>
      </c>
      <c r="O463" s="355">
        <f>$D463*((O458*(VLOOKUP(I460,'Option Tables'!$B$23:$F$26,2)))+(N458*(VLOOKUP(I460,'Option Tables'!$B$23:$F$26,3)))+(M458*(VLOOKUP(I460,'Option Tables'!$B$23:$F$26,4))+(L458*(VLOOKUP(I460,'Option Tables'!$B$23:$F$26,5)))))</f>
        <v>0</v>
      </c>
      <c r="P463" s="465">
        <f>$D463*((P458*(VLOOKUP(I460,'Option Tables'!$B$23:$F$26,2)))+(O458*(VLOOKUP(I460,'Option Tables'!$B$23:$F$26,3)))+(N458*(VLOOKUP(I460,'Option Tables'!$B$23:$F$26,4))+(M458*(VLOOKUP(I460,'Option Tables'!$B$23:$F$26,5)))))</f>
        <v>0</v>
      </c>
    </row>
    <row r="464" spans="1:18" ht="15.75" customHeight="1">
      <c r="B464" s="95"/>
      <c r="C464" s="256"/>
      <c r="D464" s="388">
        <v>0</v>
      </c>
      <c r="E464" s="355">
        <f>$D464*((E458*(VLOOKUP(I460,'Option Tables'!$B$23:$F$26,2)))+(P458*(VLOOKUP(I460,'Option Tables'!$B$23:$F$26,3)))+(O458*(VLOOKUP(I460,'Option Tables'!$B$23:$F$26,4))+(N458*(VLOOKUP(I460,'Option Tables'!$B$23:$F$26,5)))))</f>
        <v>0</v>
      </c>
      <c r="F464" s="355">
        <f>$D464*((F458*(VLOOKUP(I460,'Option Tables'!$B$23:$F$26,2)))+(E458*(VLOOKUP(I460,'Option Tables'!$B$23:$F$26,3)))+(P458*(VLOOKUP(I460,'Option Tables'!$B$23:$F$26,4))+(O458*(VLOOKUP(I460,'Option Tables'!$B$23:$F$26,5)))))</f>
        <v>0</v>
      </c>
      <c r="G464" s="355">
        <f>$D464*((G458*(VLOOKUP(I460,'Option Tables'!$B$23:$F$26,2)))+(F458*(VLOOKUP(I460,'Option Tables'!$B$23:$F$26,3)))+(E458*(VLOOKUP(I460,'Option Tables'!$B$23:$F$26,4))+(P458*(VLOOKUP(I460,'Option Tables'!$B$23:$F$26,5)))))</f>
        <v>0</v>
      </c>
      <c r="H464" s="355">
        <f>$D464*((H458*(VLOOKUP(I460,'Option Tables'!$B$23:$F$26,2)))+(G458*(VLOOKUP(I460,'Option Tables'!$B$23:$F$26,3)))+(F458*(VLOOKUP(I460,'Option Tables'!$B$23:$F$26,4))+(E458*(VLOOKUP(I460,'Option Tables'!$B$23:$F$26,5)))))</f>
        <v>0</v>
      </c>
      <c r="I464" s="355">
        <f>$D464*((I458*(VLOOKUP(I460,'Option Tables'!$B$23:$F$26,2)))+(H458*(VLOOKUP(I460,'Option Tables'!$B$23:$F$26,3)))+(G458*(VLOOKUP(I460,'Option Tables'!$B$23:$F$26,4))+(F458*(VLOOKUP(I460,'Option Tables'!$B$23:$F$26,5)))))</f>
        <v>0</v>
      </c>
      <c r="J464" s="355">
        <f>$D464*((J458*(VLOOKUP(I460,'Option Tables'!$B$23:$F$26,2)))+(I458*(VLOOKUP(I460,'Option Tables'!$B$23:$F$26,3)))+(H458*(VLOOKUP(I460,'Option Tables'!$B$23:$F$26,4))+(G458*(VLOOKUP(I460,'Option Tables'!$B$23:$F$26,5)))))</f>
        <v>0</v>
      </c>
      <c r="K464" s="355">
        <f>$D464*((K458*(VLOOKUP(I460,'Option Tables'!$B$23:$F$26,2)))+(J458*(VLOOKUP(I460,'Option Tables'!$B$23:$F$26,3)))+(I458*(VLOOKUP(I460,'Option Tables'!$B$23:$F$26,4))+(H458*(VLOOKUP(I460,'Option Tables'!$B$23:$F$26,5)))))</f>
        <v>0</v>
      </c>
      <c r="L464" s="355">
        <f>$D464*((L458*(VLOOKUP(I460,'Option Tables'!$B$23:$F$26,2)))+(K458*(VLOOKUP(I460,'Option Tables'!$B$23:$F$26,3)))+(J458*(VLOOKUP(I460,'Option Tables'!$B$23:$F$26,4))+(I458*(VLOOKUP(I460,'Option Tables'!$B$23:$F$26,5)))))</f>
        <v>0</v>
      </c>
      <c r="M464" s="355">
        <f>$D464*((M458*(VLOOKUP(I460,'Option Tables'!$B$23:$F$26,2)))+(L458*(VLOOKUP(I460,'Option Tables'!$B$23:$F$26,3)))+(K458*(VLOOKUP(I460,'Option Tables'!$B$23:$F$26,4))+(J458*(VLOOKUP(I460,'Option Tables'!$B$23:$F$26,5)))))</f>
        <v>0</v>
      </c>
      <c r="N464" s="355">
        <f>$D464*((N458*(VLOOKUP(I460,'Option Tables'!$B$23:$F$26,2)))+(M458*(VLOOKUP(I460,'Option Tables'!$B$23:$F$26,3)))+(L458*(VLOOKUP(I460,'Option Tables'!$B$23:$F$26,4))+(K458*(VLOOKUP(I460,'Option Tables'!$B$23:$F$26,5)))))</f>
        <v>0</v>
      </c>
      <c r="O464" s="355">
        <f>$D464*((O458*(VLOOKUP(I460,'Option Tables'!$B$23:$F$26,2)))+(N458*(VLOOKUP(I460,'Option Tables'!$B$23:$F$26,3)))+(M458*(VLOOKUP(I460,'Option Tables'!$B$23:$F$26,4))+(L458*(VLOOKUP(I460,'Option Tables'!$B$23:$F$26,5)))))</f>
        <v>0</v>
      </c>
      <c r="P464" s="465">
        <f>$D464*((P458*(VLOOKUP(I460,'Option Tables'!$B$23:$F$26,2)))+(O458*(VLOOKUP(I460,'Option Tables'!$B$23:$F$26,3)))+(N458*(VLOOKUP(I460,'Option Tables'!$B$23:$F$26,4))+(M458*(VLOOKUP(I460,'Option Tables'!$B$23:$F$26,5)))))</f>
        <v>0</v>
      </c>
    </row>
    <row r="465" spans="2:18" ht="15.75" customHeight="1" thickBot="1">
      <c r="B465" s="97"/>
      <c r="C465" s="144" t="str">
        <f>IF(D465&lt;&gt;1,"Must equal %100","")</f>
        <v/>
      </c>
      <c r="D465" s="71">
        <f t="shared" ref="D465:P465" si="44">SUM(D461:D464)</f>
        <v>1</v>
      </c>
      <c r="E465" s="466">
        <f t="shared" si="44"/>
        <v>0</v>
      </c>
      <c r="F465" s="466">
        <f t="shared" si="44"/>
        <v>0</v>
      </c>
      <c r="G465" s="466">
        <f t="shared" si="44"/>
        <v>0</v>
      </c>
      <c r="H465" s="466">
        <f t="shared" si="44"/>
        <v>0</v>
      </c>
      <c r="I465" s="466">
        <f t="shared" si="44"/>
        <v>0</v>
      </c>
      <c r="J465" s="466">
        <f t="shared" si="44"/>
        <v>0</v>
      </c>
      <c r="K465" s="466">
        <f t="shared" si="44"/>
        <v>0</v>
      </c>
      <c r="L465" s="466">
        <f t="shared" si="44"/>
        <v>0</v>
      </c>
      <c r="M465" s="466">
        <f t="shared" si="44"/>
        <v>0</v>
      </c>
      <c r="N465" s="466">
        <f t="shared" si="44"/>
        <v>0</v>
      </c>
      <c r="O465" s="466">
        <f t="shared" si="44"/>
        <v>0</v>
      </c>
      <c r="P465" s="467">
        <f t="shared" si="44"/>
        <v>0</v>
      </c>
      <c r="R465" s="140"/>
    </row>
    <row r="466" spans="2:18" ht="15.75" customHeight="1" thickBot="1">
      <c r="B466" s="85" t="s">
        <v>132</v>
      </c>
      <c r="C466" s="257" t="str">
        <f>VLOOKUP(B466,NodeList!$D$5:$E$73,2,FALSE)</f>
        <v>Button Flat</v>
      </c>
      <c r="D466" s="91"/>
      <c r="E466" s="450"/>
      <c r="F466" s="451"/>
      <c r="G466" s="452"/>
      <c r="H466" s="453" t="s">
        <v>54</v>
      </c>
      <c r="I466" s="68">
        <v>36</v>
      </c>
      <c r="J466" s="454"/>
      <c r="K466" s="454"/>
      <c r="L466" s="454"/>
      <c r="M466" s="454"/>
      <c r="N466" s="454"/>
      <c r="O466" s="454"/>
      <c r="P466" s="455"/>
    </row>
    <row r="467" spans="2:18" ht="15.75" customHeight="1">
      <c r="B467" s="94"/>
      <c r="C467" s="66" t="s">
        <v>57</v>
      </c>
      <c r="D467" s="69"/>
      <c r="E467" s="456">
        <f>VLOOKUP($B466,'Diversion Data'!$B$3:$O$227,3,FALSE)</f>
        <v>0</v>
      </c>
      <c r="F467" s="456">
        <f>VLOOKUP($B466,'Diversion Data'!$B$3:$O$227,4,FALSE)</f>
        <v>0</v>
      </c>
      <c r="G467" s="456">
        <f>VLOOKUP($B466,'Diversion Data'!$B$3:$O$227,5,FALSE)</f>
        <v>0</v>
      </c>
      <c r="H467" s="456">
        <f>VLOOKUP($B466,'Diversion Data'!$B$3:$O$227,6,FALSE)</f>
        <v>0</v>
      </c>
      <c r="I467" s="456">
        <f>VLOOKUP($B466,'Diversion Data'!$B$3:$O$227,7,FALSE)</f>
        <v>121.51380165289258</v>
      </c>
      <c r="J467" s="456">
        <f>VLOOKUP($B466,'Diversion Data'!$B$3:$O$227,8,FALSE)</f>
        <v>233.34715909090912</v>
      </c>
      <c r="K467" s="456">
        <f>VLOOKUP($B466,'Diversion Data'!$B$3:$O$227,9,FALSE)</f>
        <v>122.73444214876031</v>
      </c>
      <c r="L467" s="456">
        <f>VLOOKUP($B466,'Diversion Data'!$B$3:$O$227,10,FALSE)</f>
        <v>23.539989669421487</v>
      </c>
      <c r="M467" s="456">
        <f>VLOOKUP($B466,'Diversion Data'!$B$3:$O$227,11,FALSE)</f>
        <v>4.5384194214876032</v>
      </c>
      <c r="N467" s="456">
        <f>VLOOKUP($B466,'Diversion Data'!$B$3:$O$227,12,FALSE)</f>
        <v>0</v>
      </c>
      <c r="O467" s="456">
        <f>VLOOKUP($B466,'Diversion Data'!$B$3:$O$227,13,FALSE)</f>
        <v>0</v>
      </c>
      <c r="P467" s="457">
        <f>VLOOKUP($B466,'Diversion Data'!$B$3:$O$227,14,FALSE)</f>
        <v>0</v>
      </c>
    </row>
    <row r="468" spans="2:18" ht="15.75" customHeight="1">
      <c r="B468" s="95"/>
      <c r="C468" s="72" t="s">
        <v>56</v>
      </c>
      <c r="D468" s="70"/>
      <c r="E468" s="458">
        <f>VLOOKUP($I466,'Option Tables'!$B$3:$N$19,2,FALSE)*E467</f>
        <v>0</v>
      </c>
      <c r="F468" s="458">
        <f>VLOOKUP($I466,'Option Tables'!$B$3:$N$19,3,FALSE)*F467</f>
        <v>0</v>
      </c>
      <c r="G468" s="458">
        <f>VLOOKUP($I466,'Option Tables'!$B$3:$N$19,4,FALSE)*G467</f>
        <v>0</v>
      </c>
      <c r="H468" s="458">
        <f>VLOOKUP($I466,'Option Tables'!$B$3:$N$19,5,FALSE)*H467</f>
        <v>0</v>
      </c>
      <c r="I468" s="458">
        <f>VLOOKUP($I466,'Option Tables'!$B$3:$N$19,6,FALSE)*I467</f>
        <v>77.768833057851253</v>
      </c>
      <c r="J468" s="458">
        <f>VLOOKUP($I466,'Option Tables'!$B$3:$N$19,7,FALSE)*J467</f>
        <v>149.34218181818184</v>
      </c>
      <c r="K468" s="458">
        <f>VLOOKUP($I466,'Option Tables'!$B$3:$N$19,8,FALSE)*K467</f>
        <v>78.550042975206594</v>
      </c>
      <c r="L468" s="458">
        <f>VLOOKUP($I466,'Option Tables'!$B$3:$N$19,9,FALSE)*L467</f>
        <v>15.065593388429752</v>
      </c>
      <c r="M468" s="458">
        <f>VLOOKUP($I466,'Option Tables'!$B$3:$N$19,10,FALSE)*M467</f>
        <v>2.9045884297520663</v>
      </c>
      <c r="N468" s="458">
        <f>VLOOKUP($I466,'Option Tables'!$B$3:$N$19,11,FALSE)*N467</f>
        <v>0</v>
      </c>
      <c r="O468" s="458">
        <f>VLOOKUP($I466,'Option Tables'!$B$3:$N$19,12,FALSE)*O467</f>
        <v>0</v>
      </c>
      <c r="P468" s="459">
        <f>VLOOKUP($I466,'Option Tables'!$B$3:$N$19,13,FALSE)*P467</f>
        <v>0</v>
      </c>
    </row>
    <row r="469" spans="2:18" ht="15.75" customHeight="1" thickBot="1">
      <c r="B469" s="95"/>
      <c r="C469" s="66"/>
      <c r="D469" s="62"/>
      <c r="E469" s="355"/>
      <c r="F469" s="355"/>
      <c r="G469" s="355"/>
      <c r="H469" s="355"/>
      <c r="I469" s="355"/>
      <c r="J469" s="355"/>
      <c r="K469" s="355"/>
      <c r="L469" s="355"/>
      <c r="M469" s="460"/>
      <c r="N469" s="460"/>
      <c r="O469" s="460"/>
      <c r="P469" s="461"/>
    </row>
    <row r="470" spans="2:18" ht="15.75" customHeight="1" thickBot="1">
      <c r="B470" s="254" t="s">
        <v>73</v>
      </c>
      <c r="C470" s="105" t="s">
        <v>73</v>
      </c>
      <c r="D470" s="105" t="s">
        <v>74</v>
      </c>
      <c r="E470" s="462"/>
      <c r="F470" s="463"/>
      <c r="G470" s="464"/>
      <c r="H470" s="464" t="s">
        <v>55</v>
      </c>
      <c r="I470" s="68">
        <v>2</v>
      </c>
      <c r="J470" s="460"/>
      <c r="K470" s="460"/>
      <c r="L470" s="460"/>
      <c r="M470" s="460"/>
      <c r="N470" s="460"/>
      <c r="O470" s="460"/>
      <c r="P470" s="461"/>
    </row>
    <row r="471" spans="2:18" ht="15.75" customHeight="1">
      <c r="B471" s="255" t="str">
        <f>"("&amp;VLOOKUP(C471,NodeList!$D$5:$E$68,2,FALSE)&amp;")"</f>
        <v>(Emelle)</v>
      </c>
      <c r="C471" s="256" t="s">
        <v>138</v>
      </c>
      <c r="D471" s="388">
        <v>1</v>
      </c>
      <c r="E471" s="355">
        <f>$D471*((E468*(VLOOKUP(I470,'Option Tables'!$B$23:$F$26,2)))+(P468*(VLOOKUP(I470,'Option Tables'!$B$23:$F$26,3)))+(O468*(VLOOKUP(I470,'Option Tables'!$B$23:$F$26,4))+(N468*(VLOOKUP(I470,'Option Tables'!$B$23:$F$26,5)))))</f>
        <v>0</v>
      </c>
      <c r="F471" s="355">
        <f>$D471*((F468*(VLOOKUP(I470,'Option Tables'!$B$23:$F$26,2)))+(E468*(VLOOKUP(I470,'Option Tables'!$B$23:$F$26,3)))+(P468*(VLOOKUP(I470,'Option Tables'!$B$23:$F$26,4))+(O468*(VLOOKUP(I470,'Option Tables'!$B$23:$F$26,5)))))</f>
        <v>0</v>
      </c>
      <c r="G471" s="355">
        <f>$D471*((G468*(VLOOKUP(I470,'Option Tables'!$B$23:$F$26,2)))+(F468*(VLOOKUP(I470,'Option Tables'!$B$23:$F$26,3)))+(E468*(VLOOKUP(I470,'Option Tables'!$B$23:$F$26,4))+(P468*(VLOOKUP(I470,'Option Tables'!$B$23:$F$26,5)))))</f>
        <v>0</v>
      </c>
      <c r="H471" s="355">
        <f>$D471*((H468*(VLOOKUP(I470,'Option Tables'!$B$23:$F$26,2)))+(G468*(VLOOKUP(I470,'Option Tables'!$B$23:$F$26,3)))+(F468*(VLOOKUP(I470,'Option Tables'!$B$23:$F$26,4))+(E468*(VLOOKUP(I470,'Option Tables'!$B$23:$F$26,5)))))</f>
        <v>0</v>
      </c>
      <c r="I471" s="355">
        <f>$D471*((I468*(VLOOKUP(I470,'Option Tables'!$B$23:$F$26,2)))+(H468*(VLOOKUP(I470,'Option Tables'!$B$23:$F$26,3)))+(G468*(VLOOKUP(I470,'Option Tables'!$B$23:$F$26,4))+(F468*(VLOOKUP(I470,'Option Tables'!$B$23:$F$26,5)))))</f>
        <v>54.438183140495873</v>
      </c>
      <c r="J471" s="355">
        <f>$D471*((J468*(VLOOKUP(I470,'Option Tables'!$B$23:$F$26,2)))+(I468*(VLOOKUP(I470,'Option Tables'!$B$23:$F$26,3)))+(H468*(VLOOKUP(I470,'Option Tables'!$B$23:$F$26,4))+(G468*(VLOOKUP(I470,'Option Tables'!$B$23:$F$26,5)))))</f>
        <v>120.09329388429754</v>
      </c>
      <c r="K471" s="355">
        <f>$D471*((K468*(VLOOKUP(I470,'Option Tables'!$B$23:$F$26,2)))+(J468*(VLOOKUP(I470,'Option Tables'!$B$23:$F$26,3)))+(I468*(VLOOKUP(I470,'Option Tables'!$B$23:$F$26,4))+(H468*(VLOOKUP(I470,'Option Tables'!$B$23:$F$26,5)))))</f>
        <v>92.630349752066095</v>
      </c>
      <c r="L471" s="355">
        <f>$D471*((L468*(VLOOKUP(I470,'Option Tables'!$B$23:$F$26,2)))+(K468*(VLOOKUP(I470,'Option Tables'!$B$23:$F$26,3)))+(J468*(VLOOKUP(I470,'Option Tables'!$B$23:$F$26,4))+(I468*(VLOOKUP(I470,'Option Tables'!$B$23:$F$26,5)))))</f>
        <v>41.19014214876033</v>
      </c>
      <c r="M471" s="355">
        <f>$D471*((M468*(VLOOKUP(I470,'Option Tables'!$B$23:$F$26,2)))+(L468*(VLOOKUP(I470,'Option Tables'!$B$23:$F$26,3)))+(K468*(VLOOKUP(I470,'Option Tables'!$B$23:$F$26,4))+(J468*(VLOOKUP(I470,'Option Tables'!$B$23:$F$26,5)))))</f>
        <v>12.901334876033056</v>
      </c>
      <c r="N471" s="355">
        <f>$D471*((N468*(VLOOKUP(I470,'Option Tables'!$B$23:$F$26,2)))+(M468*(VLOOKUP(I470,'Option Tables'!$B$23:$F$26,3)))+(L468*(VLOOKUP(I470,'Option Tables'!$B$23:$F$26,4))+(K468*(VLOOKUP(I470,'Option Tables'!$B$23:$F$26,5)))))</f>
        <v>2.0874770247933885</v>
      </c>
      <c r="O471" s="355">
        <f>$D471*((O468*(VLOOKUP(I470,'Option Tables'!$B$23:$F$26,2)))+(N468*(VLOOKUP(I470,'Option Tables'!$B$23:$F$26,3)))+(M468*(VLOOKUP(I470,'Option Tables'!$B$23:$F$26,4))+(L468*(VLOOKUP(I470,'Option Tables'!$B$23:$F$26,5)))))</f>
        <v>0.29045884297520663</v>
      </c>
      <c r="P471" s="465">
        <f>$D471*((P468*(VLOOKUP(I470,'Option Tables'!$B$23:$F$26,2)))+(O468*(VLOOKUP(I470,'Option Tables'!$B$23:$F$26,3)))+(N468*(VLOOKUP(I470,'Option Tables'!$B$23:$F$26,4))+(M468*(VLOOKUP(I470,'Option Tables'!$B$23:$F$26,5)))))</f>
        <v>0</v>
      </c>
    </row>
    <row r="472" spans="2:18" ht="15.75" customHeight="1">
      <c r="B472" s="95"/>
      <c r="C472" s="256"/>
      <c r="D472" s="388">
        <v>0</v>
      </c>
      <c r="E472" s="355">
        <f>$D472*((E468*(VLOOKUP(I470,'Option Tables'!$B$23:$F$26,2)))+(P468*(VLOOKUP(I470,'Option Tables'!$B$23:$F$26,3)))+(O468*(VLOOKUP(I470,'Option Tables'!$B$23:$F$26,4))+(N468*(VLOOKUP(I470,'Option Tables'!$B$23:$F$26,5)))))</f>
        <v>0</v>
      </c>
      <c r="F472" s="355">
        <f>$D472*((F468*(VLOOKUP(I470,'Option Tables'!$B$23:$F$26,2)))+(E468*(VLOOKUP(I470,'Option Tables'!$B$23:$F$26,3)))+(P468*(VLOOKUP(I470,'Option Tables'!$B$23:$F$26,4))+(O468*(VLOOKUP(I470,'Option Tables'!$B$23:$F$26,5)))))</f>
        <v>0</v>
      </c>
      <c r="G472" s="355">
        <f>$D472*((G468*(VLOOKUP(I470,'Option Tables'!$B$23:$F$26,2)))+(F468*(VLOOKUP(I470,'Option Tables'!$B$23:$F$26,3)))+(E468*(VLOOKUP(I470,'Option Tables'!$B$23:$F$26,4))+(P468*(VLOOKUP(I470,'Option Tables'!$B$23:$F$26,5)))))</f>
        <v>0</v>
      </c>
      <c r="H472" s="355">
        <f>$D472*((H468*(VLOOKUP(I470,'Option Tables'!$B$23:$F$26,2)))+(G468*(VLOOKUP(I470,'Option Tables'!$B$23:$F$26,3)))+(F468*(VLOOKUP(I470,'Option Tables'!$B$23:$F$26,4))+(E468*(VLOOKUP(I470,'Option Tables'!$B$23:$F$26,5)))))</f>
        <v>0</v>
      </c>
      <c r="I472" s="355">
        <f>$D472*((I468*(VLOOKUP(I470,'Option Tables'!$B$23:$F$26,2)))+(H468*(VLOOKUP(I470,'Option Tables'!$B$23:$F$26,3)))+(G468*(VLOOKUP(I470,'Option Tables'!$B$23:$F$26,4))+(F468*(VLOOKUP(I470,'Option Tables'!$B$23:$F$26,5)))))</f>
        <v>0</v>
      </c>
      <c r="J472" s="355">
        <f>$D472*((J468*(VLOOKUP(I470,'Option Tables'!$B$23:$F$26,2)))+(I468*(VLOOKUP(I470,'Option Tables'!$B$23:$F$26,3)))+(H468*(VLOOKUP(I470,'Option Tables'!$B$23:$F$26,4))+(G468*(VLOOKUP(I470,'Option Tables'!$B$23:$F$26,5)))))</f>
        <v>0</v>
      </c>
      <c r="K472" s="355">
        <f>$D472*((K468*(VLOOKUP(I470,'Option Tables'!$B$23:$F$26,2)))+(J468*(VLOOKUP(I470,'Option Tables'!$B$23:$F$26,3)))+(I468*(VLOOKUP(I470,'Option Tables'!$B$23:$F$26,4))+(H468*(VLOOKUP(I470,'Option Tables'!$B$23:$F$26,5)))))</f>
        <v>0</v>
      </c>
      <c r="L472" s="355">
        <f>$D472*((L468*(VLOOKUP(I470,'Option Tables'!$B$23:$F$26,2)))+(K468*(VLOOKUP(I470,'Option Tables'!$B$23:$F$26,3)))+(J468*(VLOOKUP(I470,'Option Tables'!$B$23:$F$26,4))+(I468*(VLOOKUP(I470,'Option Tables'!$B$23:$F$26,5)))))</f>
        <v>0</v>
      </c>
      <c r="M472" s="355">
        <f>$D472*((M468*(VLOOKUP(I470,'Option Tables'!$B$23:$F$26,2)))+(L468*(VLOOKUP(I470,'Option Tables'!$B$23:$F$26,3)))+(K468*(VLOOKUP(I470,'Option Tables'!$B$23:$F$26,4))+(J468*(VLOOKUP(I470,'Option Tables'!$B$23:$F$26,5)))))</f>
        <v>0</v>
      </c>
      <c r="N472" s="355">
        <f>$D472*((N468*(VLOOKUP(I470,'Option Tables'!$B$23:$F$26,2)))+(M468*(VLOOKUP(I470,'Option Tables'!$B$23:$F$26,3)))+(L468*(VLOOKUP(I470,'Option Tables'!$B$23:$F$26,4))+(K468*(VLOOKUP(I470,'Option Tables'!$B$23:$F$26,5)))))</f>
        <v>0</v>
      </c>
      <c r="O472" s="355">
        <f>$D472*((O468*(VLOOKUP(I470,'Option Tables'!$B$23:$F$26,2)))+(N468*(VLOOKUP(I470,'Option Tables'!$B$23:$F$26,3)))+(M468*(VLOOKUP(I470,'Option Tables'!$B$23:$F$26,4))+(L468*(VLOOKUP(I470,'Option Tables'!$B$23:$F$26,5)))))</f>
        <v>0</v>
      </c>
      <c r="P472" s="465">
        <f>$D472*((P468*(VLOOKUP(I470,'Option Tables'!$B$23:$F$26,2)))+(O468*(VLOOKUP(I470,'Option Tables'!$B$23:$F$26,3)))+(N468*(VLOOKUP(I470,'Option Tables'!$B$23:$F$26,4))+(M468*(VLOOKUP(I470,'Option Tables'!$B$23:$F$26,5)))))</f>
        <v>0</v>
      </c>
    </row>
    <row r="473" spans="2:18" ht="15.75" customHeight="1">
      <c r="B473" s="95"/>
      <c r="C473" s="256"/>
      <c r="D473" s="388">
        <v>0</v>
      </c>
      <c r="E473" s="355">
        <f>$D473*((E468*(VLOOKUP(I470,'Option Tables'!$B$23:$F$26,2)))+(P468*(VLOOKUP(I470,'Option Tables'!$B$23:$F$26,3)))+(O468*(VLOOKUP(I470,'Option Tables'!$B$23:$F$26,4))+(N468*(VLOOKUP(I470,'Option Tables'!$B$23:$F$26,5)))))</f>
        <v>0</v>
      </c>
      <c r="F473" s="355">
        <f>$D473*((F468*(VLOOKUP(I470,'Option Tables'!$B$23:$F$26,2)))+(E468*(VLOOKUP(I470,'Option Tables'!$B$23:$F$26,3)))+(P468*(VLOOKUP(I470,'Option Tables'!$B$23:$F$26,4))+(O468*(VLOOKUP(I470,'Option Tables'!$B$23:$F$26,5)))))</f>
        <v>0</v>
      </c>
      <c r="G473" s="355">
        <f>$D473*((G468*(VLOOKUP(I470,'Option Tables'!$B$23:$F$26,2)))+(F468*(VLOOKUP(I470,'Option Tables'!$B$23:$F$26,3)))+(E468*(VLOOKUP(I470,'Option Tables'!$B$23:$F$26,4))+(P468*(VLOOKUP(I470,'Option Tables'!$B$23:$F$26,5)))))</f>
        <v>0</v>
      </c>
      <c r="H473" s="355">
        <f>$D473*((H468*(VLOOKUP(I470,'Option Tables'!$B$23:$F$26,2)))+(G468*(VLOOKUP(I470,'Option Tables'!$B$23:$F$26,3)))+(F468*(VLOOKUP(I470,'Option Tables'!$B$23:$F$26,4))+(E468*(VLOOKUP(I470,'Option Tables'!$B$23:$F$26,5)))))</f>
        <v>0</v>
      </c>
      <c r="I473" s="355">
        <f>$D473*((I468*(VLOOKUP(I470,'Option Tables'!$B$23:$F$26,2)))+(H468*(VLOOKUP(I470,'Option Tables'!$B$23:$F$26,3)))+(G468*(VLOOKUP(I470,'Option Tables'!$B$23:$F$26,4))+(F468*(VLOOKUP(I470,'Option Tables'!$B$23:$F$26,5)))))</f>
        <v>0</v>
      </c>
      <c r="J473" s="355">
        <f>$D473*((J468*(VLOOKUP(I470,'Option Tables'!$B$23:$F$26,2)))+(I468*(VLOOKUP(I470,'Option Tables'!$B$23:$F$26,3)))+(H468*(VLOOKUP(I470,'Option Tables'!$B$23:$F$26,4))+(G468*(VLOOKUP(I470,'Option Tables'!$B$23:$F$26,5)))))</f>
        <v>0</v>
      </c>
      <c r="K473" s="355">
        <f>$D473*((K468*(VLOOKUP(I470,'Option Tables'!$B$23:$F$26,2)))+(J468*(VLOOKUP(I470,'Option Tables'!$B$23:$F$26,3)))+(I468*(VLOOKUP(I470,'Option Tables'!$B$23:$F$26,4))+(H468*(VLOOKUP(I470,'Option Tables'!$B$23:$F$26,5)))))</f>
        <v>0</v>
      </c>
      <c r="L473" s="355">
        <f>$D473*((L468*(VLOOKUP(I470,'Option Tables'!$B$23:$F$26,2)))+(K468*(VLOOKUP(I470,'Option Tables'!$B$23:$F$26,3)))+(J468*(VLOOKUP(I470,'Option Tables'!$B$23:$F$26,4))+(I468*(VLOOKUP(I470,'Option Tables'!$B$23:$F$26,5)))))</f>
        <v>0</v>
      </c>
      <c r="M473" s="355">
        <f>$D473*((M468*(VLOOKUP(I470,'Option Tables'!$B$23:$F$26,2)))+(L468*(VLOOKUP(I470,'Option Tables'!$B$23:$F$26,3)))+(K468*(VLOOKUP(I470,'Option Tables'!$B$23:$F$26,4))+(J468*(VLOOKUP(I470,'Option Tables'!$B$23:$F$26,5)))))</f>
        <v>0</v>
      </c>
      <c r="N473" s="355">
        <f>$D473*((N468*(VLOOKUP(I470,'Option Tables'!$B$23:$F$26,2)))+(M468*(VLOOKUP(I470,'Option Tables'!$B$23:$F$26,3)))+(L468*(VLOOKUP(I470,'Option Tables'!$B$23:$F$26,4))+(K468*(VLOOKUP(I470,'Option Tables'!$B$23:$F$26,5)))))</f>
        <v>0</v>
      </c>
      <c r="O473" s="355">
        <f>$D473*((O468*(VLOOKUP(I470,'Option Tables'!$B$23:$F$26,2)))+(N468*(VLOOKUP(I470,'Option Tables'!$B$23:$F$26,3)))+(M468*(VLOOKUP(I470,'Option Tables'!$B$23:$F$26,4))+(L468*(VLOOKUP(I470,'Option Tables'!$B$23:$F$26,5)))))</f>
        <v>0</v>
      </c>
      <c r="P473" s="465">
        <f>$D473*((P468*(VLOOKUP(I470,'Option Tables'!$B$23:$F$26,2)))+(O468*(VLOOKUP(I470,'Option Tables'!$B$23:$F$26,3)))+(N468*(VLOOKUP(I470,'Option Tables'!$B$23:$F$26,4))+(M468*(VLOOKUP(I470,'Option Tables'!$B$23:$F$26,5)))))</f>
        <v>0</v>
      </c>
    </row>
    <row r="474" spans="2:18" ht="15.75" customHeight="1">
      <c r="B474" s="95"/>
      <c r="C474" s="256"/>
      <c r="D474" s="388">
        <v>0</v>
      </c>
      <c r="E474" s="355">
        <f>$D474*((E468*(VLOOKUP(I470,'Option Tables'!$B$23:$F$26,2)))+(P468*(VLOOKUP(I470,'Option Tables'!$B$23:$F$26,3)))+(O468*(VLOOKUP(I470,'Option Tables'!$B$23:$F$26,4))+(N468*(VLOOKUP(I470,'Option Tables'!$B$23:$F$26,5)))))</f>
        <v>0</v>
      </c>
      <c r="F474" s="355">
        <f>$D474*((F468*(VLOOKUP(I470,'Option Tables'!$B$23:$F$26,2)))+(E468*(VLOOKUP(I470,'Option Tables'!$B$23:$F$26,3)))+(P468*(VLOOKUP(I470,'Option Tables'!$B$23:$F$26,4))+(O468*(VLOOKUP(I470,'Option Tables'!$B$23:$F$26,5)))))</f>
        <v>0</v>
      </c>
      <c r="G474" s="355">
        <f>$D474*((G468*(VLOOKUP(I470,'Option Tables'!$B$23:$F$26,2)))+(F468*(VLOOKUP(I470,'Option Tables'!$B$23:$F$26,3)))+(E468*(VLOOKUP(I470,'Option Tables'!$B$23:$F$26,4))+(P468*(VLOOKUP(I470,'Option Tables'!$B$23:$F$26,5)))))</f>
        <v>0</v>
      </c>
      <c r="H474" s="355">
        <f>$D474*((H468*(VLOOKUP(I470,'Option Tables'!$B$23:$F$26,2)))+(G468*(VLOOKUP(I470,'Option Tables'!$B$23:$F$26,3)))+(F468*(VLOOKUP(I470,'Option Tables'!$B$23:$F$26,4))+(E468*(VLOOKUP(I470,'Option Tables'!$B$23:$F$26,5)))))</f>
        <v>0</v>
      </c>
      <c r="I474" s="355">
        <f>$D474*((I468*(VLOOKUP(I470,'Option Tables'!$B$23:$F$26,2)))+(H468*(VLOOKUP(I470,'Option Tables'!$B$23:$F$26,3)))+(G468*(VLOOKUP(I470,'Option Tables'!$B$23:$F$26,4))+(F468*(VLOOKUP(I470,'Option Tables'!$B$23:$F$26,5)))))</f>
        <v>0</v>
      </c>
      <c r="J474" s="355">
        <f>$D474*((J468*(VLOOKUP(I470,'Option Tables'!$B$23:$F$26,2)))+(I468*(VLOOKUP(I470,'Option Tables'!$B$23:$F$26,3)))+(H468*(VLOOKUP(I470,'Option Tables'!$B$23:$F$26,4))+(G468*(VLOOKUP(I470,'Option Tables'!$B$23:$F$26,5)))))</f>
        <v>0</v>
      </c>
      <c r="K474" s="355">
        <f>$D474*((K468*(VLOOKUP(I470,'Option Tables'!$B$23:$F$26,2)))+(J468*(VLOOKUP(I470,'Option Tables'!$B$23:$F$26,3)))+(I468*(VLOOKUP(I470,'Option Tables'!$B$23:$F$26,4))+(H468*(VLOOKUP(I470,'Option Tables'!$B$23:$F$26,5)))))</f>
        <v>0</v>
      </c>
      <c r="L474" s="355">
        <f>$D474*((L468*(VLOOKUP(I470,'Option Tables'!$B$23:$F$26,2)))+(K468*(VLOOKUP(I470,'Option Tables'!$B$23:$F$26,3)))+(J468*(VLOOKUP(I470,'Option Tables'!$B$23:$F$26,4))+(I468*(VLOOKUP(I470,'Option Tables'!$B$23:$F$26,5)))))</f>
        <v>0</v>
      </c>
      <c r="M474" s="355">
        <f>$D474*((M468*(VLOOKUP(I470,'Option Tables'!$B$23:$F$26,2)))+(L468*(VLOOKUP(I470,'Option Tables'!$B$23:$F$26,3)))+(K468*(VLOOKUP(I470,'Option Tables'!$B$23:$F$26,4))+(J468*(VLOOKUP(I470,'Option Tables'!$B$23:$F$26,5)))))</f>
        <v>0</v>
      </c>
      <c r="N474" s="355">
        <f>$D474*((N468*(VLOOKUP(I470,'Option Tables'!$B$23:$F$26,2)))+(M468*(VLOOKUP(I470,'Option Tables'!$B$23:$F$26,3)))+(L468*(VLOOKUP(I470,'Option Tables'!$B$23:$F$26,4))+(K468*(VLOOKUP(I470,'Option Tables'!$B$23:$F$26,5)))))</f>
        <v>0</v>
      </c>
      <c r="O474" s="355">
        <f>$D474*((O468*(VLOOKUP(I470,'Option Tables'!$B$23:$F$26,2)))+(N468*(VLOOKUP(I470,'Option Tables'!$B$23:$F$26,3)))+(M468*(VLOOKUP(I470,'Option Tables'!$B$23:$F$26,4))+(L468*(VLOOKUP(I470,'Option Tables'!$B$23:$F$26,5)))))</f>
        <v>0</v>
      </c>
      <c r="P474" s="465">
        <f>$D474*((P468*(VLOOKUP(I470,'Option Tables'!$B$23:$F$26,2)))+(O468*(VLOOKUP(I470,'Option Tables'!$B$23:$F$26,3)))+(N468*(VLOOKUP(I470,'Option Tables'!$B$23:$F$26,4))+(M468*(VLOOKUP(I470,'Option Tables'!$B$23:$F$26,5)))))</f>
        <v>0</v>
      </c>
    </row>
    <row r="475" spans="2:18" ht="15.75" customHeight="1" thickBot="1">
      <c r="B475" s="97"/>
      <c r="C475" s="144" t="str">
        <f>IF(D475&lt;&gt;1,"Must equal %100","")</f>
        <v/>
      </c>
      <c r="D475" s="71">
        <f t="shared" ref="D475:P475" si="45">SUM(D471:D474)</f>
        <v>1</v>
      </c>
      <c r="E475" s="466">
        <f t="shared" si="45"/>
        <v>0</v>
      </c>
      <c r="F475" s="466">
        <f t="shared" si="45"/>
        <v>0</v>
      </c>
      <c r="G475" s="466">
        <f t="shared" si="45"/>
        <v>0</v>
      </c>
      <c r="H475" s="466">
        <f t="shared" si="45"/>
        <v>0</v>
      </c>
      <c r="I475" s="466">
        <f t="shared" si="45"/>
        <v>54.438183140495873</v>
      </c>
      <c r="J475" s="466">
        <f t="shared" si="45"/>
        <v>120.09329388429754</v>
      </c>
      <c r="K475" s="466">
        <f t="shared" si="45"/>
        <v>92.630349752066095</v>
      </c>
      <c r="L475" s="466">
        <f t="shared" si="45"/>
        <v>41.19014214876033</v>
      </c>
      <c r="M475" s="466">
        <f t="shared" si="45"/>
        <v>12.901334876033056</v>
      </c>
      <c r="N475" s="466">
        <f t="shared" si="45"/>
        <v>2.0874770247933885</v>
      </c>
      <c r="O475" s="466">
        <f t="shared" si="45"/>
        <v>0.29045884297520663</v>
      </c>
      <c r="P475" s="467">
        <f t="shared" si="45"/>
        <v>0</v>
      </c>
      <c r="R475" s="140"/>
    </row>
    <row r="476" spans="2:18" ht="15.75" customHeight="1" thickBot="1">
      <c r="B476" s="85" t="s">
        <v>138</v>
      </c>
      <c r="C476" s="257" t="str">
        <f>VLOOKUP(B476,NodeList!$D$5:$E$73,2,FALSE)</f>
        <v>Emelle</v>
      </c>
      <c r="D476" s="91"/>
      <c r="E476" s="450"/>
      <c r="F476" s="451"/>
      <c r="G476" s="452"/>
      <c r="H476" s="453" t="s">
        <v>54</v>
      </c>
      <c r="I476" s="68">
        <v>36</v>
      </c>
      <c r="J476" s="454"/>
      <c r="K476" s="454"/>
      <c r="L476" s="454"/>
      <c r="M476" s="454"/>
      <c r="N476" s="454"/>
      <c r="O476" s="454"/>
      <c r="P476" s="455"/>
    </row>
    <row r="477" spans="2:18" ht="15.75" customHeight="1">
      <c r="B477" s="94"/>
      <c r="C477" s="66" t="s">
        <v>57</v>
      </c>
      <c r="D477" s="69"/>
      <c r="E477" s="456">
        <f>VLOOKUP($B476,'Diversion Data'!$B$3:$O$227,3,FALSE)</f>
        <v>0</v>
      </c>
      <c r="F477" s="456">
        <f>VLOOKUP($B476,'Diversion Data'!$B$3:$O$227,4,FALSE)</f>
        <v>0</v>
      </c>
      <c r="G477" s="456">
        <f>VLOOKUP($B476,'Diversion Data'!$B$3:$O$227,5,FALSE)</f>
        <v>0</v>
      </c>
      <c r="H477" s="456">
        <f>VLOOKUP($B476,'Diversion Data'!$B$3:$O$227,6,FALSE)</f>
        <v>0</v>
      </c>
      <c r="I477" s="456">
        <f>VLOOKUP($B476,'Diversion Data'!$B$3:$O$227,7,FALSE)</f>
        <v>269.93912190082642</v>
      </c>
      <c r="J477" s="456">
        <f>VLOOKUP($B476,'Diversion Data'!$B$3:$O$227,8,FALSE)</f>
        <v>612.73541322314054</v>
      </c>
      <c r="K477" s="456">
        <f>VLOOKUP($B476,'Diversion Data'!$B$3:$O$227,9,FALSE)</f>
        <v>404.82676652892559</v>
      </c>
      <c r="L477" s="456">
        <f>VLOOKUP($B476,'Diversion Data'!$B$3:$O$227,10,FALSE)</f>
        <v>124.53765495867769</v>
      </c>
      <c r="M477" s="456">
        <f>VLOOKUP($B476,'Diversion Data'!$B$3:$O$227,11,FALSE)</f>
        <v>27.124690082644626</v>
      </c>
      <c r="N477" s="456">
        <f>VLOOKUP($B476,'Diversion Data'!$B$3:$O$227,12,FALSE)</f>
        <v>0</v>
      </c>
      <c r="O477" s="456">
        <f>VLOOKUP($B476,'Diversion Data'!$B$3:$O$227,13,FALSE)</f>
        <v>0</v>
      </c>
      <c r="P477" s="457">
        <f>VLOOKUP($B476,'Diversion Data'!$B$3:$O$227,14,FALSE)</f>
        <v>0</v>
      </c>
    </row>
    <row r="478" spans="2:18" ht="15.75" customHeight="1">
      <c r="B478" s="95"/>
      <c r="C478" s="72" t="s">
        <v>56</v>
      </c>
      <c r="D478" s="70"/>
      <c r="E478" s="458">
        <f>VLOOKUP($I476,'Option Tables'!$B$3:$N$19,2,FALSE)*E477</f>
        <v>0</v>
      </c>
      <c r="F478" s="458">
        <f>VLOOKUP($I476,'Option Tables'!$B$3:$N$19,3,FALSE)*F477</f>
        <v>0</v>
      </c>
      <c r="G478" s="458">
        <f>VLOOKUP($I476,'Option Tables'!$B$3:$N$19,4,FALSE)*G477</f>
        <v>0</v>
      </c>
      <c r="H478" s="458">
        <f>VLOOKUP($I476,'Option Tables'!$B$3:$N$19,5,FALSE)*H477</f>
        <v>0</v>
      </c>
      <c r="I478" s="458">
        <f>VLOOKUP($I476,'Option Tables'!$B$3:$N$19,6,FALSE)*I477</f>
        <v>172.76103801652891</v>
      </c>
      <c r="J478" s="458">
        <f>VLOOKUP($I476,'Option Tables'!$B$3:$N$19,7,FALSE)*J477</f>
        <v>392.15066446280997</v>
      </c>
      <c r="K478" s="458">
        <f>VLOOKUP($I476,'Option Tables'!$B$3:$N$19,8,FALSE)*K477</f>
        <v>259.08913057851237</v>
      </c>
      <c r="L478" s="458">
        <f>VLOOKUP($I476,'Option Tables'!$B$3:$N$19,9,FALSE)*L477</f>
        <v>79.704099173553729</v>
      </c>
      <c r="M478" s="458">
        <f>VLOOKUP($I476,'Option Tables'!$B$3:$N$19,10,FALSE)*M477</f>
        <v>17.35980165289256</v>
      </c>
      <c r="N478" s="458">
        <f>VLOOKUP($I476,'Option Tables'!$B$3:$N$19,11,FALSE)*N477</f>
        <v>0</v>
      </c>
      <c r="O478" s="458">
        <f>VLOOKUP($I476,'Option Tables'!$B$3:$N$19,12,FALSE)*O477</f>
        <v>0</v>
      </c>
      <c r="P478" s="459">
        <f>VLOOKUP($I476,'Option Tables'!$B$3:$N$19,13,FALSE)*P477</f>
        <v>0</v>
      </c>
    </row>
    <row r="479" spans="2:18" ht="15.75" customHeight="1" thickBot="1">
      <c r="B479" s="95"/>
      <c r="C479" s="66"/>
      <c r="D479" s="62"/>
      <c r="E479" s="355"/>
      <c r="F479" s="355"/>
      <c r="G479" s="355"/>
      <c r="H479" s="355"/>
      <c r="I479" s="355"/>
      <c r="J479" s="355"/>
      <c r="K479" s="355"/>
      <c r="L479" s="355"/>
      <c r="M479" s="460"/>
      <c r="N479" s="460"/>
      <c r="O479" s="460"/>
      <c r="P479" s="461"/>
    </row>
    <row r="480" spans="2:18" ht="15.75" customHeight="1" thickBot="1">
      <c r="B480" s="254" t="s">
        <v>73</v>
      </c>
      <c r="C480" s="105" t="s">
        <v>73</v>
      </c>
      <c r="D480" s="105" t="s">
        <v>74</v>
      </c>
      <c r="E480" s="462"/>
      <c r="F480" s="463"/>
      <c r="G480" s="464"/>
      <c r="H480" s="464" t="s">
        <v>55</v>
      </c>
      <c r="I480" s="68">
        <v>2</v>
      </c>
      <c r="J480" s="460"/>
      <c r="K480" s="460"/>
      <c r="L480" s="460"/>
      <c r="M480" s="460"/>
      <c r="N480" s="460"/>
      <c r="O480" s="460"/>
      <c r="P480" s="461"/>
    </row>
    <row r="481" spans="2:18" ht="15.75" customHeight="1">
      <c r="B481" s="255" t="str">
        <f>"("&amp;VLOOKUP(C481,NodeList!$D$5:$E$68,2,FALSE)&amp;")"</f>
        <v>(Cooper)</v>
      </c>
      <c r="C481" s="256" t="s">
        <v>136</v>
      </c>
      <c r="D481" s="388">
        <v>0.5</v>
      </c>
      <c r="E481" s="355">
        <f>$D481*((E478*(VLOOKUP(I480,'Option Tables'!$B$23:$F$26,2)))+(P478*(VLOOKUP(I480,'Option Tables'!$B$23:$F$26,3)))+(O478*(VLOOKUP(I480,'Option Tables'!$B$23:$F$26,4))+(N478*(VLOOKUP(I480,'Option Tables'!$B$23:$F$26,5)))))</f>
        <v>0</v>
      </c>
      <c r="F481" s="355">
        <f>$D481*((F478*(VLOOKUP(I480,'Option Tables'!$B$23:$F$26,2)))+(E478*(VLOOKUP(I480,'Option Tables'!$B$23:$F$26,3)))+(P478*(VLOOKUP(I480,'Option Tables'!$B$23:$F$26,4))+(O478*(VLOOKUP(I480,'Option Tables'!$B$23:$F$26,5)))))</f>
        <v>0</v>
      </c>
      <c r="G481" s="355">
        <f>$D481*((G478*(VLOOKUP(I480,'Option Tables'!$B$23:$F$26,2)))+(F478*(VLOOKUP(I480,'Option Tables'!$B$23:$F$26,3)))+(E478*(VLOOKUP(I480,'Option Tables'!$B$23:$F$26,4))+(P478*(VLOOKUP(I480,'Option Tables'!$B$23:$F$26,5)))))</f>
        <v>0</v>
      </c>
      <c r="H481" s="355">
        <f>$D481*((H478*(VLOOKUP(I480,'Option Tables'!$B$23:$F$26,2)))+(G478*(VLOOKUP(I480,'Option Tables'!$B$23:$F$26,3)))+(F478*(VLOOKUP(I480,'Option Tables'!$B$23:$F$26,4))+(E478*(VLOOKUP(I480,'Option Tables'!$B$23:$F$26,5)))))</f>
        <v>0</v>
      </c>
      <c r="I481" s="355">
        <f>$D481*((I478*(VLOOKUP(I480,'Option Tables'!$B$23:$F$26,2)))+(H478*(VLOOKUP(I480,'Option Tables'!$B$23:$F$26,3)))+(G478*(VLOOKUP(I480,'Option Tables'!$B$23:$F$26,4))+(F478*(VLOOKUP(I480,'Option Tables'!$B$23:$F$26,5)))))</f>
        <v>60.466363305785116</v>
      </c>
      <c r="J481" s="355">
        <f>$D481*((J478*(VLOOKUP(I480,'Option Tables'!$B$23:$F$26,2)))+(I478*(VLOOKUP(I480,'Option Tables'!$B$23:$F$26,3)))+(H478*(VLOOKUP(I480,'Option Tables'!$B$23:$F$26,4))+(G478*(VLOOKUP(I480,'Option Tables'!$B$23:$F$26,5)))))</f>
        <v>154.52883636363637</v>
      </c>
      <c r="K481" s="355">
        <f>$D481*((K478*(VLOOKUP(I480,'Option Tables'!$B$23:$F$26,2)))+(J478*(VLOOKUP(I480,'Option Tables'!$B$23:$F$26,3)))+(I478*(VLOOKUP(I480,'Option Tables'!$B$23:$F$26,4))+(H478*(VLOOKUP(I480,'Option Tables'!$B$23:$F$26,5)))))</f>
        <v>138.53431404958678</v>
      </c>
      <c r="L481" s="355">
        <f>$D481*((L478*(VLOOKUP(I480,'Option Tables'!$B$23:$F$26,2)))+(K478*(VLOOKUP(I480,'Option Tables'!$B$23:$F$26,3)))+(J478*(VLOOKUP(I480,'Option Tables'!$B$23:$F$26,4))+(I478*(VLOOKUP(I480,'Option Tables'!$B$23:$F$26,5)))))</f>
        <v>73.412880991735534</v>
      </c>
      <c r="M481" s="355">
        <f>$D481*((M478*(VLOOKUP(I480,'Option Tables'!$B$23:$F$26,2)))+(L478*(VLOOKUP(I480,'Option Tables'!$B$23:$F$26,3)))+(K478*(VLOOKUP(I480,'Option Tables'!$B$23:$F$26,4))+(J478*(VLOOKUP(I480,'Option Tables'!$B$23:$F$26,5)))))</f>
        <v>27.000797024793386</v>
      </c>
      <c r="N481" s="355">
        <f>$D481*((N478*(VLOOKUP(I480,'Option Tables'!$B$23:$F$26,2)))+(M478*(VLOOKUP(I480,'Option Tables'!$B$23:$F$26,3)))+(L478*(VLOOKUP(I480,'Option Tables'!$B$23:$F$26,4))+(K478*(VLOOKUP(I480,'Option Tables'!$B$23:$F$26,5)))))</f>
        <v>5.7211851239669427</v>
      </c>
      <c r="O481" s="355">
        <f>$D481*((O478*(VLOOKUP(I480,'Option Tables'!$B$23:$F$26,2)))+(N478*(VLOOKUP(I480,'Option Tables'!$B$23:$F$26,3)))+(M478*(VLOOKUP(I480,'Option Tables'!$B$23:$F$26,4))+(L478*(VLOOKUP(I480,'Option Tables'!$B$23:$F$26,5)))))</f>
        <v>0.86799008264462807</v>
      </c>
      <c r="P481" s="465">
        <f>$D481*((P478*(VLOOKUP(I480,'Option Tables'!$B$23:$F$26,2)))+(O478*(VLOOKUP(I480,'Option Tables'!$B$23:$F$26,3)))+(N478*(VLOOKUP(I480,'Option Tables'!$B$23:$F$26,4))+(M478*(VLOOKUP(I480,'Option Tables'!$B$23:$F$26,5)))))</f>
        <v>0</v>
      </c>
    </row>
    <row r="482" spans="2:18" ht="15.75" customHeight="1">
      <c r="B482" s="255" t="str">
        <f>"("&amp;VLOOKUP(C482,NodeList!$D$5:$E$68,2,FALSE)&amp;")"</f>
        <v>(Covey)</v>
      </c>
      <c r="C482" s="256" t="s">
        <v>137</v>
      </c>
      <c r="D482" s="388">
        <v>0.5</v>
      </c>
      <c r="E482" s="355">
        <f>$D482*((E478*(VLOOKUP(I480,'Option Tables'!$B$23:$F$26,2)))+(P478*(VLOOKUP(I480,'Option Tables'!$B$23:$F$26,3)))+(O478*(VLOOKUP(I480,'Option Tables'!$B$23:$F$26,4))+(N478*(VLOOKUP(I480,'Option Tables'!$B$23:$F$26,5)))))</f>
        <v>0</v>
      </c>
      <c r="F482" s="355">
        <f>$D482*((F478*(VLOOKUP(I480,'Option Tables'!$B$23:$F$26,2)))+(E478*(VLOOKUP(I480,'Option Tables'!$B$23:$F$26,3)))+(P478*(VLOOKUP(I480,'Option Tables'!$B$23:$F$26,4))+(O478*(VLOOKUP(I480,'Option Tables'!$B$23:$F$26,5)))))</f>
        <v>0</v>
      </c>
      <c r="G482" s="355">
        <f>$D482*((G478*(VLOOKUP(I480,'Option Tables'!$B$23:$F$26,2)))+(F478*(VLOOKUP(I480,'Option Tables'!$B$23:$F$26,3)))+(E478*(VLOOKUP(I480,'Option Tables'!$B$23:$F$26,4))+(P478*(VLOOKUP(I480,'Option Tables'!$B$23:$F$26,5)))))</f>
        <v>0</v>
      </c>
      <c r="H482" s="355">
        <f>$D482*((H478*(VLOOKUP(I480,'Option Tables'!$B$23:$F$26,2)))+(G478*(VLOOKUP(I480,'Option Tables'!$B$23:$F$26,3)))+(F478*(VLOOKUP(I480,'Option Tables'!$B$23:$F$26,4))+(E478*(VLOOKUP(I480,'Option Tables'!$B$23:$F$26,5)))))</f>
        <v>0</v>
      </c>
      <c r="I482" s="355">
        <f>$D482*((I478*(VLOOKUP(I480,'Option Tables'!$B$23:$F$26,2)))+(H478*(VLOOKUP(I480,'Option Tables'!$B$23:$F$26,3)))+(G478*(VLOOKUP(I480,'Option Tables'!$B$23:$F$26,4))+(F478*(VLOOKUP(I480,'Option Tables'!$B$23:$F$26,5)))))</f>
        <v>60.466363305785116</v>
      </c>
      <c r="J482" s="355">
        <f>$D482*((J478*(VLOOKUP(I480,'Option Tables'!$B$23:$F$26,2)))+(I478*(VLOOKUP(I480,'Option Tables'!$B$23:$F$26,3)))+(H478*(VLOOKUP(I480,'Option Tables'!$B$23:$F$26,4))+(G478*(VLOOKUP(I480,'Option Tables'!$B$23:$F$26,5)))))</f>
        <v>154.52883636363637</v>
      </c>
      <c r="K482" s="355">
        <f>$D482*((K478*(VLOOKUP(I480,'Option Tables'!$B$23:$F$26,2)))+(J478*(VLOOKUP(I480,'Option Tables'!$B$23:$F$26,3)))+(I478*(VLOOKUP(I480,'Option Tables'!$B$23:$F$26,4))+(H478*(VLOOKUP(I480,'Option Tables'!$B$23:$F$26,5)))))</f>
        <v>138.53431404958678</v>
      </c>
      <c r="L482" s="355">
        <f>$D482*((L478*(VLOOKUP(I480,'Option Tables'!$B$23:$F$26,2)))+(K478*(VLOOKUP(I480,'Option Tables'!$B$23:$F$26,3)))+(J478*(VLOOKUP(I480,'Option Tables'!$B$23:$F$26,4))+(I478*(VLOOKUP(I480,'Option Tables'!$B$23:$F$26,5)))))</f>
        <v>73.412880991735534</v>
      </c>
      <c r="M482" s="355">
        <f>$D482*((M478*(VLOOKUP(I480,'Option Tables'!$B$23:$F$26,2)))+(L478*(VLOOKUP(I480,'Option Tables'!$B$23:$F$26,3)))+(K478*(VLOOKUP(I480,'Option Tables'!$B$23:$F$26,4))+(J478*(VLOOKUP(I480,'Option Tables'!$B$23:$F$26,5)))))</f>
        <v>27.000797024793386</v>
      </c>
      <c r="N482" s="355">
        <f>$D482*((N478*(VLOOKUP(I480,'Option Tables'!$B$23:$F$26,2)))+(M478*(VLOOKUP(I480,'Option Tables'!$B$23:$F$26,3)))+(L478*(VLOOKUP(I480,'Option Tables'!$B$23:$F$26,4))+(K478*(VLOOKUP(I480,'Option Tables'!$B$23:$F$26,5)))))</f>
        <v>5.7211851239669427</v>
      </c>
      <c r="O482" s="355">
        <f>$D482*((O478*(VLOOKUP(I480,'Option Tables'!$B$23:$F$26,2)))+(N478*(VLOOKUP(I480,'Option Tables'!$B$23:$F$26,3)))+(M478*(VLOOKUP(I480,'Option Tables'!$B$23:$F$26,4))+(L478*(VLOOKUP(I480,'Option Tables'!$B$23:$F$26,5)))))</f>
        <v>0.86799008264462807</v>
      </c>
      <c r="P482" s="465">
        <f>$D482*((P478*(VLOOKUP(I480,'Option Tables'!$B$23:$F$26,2)))+(O478*(VLOOKUP(I480,'Option Tables'!$B$23:$F$26,3)))+(N478*(VLOOKUP(I480,'Option Tables'!$B$23:$F$26,4))+(M478*(VLOOKUP(I480,'Option Tables'!$B$23:$F$26,5)))))</f>
        <v>0</v>
      </c>
    </row>
    <row r="483" spans="2:18" ht="15.75" customHeight="1">
      <c r="B483" s="255"/>
      <c r="C483" s="256"/>
      <c r="D483" s="388">
        <v>0</v>
      </c>
      <c r="E483" s="355">
        <f>$D483*((E478*(VLOOKUP(I480,'Option Tables'!$B$23:$F$26,2)))+(P478*(VLOOKUP(I480,'Option Tables'!$B$23:$F$26,3)))+(O478*(VLOOKUP(I480,'Option Tables'!$B$23:$F$26,4))+(N478*(VLOOKUP(I480,'Option Tables'!$B$23:$F$26,5)))))</f>
        <v>0</v>
      </c>
      <c r="F483" s="355">
        <f>$D483*((F478*(VLOOKUP(I480,'Option Tables'!$B$23:$F$26,2)))+(E478*(VLOOKUP(I480,'Option Tables'!$B$23:$F$26,3)))+(P478*(VLOOKUP(I480,'Option Tables'!$B$23:$F$26,4))+(O478*(VLOOKUP(I480,'Option Tables'!$B$23:$F$26,5)))))</f>
        <v>0</v>
      </c>
      <c r="G483" s="355">
        <f>$D483*((G478*(VLOOKUP(I480,'Option Tables'!$B$23:$F$26,2)))+(F478*(VLOOKUP(I480,'Option Tables'!$B$23:$F$26,3)))+(E478*(VLOOKUP(I480,'Option Tables'!$B$23:$F$26,4))+(P478*(VLOOKUP(I480,'Option Tables'!$B$23:$F$26,5)))))</f>
        <v>0</v>
      </c>
      <c r="H483" s="355">
        <f>$D483*((H478*(VLOOKUP(I480,'Option Tables'!$B$23:$F$26,2)))+(G478*(VLOOKUP(I480,'Option Tables'!$B$23:$F$26,3)))+(F478*(VLOOKUP(I480,'Option Tables'!$B$23:$F$26,4))+(E478*(VLOOKUP(I480,'Option Tables'!$B$23:$F$26,5)))))</f>
        <v>0</v>
      </c>
      <c r="I483" s="355">
        <f>$D483*((I478*(VLOOKUP(I480,'Option Tables'!$B$23:$F$26,2)))+(H478*(VLOOKUP(I480,'Option Tables'!$B$23:$F$26,3)))+(G478*(VLOOKUP(I480,'Option Tables'!$B$23:$F$26,4))+(F478*(VLOOKUP(I480,'Option Tables'!$B$23:$F$26,5)))))</f>
        <v>0</v>
      </c>
      <c r="J483" s="355">
        <f>$D483*((J478*(VLOOKUP(I480,'Option Tables'!$B$23:$F$26,2)))+(I478*(VLOOKUP(I480,'Option Tables'!$B$23:$F$26,3)))+(H478*(VLOOKUP(I480,'Option Tables'!$B$23:$F$26,4))+(G478*(VLOOKUP(I480,'Option Tables'!$B$23:$F$26,5)))))</f>
        <v>0</v>
      </c>
      <c r="K483" s="355">
        <f>$D483*((K478*(VLOOKUP(I480,'Option Tables'!$B$23:$F$26,2)))+(J478*(VLOOKUP(I480,'Option Tables'!$B$23:$F$26,3)))+(I478*(VLOOKUP(I480,'Option Tables'!$B$23:$F$26,4))+(H478*(VLOOKUP(I480,'Option Tables'!$B$23:$F$26,5)))))</f>
        <v>0</v>
      </c>
      <c r="L483" s="355">
        <f>$D483*((L478*(VLOOKUP(I480,'Option Tables'!$B$23:$F$26,2)))+(K478*(VLOOKUP(I480,'Option Tables'!$B$23:$F$26,3)))+(J478*(VLOOKUP(I480,'Option Tables'!$B$23:$F$26,4))+(I478*(VLOOKUP(I480,'Option Tables'!$B$23:$F$26,5)))))</f>
        <v>0</v>
      </c>
      <c r="M483" s="355">
        <f>$D483*((M478*(VLOOKUP(I480,'Option Tables'!$B$23:$F$26,2)))+(L478*(VLOOKUP(I480,'Option Tables'!$B$23:$F$26,3)))+(K478*(VLOOKUP(I480,'Option Tables'!$B$23:$F$26,4))+(J478*(VLOOKUP(I480,'Option Tables'!$B$23:$F$26,5)))))</f>
        <v>0</v>
      </c>
      <c r="N483" s="355">
        <f>$D483*((N478*(VLOOKUP(I480,'Option Tables'!$B$23:$F$26,2)))+(M478*(VLOOKUP(I480,'Option Tables'!$B$23:$F$26,3)))+(L478*(VLOOKUP(I480,'Option Tables'!$B$23:$F$26,4))+(K478*(VLOOKUP(I480,'Option Tables'!$B$23:$F$26,5)))))</f>
        <v>0</v>
      </c>
      <c r="O483" s="355">
        <f>$D483*((O478*(VLOOKUP(I480,'Option Tables'!$B$23:$F$26,2)))+(N478*(VLOOKUP(I480,'Option Tables'!$B$23:$F$26,3)))+(M478*(VLOOKUP(I480,'Option Tables'!$B$23:$F$26,4))+(L478*(VLOOKUP(I480,'Option Tables'!$B$23:$F$26,5)))))</f>
        <v>0</v>
      </c>
      <c r="P483" s="465">
        <f>$D483*((P478*(VLOOKUP(I480,'Option Tables'!$B$23:$F$26,2)))+(O478*(VLOOKUP(I480,'Option Tables'!$B$23:$F$26,3)))+(N478*(VLOOKUP(I480,'Option Tables'!$B$23:$F$26,4))+(M478*(VLOOKUP(I480,'Option Tables'!$B$23:$F$26,5)))))</f>
        <v>0</v>
      </c>
    </row>
    <row r="484" spans="2:18" ht="15.75" customHeight="1">
      <c r="B484" s="95"/>
      <c r="C484" s="256"/>
      <c r="D484" s="388">
        <v>0</v>
      </c>
      <c r="E484" s="355">
        <f>$D484*((E478*(VLOOKUP(I480,'Option Tables'!$B$23:$F$26,2)))+(P478*(VLOOKUP(I480,'Option Tables'!$B$23:$F$26,3)))+(O478*(VLOOKUP(I480,'Option Tables'!$B$23:$F$26,4))+(N478*(VLOOKUP(I480,'Option Tables'!$B$23:$F$26,5)))))</f>
        <v>0</v>
      </c>
      <c r="F484" s="355">
        <f>$D484*((F478*(VLOOKUP(I480,'Option Tables'!$B$23:$F$26,2)))+(E478*(VLOOKUP(I480,'Option Tables'!$B$23:$F$26,3)))+(P478*(VLOOKUP(I480,'Option Tables'!$B$23:$F$26,4))+(O478*(VLOOKUP(I480,'Option Tables'!$B$23:$F$26,5)))))</f>
        <v>0</v>
      </c>
      <c r="G484" s="355">
        <f>$D484*((G478*(VLOOKUP(I480,'Option Tables'!$B$23:$F$26,2)))+(F478*(VLOOKUP(I480,'Option Tables'!$B$23:$F$26,3)))+(E478*(VLOOKUP(I480,'Option Tables'!$B$23:$F$26,4))+(P478*(VLOOKUP(I480,'Option Tables'!$B$23:$F$26,5)))))</f>
        <v>0</v>
      </c>
      <c r="H484" s="355">
        <f>$D484*((H478*(VLOOKUP(I480,'Option Tables'!$B$23:$F$26,2)))+(G478*(VLOOKUP(I480,'Option Tables'!$B$23:$F$26,3)))+(F478*(VLOOKUP(I480,'Option Tables'!$B$23:$F$26,4))+(E478*(VLOOKUP(I480,'Option Tables'!$B$23:$F$26,5)))))</f>
        <v>0</v>
      </c>
      <c r="I484" s="355">
        <f>$D484*((I478*(VLOOKUP(I480,'Option Tables'!$B$23:$F$26,2)))+(H478*(VLOOKUP(I480,'Option Tables'!$B$23:$F$26,3)))+(G478*(VLOOKUP(I480,'Option Tables'!$B$23:$F$26,4))+(F478*(VLOOKUP(I480,'Option Tables'!$B$23:$F$26,5)))))</f>
        <v>0</v>
      </c>
      <c r="J484" s="355">
        <f>$D484*((J478*(VLOOKUP(I480,'Option Tables'!$B$23:$F$26,2)))+(I478*(VLOOKUP(I480,'Option Tables'!$B$23:$F$26,3)))+(H478*(VLOOKUP(I480,'Option Tables'!$B$23:$F$26,4))+(G478*(VLOOKUP(I480,'Option Tables'!$B$23:$F$26,5)))))</f>
        <v>0</v>
      </c>
      <c r="K484" s="355">
        <f>$D484*((K478*(VLOOKUP(I480,'Option Tables'!$B$23:$F$26,2)))+(J478*(VLOOKUP(I480,'Option Tables'!$B$23:$F$26,3)))+(I478*(VLOOKUP(I480,'Option Tables'!$B$23:$F$26,4))+(H478*(VLOOKUP(I480,'Option Tables'!$B$23:$F$26,5)))))</f>
        <v>0</v>
      </c>
      <c r="L484" s="355">
        <f>$D484*((L478*(VLOOKUP(I480,'Option Tables'!$B$23:$F$26,2)))+(K478*(VLOOKUP(I480,'Option Tables'!$B$23:$F$26,3)))+(J478*(VLOOKUP(I480,'Option Tables'!$B$23:$F$26,4))+(I478*(VLOOKUP(I480,'Option Tables'!$B$23:$F$26,5)))))</f>
        <v>0</v>
      </c>
      <c r="M484" s="355">
        <f>$D484*((M478*(VLOOKUP(I480,'Option Tables'!$B$23:$F$26,2)))+(L478*(VLOOKUP(I480,'Option Tables'!$B$23:$F$26,3)))+(K478*(VLOOKUP(I480,'Option Tables'!$B$23:$F$26,4))+(J478*(VLOOKUP(I480,'Option Tables'!$B$23:$F$26,5)))))</f>
        <v>0</v>
      </c>
      <c r="N484" s="355">
        <f>$D484*((N478*(VLOOKUP(I480,'Option Tables'!$B$23:$F$26,2)))+(M478*(VLOOKUP(I480,'Option Tables'!$B$23:$F$26,3)))+(L478*(VLOOKUP(I480,'Option Tables'!$B$23:$F$26,4))+(K478*(VLOOKUP(I480,'Option Tables'!$B$23:$F$26,5)))))</f>
        <v>0</v>
      </c>
      <c r="O484" s="355">
        <f>$D484*((O478*(VLOOKUP(I480,'Option Tables'!$B$23:$F$26,2)))+(N478*(VLOOKUP(I480,'Option Tables'!$B$23:$F$26,3)))+(M478*(VLOOKUP(I480,'Option Tables'!$B$23:$F$26,4))+(L478*(VLOOKUP(I480,'Option Tables'!$B$23:$F$26,5)))))</f>
        <v>0</v>
      </c>
      <c r="P484" s="465">
        <f>$D484*((P478*(VLOOKUP(I480,'Option Tables'!$B$23:$F$26,2)))+(O478*(VLOOKUP(I480,'Option Tables'!$B$23:$F$26,3)))+(N478*(VLOOKUP(I480,'Option Tables'!$B$23:$F$26,4))+(M478*(VLOOKUP(I480,'Option Tables'!$B$23:$F$26,5)))))</f>
        <v>0</v>
      </c>
    </row>
    <row r="485" spans="2:18" ht="15.75" customHeight="1" thickBot="1">
      <c r="B485" s="97"/>
      <c r="C485" s="144" t="str">
        <f>IF(D485&lt;&gt;1,"Must equal %100","")</f>
        <v/>
      </c>
      <c r="D485" s="71">
        <f t="shared" ref="D485:P485" si="46">SUM(D481:D484)</f>
        <v>1</v>
      </c>
      <c r="E485" s="466">
        <f t="shared" si="46"/>
        <v>0</v>
      </c>
      <c r="F485" s="466">
        <f t="shared" si="46"/>
        <v>0</v>
      </c>
      <c r="G485" s="466">
        <f t="shared" si="46"/>
        <v>0</v>
      </c>
      <c r="H485" s="466">
        <f t="shared" si="46"/>
        <v>0</v>
      </c>
      <c r="I485" s="466">
        <f t="shared" si="46"/>
        <v>120.93272661157023</v>
      </c>
      <c r="J485" s="466">
        <f t="shared" si="46"/>
        <v>309.05767272727275</v>
      </c>
      <c r="K485" s="466">
        <f t="shared" si="46"/>
        <v>277.06862809917357</v>
      </c>
      <c r="L485" s="466">
        <f t="shared" si="46"/>
        <v>146.82576198347107</v>
      </c>
      <c r="M485" s="466">
        <f t="shared" si="46"/>
        <v>54.001594049586771</v>
      </c>
      <c r="N485" s="466">
        <f t="shared" si="46"/>
        <v>11.442370247933885</v>
      </c>
      <c r="O485" s="466">
        <f t="shared" si="46"/>
        <v>1.7359801652892561</v>
      </c>
      <c r="P485" s="467">
        <f t="shared" si="46"/>
        <v>0</v>
      </c>
      <c r="R485" s="140"/>
    </row>
    <row r="486" spans="2:18" ht="15.75" customHeight="1" thickBot="1">
      <c r="B486" s="85" t="s">
        <v>136</v>
      </c>
      <c r="C486" s="284" t="str">
        <f>VLOOKUP(B486,NodeList!$D$5:$E$73,2,FALSE)</f>
        <v>Cooper</v>
      </c>
      <c r="D486" s="91"/>
      <c r="E486" s="450"/>
      <c r="F486" s="451"/>
      <c r="G486" s="452"/>
      <c r="H486" s="453" t="s">
        <v>54</v>
      </c>
      <c r="I486" s="68">
        <v>36</v>
      </c>
      <c r="J486" s="454"/>
      <c r="K486" s="454"/>
      <c r="L486" s="454"/>
      <c r="M486" s="454"/>
      <c r="N486" s="454"/>
      <c r="O486" s="454"/>
      <c r="P486" s="455"/>
    </row>
    <row r="487" spans="2:18" ht="15.75" customHeight="1">
      <c r="B487" s="94"/>
      <c r="C487" s="66" t="s">
        <v>57</v>
      </c>
      <c r="D487" s="69"/>
      <c r="E487" s="456">
        <f>VLOOKUP($B486,'Diversion Data'!$B$3:$O$227,3,FALSE)</f>
        <v>0</v>
      </c>
      <c r="F487" s="456">
        <f>VLOOKUP($B486,'Diversion Data'!$B$3:$O$227,4,FALSE)</f>
        <v>0</v>
      </c>
      <c r="G487" s="456">
        <f>VLOOKUP($B486,'Diversion Data'!$B$3:$O$227,5,FALSE)</f>
        <v>0</v>
      </c>
      <c r="H487" s="456">
        <f>VLOOKUP($B486,'Diversion Data'!$B$3:$O$227,6,FALSE)</f>
        <v>0</v>
      </c>
      <c r="I487" s="456">
        <f>VLOOKUP($B486,'Diversion Data'!$B$3:$O$227,7,FALSE)</f>
        <v>278.47495867768595</v>
      </c>
      <c r="J487" s="456">
        <f>VLOOKUP($B486,'Diversion Data'!$B$3:$O$227,8,FALSE)</f>
        <v>351.79234504132233</v>
      </c>
      <c r="K487" s="456">
        <f>VLOOKUP($B486,'Diversion Data'!$B$3:$O$227,9,FALSE)</f>
        <v>87.380578512396681</v>
      </c>
      <c r="L487" s="456">
        <f>VLOOKUP($B486,'Diversion Data'!$B$3:$O$227,10,FALSE)</f>
        <v>16.762200413223141</v>
      </c>
      <c r="M487" s="456">
        <f>VLOOKUP($B486,'Diversion Data'!$B$3:$O$227,11,FALSE)</f>
        <v>0</v>
      </c>
      <c r="N487" s="456">
        <f>VLOOKUP($B486,'Diversion Data'!$B$3:$O$227,12,FALSE)</f>
        <v>0</v>
      </c>
      <c r="O487" s="456">
        <f>VLOOKUP($B486,'Diversion Data'!$B$3:$O$227,13,FALSE)</f>
        <v>0</v>
      </c>
      <c r="P487" s="457">
        <f>VLOOKUP($B486,'Diversion Data'!$B$3:$O$227,14,FALSE)</f>
        <v>0</v>
      </c>
    </row>
    <row r="488" spans="2:18" ht="15.75" customHeight="1">
      <c r="B488" s="95"/>
      <c r="C488" s="72" t="s">
        <v>56</v>
      </c>
      <c r="D488" s="70"/>
      <c r="E488" s="458">
        <f>VLOOKUP($I486,'Option Tables'!$B$3:$N$19,2,FALSE)*E487</f>
        <v>0</v>
      </c>
      <c r="F488" s="458">
        <f>VLOOKUP($I486,'Option Tables'!$B$3:$N$19,3,FALSE)*F487</f>
        <v>0</v>
      </c>
      <c r="G488" s="458">
        <f>VLOOKUP($I486,'Option Tables'!$B$3:$N$19,4,FALSE)*G487</f>
        <v>0</v>
      </c>
      <c r="H488" s="458">
        <f>VLOOKUP($I486,'Option Tables'!$B$3:$N$19,5,FALSE)*H487</f>
        <v>0</v>
      </c>
      <c r="I488" s="458">
        <f>VLOOKUP($I486,'Option Tables'!$B$3:$N$19,6,FALSE)*I487</f>
        <v>178.22397355371902</v>
      </c>
      <c r="J488" s="458">
        <f>VLOOKUP($I486,'Option Tables'!$B$3:$N$19,7,FALSE)*J487</f>
        <v>225.14710082644629</v>
      </c>
      <c r="K488" s="458">
        <f>VLOOKUP($I486,'Option Tables'!$B$3:$N$19,8,FALSE)*K487</f>
        <v>55.923570247933874</v>
      </c>
      <c r="L488" s="458">
        <f>VLOOKUP($I486,'Option Tables'!$B$3:$N$19,9,FALSE)*L487</f>
        <v>10.72780826446281</v>
      </c>
      <c r="M488" s="458">
        <f>VLOOKUP($I486,'Option Tables'!$B$3:$N$19,10,FALSE)*M487</f>
        <v>0</v>
      </c>
      <c r="N488" s="458">
        <f>VLOOKUP($I486,'Option Tables'!$B$3:$N$19,11,FALSE)*N487</f>
        <v>0</v>
      </c>
      <c r="O488" s="458">
        <f>VLOOKUP($I486,'Option Tables'!$B$3:$N$19,12,FALSE)*O487</f>
        <v>0</v>
      </c>
      <c r="P488" s="459">
        <f>VLOOKUP($I486,'Option Tables'!$B$3:$N$19,13,FALSE)*P487</f>
        <v>0</v>
      </c>
    </row>
    <row r="489" spans="2:18" ht="15.75" customHeight="1" thickBot="1">
      <c r="B489" s="95"/>
      <c r="C489" s="66"/>
      <c r="D489" s="62"/>
      <c r="E489" s="355"/>
      <c r="F489" s="355"/>
      <c r="G489" s="355"/>
      <c r="H489" s="355"/>
      <c r="I489" s="355"/>
      <c r="J489" s="355"/>
      <c r="K489" s="355"/>
      <c r="L489" s="355"/>
      <c r="M489" s="460"/>
      <c r="N489" s="460"/>
      <c r="O489" s="460"/>
      <c r="P489" s="461"/>
    </row>
    <row r="490" spans="2:18" ht="15.75" customHeight="1" thickBot="1">
      <c r="B490" s="254" t="s">
        <v>73</v>
      </c>
      <c r="C490" s="105" t="s">
        <v>73</v>
      </c>
      <c r="D490" s="105" t="s">
        <v>74</v>
      </c>
      <c r="E490" s="462"/>
      <c r="F490" s="463"/>
      <c r="G490" s="464"/>
      <c r="H490" s="464" t="s">
        <v>55</v>
      </c>
      <c r="I490" s="68">
        <v>2</v>
      </c>
      <c r="J490" s="460"/>
      <c r="K490" s="460"/>
      <c r="L490" s="460"/>
      <c r="M490" s="460"/>
      <c r="N490" s="460"/>
      <c r="O490" s="460"/>
      <c r="P490" s="461"/>
    </row>
    <row r="491" spans="2:18" ht="15.75" customHeight="1">
      <c r="B491" s="255" t="str">
        <f>"("&amp;VLOOKUP(C491,NodeList!$D$5:$E$68,2,FALSE)&amp;")"</f>
        <v>(Covey)</v>
      </c>
      <c r="C491" s="256" t="s">
        <v>137</v>
      </c>
      <c r="D491" s="388">
        <v>1</v>
      </c>
      <c r="E491" s="355">
        <f>$D491*((E488*(VLOOKUP(I490,'Option Tables'!$B$23:$F$26,2)))+(P488*(VLOOKUP(I490,'Option Tables'!$B$23:$F$26,3)))+(O488*(VLOOKUP(I490,'Option Tables'!$B$23:$F$26,4))+(N488*(VLOOKUP(I490,'Option Tables'!$B$23:$F$26,5)))))</f>
        <v>0</v>
      </c>
      <c r="F491" s="355">
        <f>$D491*((F488*(VLOOKUP(I490,'Option Tables'!$B$23:$F$26,2)))+(E488*(VLOOKUP(I490,'Option Tables'!$B$23:$F$26,3)))+(P488*(VLOOKUP(I490,'Option Tables'!$B$23:$F$26,4))+(O488*(VLOOKUP(I490,'Option Tables'!$B$23:$F$26,5)))))</f>
        <v>0</v>
      </c>
      <c r="G491" s="355">
        <f>$D491*((G488*(VLOOKUP(I490,'Option Tables'!$B$23:$F$26,2)))+(F488*(VLOOKUP(I490,'Option Tables'!$B$23:$F$26,3)))+(E488*(VLOOKUP(I490,'Option Tables'!$B$23:$F$26,4))+(P488*(VLOOKUP(I490,'Option Tables'!$B$23:$F$26,5)))))</f>
        <v>0</v>
      </c>
      <c r="H491" s="355">
        <f>$D491*((H488*(VLOOKUP(I490,'Option Tables'!$B$23:$F$26,2)))+(G488*(VLOOKUP(I490,'Option Tables'!$B$23:$F$26,3)))+(F488*(VLOOKUP(I490,'Option Tables'!$B$23:$F$26,4))+(E488*(VLOOKUP(I490,'Option Tables'!$B$23:$F$26,5)))))</f>
        <v>0</v>
      </c>
      <c r="I491" s="355">
        <f>$D491*((I488*(VLOOKUP(I490,'Option Tables'!$B$23:$F$26,2)))+(H488*(VLOOKUP(I490,'Option Tables'!$B$23:$F$26,3)))+(G488*(VLOOKUP(I490,'Option Tables'!$B$23:$F$26,4))+(F488*(VLOOKUP(I490,'Option Tables'!$B$23:$F$26,5)))))</f>
        <v>124.75678148760331</v>
      </c>
      <c r="J491" s="355">
        <f>$D491*((J488*(VLOOKUP(I490,'Option Tables'!$B$23:$F$26,2)))+(I488*(VLOOKUP(I490,'Option Tables'!$B$23:$F$26,3)))+(H488*(VLOOKUP(I490,'Option Tables'!$B$23:$F$26,4))+(G488*(VLOOKUP(I490,'Option Tables'!$B$23:$F$26,5)))))</f>
        <v>193.24776528925619</v>
      </c>
      <c r="K491" s="355">
        <f>$D491*((K488*(VLOOKUP(I490,'Option Tables'!$B$23:$F$26,2)))+(J488*(VLOOKUP(I490,'Option Tables'!$B$23:$F$26,3)))+(I488*(VLOOKUP(I490,'Option Tables'!$B$23:$F$26,4))+(H488*(VLOOKUP(I490,'Option Tables'!$B$23:$F$26,5)))))</f>
        <v>101.99831669421486</v>
      </c>
      <c r="L491" s="355">
        <f>$D491*((L488*(VLOOKUP(I490,'Option Tables'!$B$23:$F$26,2)))+(K488*(VLOOKUP(I490,'Option Tables'!$B$23:$F$26,3)))+(J488*(VLOOKUP(I490,'Option Tables'!$B$23:$F$26,4))+(I488*(VLOOKUP(I490,'Option Tables'!$B$23:$F$26,5)))))</f>
        <v>41.208889917355371</v>
      </c>
      <c r="M491" s="355">
        <f>$D491*((M488*(VLOOKUP(I490,'Option Tables'!$B$23:$F$26,2)))+(L488*(VLOOKUP(I490,'Option Tables'!$B$23:$F$26,3)))+(K488*(VLOOKUP(I490,'Option Tables'!$B$23:$F$26,4))+(J488*(VLOOKUP(I490,'Option Tables'!$B$23:$F$26,5)))))</f>
        <v>7.7379186776859497</v>
      </c>
      <c r="N491" s="355">
        <f>$D491*((N488*(VLOOKUP(I490,'Option Tables'!$B$23:$F$26,2)))+(M488*(VLOOKUP(I490,'Option Tables'!$B$23:$F$26,3)))+(L488*(VLOOKUP(I490,'Option Tables'!$B$23:$F$26,4))+(K488*(VLOOKUP(I490,'Option Tables'!$B$23:$F$26,5)))))</f>
        <v>1.072780826446281</v>
      </c>
      <c r="O491" s="355">
        <f>$D491*((O488*(VLOOKUP(I490,'Option Tables'!$B$23:$F$26,2)))+(N488*(VLOOKUP(I490,'Option Tables'!$B$23:$F$26,3)))+(M488*(VLOOKUP(I490,'Option Tables'!$B$23:$F$26,4))+(L488*(VLOOKUP(I490,'Option Tables'!$B$23:$F$26,5)))))</f>
        <v>0</v>
      </c>
      <c r="P491" s="465">
        <f>$D491*((P488*(VLOOKUP(I490,'Option Tables'!$B$23:$F$26,2)))+(O488*(VLOOKUP(I490,'Option Tables'!$B$23:$F$26,3)))+(N488*(VLOOKUP(I490,'Option Tables'!$B$23:$F$26,4))+(M488*(VLOOKUP(I490,'Option Tables'!$B$23:$F$26,5)))))</f>
        <v>0</v>
      </c>
    </row>
    <row r="492" spans="2:18" ht="15.75" customHeight="1">
      <c r="B492" s="95"/>
      <c r="C492" s="256"/>
      <c r="D492" s="388">
        <v>0</v>
      </c>
      <c r="E492" s="355">
        <f>$D492*((E488*(VLOOKUP(I490,'Option Tables'!$B$23:$F$26,2)))+(P488*(VLOOKUP(I490,'Option Tables'!$B$23:$F$26,3)))+(O488*(VLOOKUP(I490,'Option Tables'!$B$23:$F$26,4))+(N488*(VLOOKUP(I490,'Option Tables'!$B$23:$F$26,5)))))</f>
        <v>0</v>
      </c>
      <c r="F492" s="355">
        <f>$D492*((F488*(VLOOKUP(I490,'Option Tables'!$B$23:$F$26,2)))+(E488*(VLOOKUP(I490,'Option Tables'!$B$23:$F$26,3)))+(P488*(VLOOKUP(I490,'Option Tables'!$B$23:$F$26,4))+(O488*(VLOOKUP(I490,'Option Tables'!$B$23:$F$26,5)))))</f>
        <v>0</v>
      </c>
      <c r="G492" s="355">
        <f>$D492*((G488*(VLOOKUP(I490,'Option Tables'!$B$23:$F$26,2)))+(F488*(VLOOKUP(I490,'Option Tables'!$B$23:$F$26,3)))+(E488*(VLOOKUP(I490,'Option Tables'!$B$23:$F$26,4))+(P488*(VLOOKUP(I490,'Option Tables'!$B$23:$F$26,5)))))</f>
        <v>0</v>
      </c>
      <c r="H492" s="355">
        <f>$D492*((H488*(VLOOKUP(I490,'Option Tables'!$B$23:$F$26,2)))+(G488*(VLOOKUP(I490,'Option Tables'!$B$23:$F$26,3)))+(F488*(VLOOKUP(I490,'Option Tables'!$B$23:$F$26,4))+(E488*(VLOOKUP(I490,'Option Tables'!$B$23:$F$26,5)))))</f>
        <v>0</v>
      </c>
      <c r="I492" s="355">
        <f>$D492*((I488*(VLOOKUP(I490,'Option Tables'!$B$23:$F$26,2)))+(H488*(VLOOKUP(I490,'Option Tables'!$B$23:$F$26,3)))+(G488*(VLOOKUP(I490,'Option Tables'!$B$23:$F$26,4))+(F488*(VLOOKUP(I490,'Option Tables'!$B$23:$F$26,5)))))</f>
        <v>0</v>
      </c>
      <c r="J492" s="355">
        <f>$D492*((J488*(VLOOKUP(I490,'Option Tables'!$B$23:$F$26,2)))+(I488*(VLOOKUP(I490,'Option Tables'!$B$23:$F$26,3)))+(H488*(VLOOKUP(I490,'Option Tables'!$B$23:$F$26,4))+(G488*(VLOOKUP(I490,'Option Tables'!$B$23:$F$26,5)))))</f>
        <v>0</v>
      </c>
      <c r="K492" s="355">
        <f>$D492*((K488*(VLOOKUP(I490,'Option Tables'!$B$23:$F$26,2)))+(J488*(VLOOKUP(I490,'Option Tables'!$B$23:$F$26,3)))+(I488*(VLOOKUP(I490,'Option Tables'!$B$23:$F$26,4))+(H488*(VLOOKUP(I490,'Option Tables'!$B$23:$F$26,5)))))</f>
        <v>0</v>
      </c>
      <c r="L492" s="355">
        <f>$D492*((L488*(VLOOKUP(I490,'Option Tables'!$B$23:$F$26,2)))+(K488*(VLOOKUP(I490,'Option Tables'!$B$23:$F$26,3)))+(J488*(VLOOKUP(I490,'Option Tables'!$B$23:$F$26,4))+(I488*(VLOOKUP(I490,'Option Tables'!$B$23:$F$26,5)))))</f>
        <v>0</v>
      </c>
      <c r="M492" s="355">
        <f>$D492*((M488*(VLOOKUP(I490,'Option Tables'!$B$23:$F$26,2)))+(L488*(VLOOKUP(I490,'Option Tables'!$B$23:$F$26,3)))+(K488*(VLOOKUP(I490,'Option Tables'!$B$23:$F$26,4))+(J488*(VLOOKUP(I490,'Option Tables'!$B$23:$F$26,5)))))</f>
        <v>0</v>
      </c>
      <c r="N492" s="355">
        <f>$D492*((N488*(VLOOKUP(I490,'Option Tables'!$B$23:$F$26,2)))+(M488*(VLOOKUP(I490,'Option Tables'!$B$23:$F$26,3)))+(L488*(VLOOKUP(I490,'Option Tables'!$B$23:$F$26,4))+(K488*(VLOOKUP(I490,'Option Tables'!$B$23:$F$26,5)))))</f>
        <v>0</v>
      </c>
      <c r="O492" s="355">
        <f>$D492*((O488*(VLOOKUP(I490,'Option Tables'!$B$23:$F$26,2)))+(N488*(VLOOKUP(I490,'Option Tables'!$B$23:$F$26,3)))+(M488*(VLOOKUP(I490,'Option Tables'!$B$23:$F$26,4))+(L488*(VLOOKUP(I490,'Option Tables'!$B$23:$F$26,5)))))</f>
        <v>0</v>
      </c>
      <c r="P492" s="465">
        <f>$D492*((P488*(VLOOKUP(I490,'Option Tables'!$B$23:$F$26,2)))+(O488*(VLOOKUP(I490,'Option Tables'!$B$23:$F$26,3)))+(N488*(VLOOKUP(I490,'Option Tables'!$B$23:$F$26,4))+(M488*(VLOOKUP(I490,'Option Tables'!$B$23:$F$26,5)))))</f>
        <v>0</v>
      </c>
    </row>
    <row r="493" spans="2:18" ht="15.75" customHeight="1">
      <c r="B493" s="95"/>
      <c r="C493" s="256"/>
      <c r="D493" s="388">
        <v>0</v>
      </c>
      <c r="E493" s="355">
        <f>$D493*((E488*(VLOOKUP(I490,'Option Tables'!$B$23:$F$26,2)))+(P488*(VLOOKUP(I490,'Option Tables'!$B$23:$F$26,3)))+(O488*(VLOOKUP(I490,'Option Tables'!$B$23:$F$26,4))+(N488*(VLOOKUP(I490,'Option Tables'!$B$23:$F$26,5)))))</f>
        <v>0</v>
      </c>
      <c r="F493" s="355">
        <f>$D493*((F488*(VLOOKUP(I490,'Option Tables'!$B$23:$F$26,2)))+(E488*(VLOOKUP(I490,'Option Tables'!$B$23:$F$26,3)))+(P488*(VLOOKUP(I490,'Option Tables'!$B$23:$F$26,4))+(O488*(VLOOKUP(I490,'Option Tables'!$B$23:$F$26,5)))))</f>
        <v>0</v>
      </c>
      <c r="G493" s="355">
        <f>$D493*((G488*(VLOOKUP(I490,'Option Tables'!$B$23:$F$26,2)))+(F488*(VLOOKUP(I490,'Option Tables'!$B$23:$F$26,3)))+(E488*(VLOOKUP(I490,'Option Tables'!$B$23:$F$26,4))+(P488*(VLOOKUP(I490,'Option Tables'!$B$23:$F$26,5)))))</f>
        <v>0</v>
      </c>
      <c r="H493" s="355">
        <f>$D493*((H488*(VLOOKUP(I490,'Option Tables'!$B$23:$F$26,2)))+(G488*(VLOOKUP(I490,'Option Tables'!$B$23:$F$26,3)))+(F488*(VLOOKUP(I490,'Option Tables'!$B$23:$F$26,4))+(E488*(VLOOKUP(I490,'Option Tables'!$B$23:$F$26,5)))))</f>
        <v>0</v>
      </c>
      <c r="I493" s="355">
        <f>$D493*((I488*(VLOOKUP(I490,'Option Tables'!$B$23:$F$26,2)))+(H488*(VLOOKUP(I490,'Option Tables'!$B$23:$F$26,3)))+(G488*(VLOOKUP(I490,'Option Tables'!$B$23:$F$26,4))+(F488*(VLOOKUP(I490,'Option Tables'!$B$23:$F$26,5)))))</f>
        <v>0</v>
      </c>
      <c r="J493" s="355">
        <f>$D493*((J488*(VLOOKUP(I490,'Option Tables'!$B$23:$F$26,2)))+(I488*(VLOOKUP(I490,'Option Tables'!$B$23:$F$26,3)))+(H488*(VLOOKUP(I490,'Option Tables'!$B$23:$F$26,4))+(G488*(VLOOKUP(I490,'Option Tables'!$B$23:$F$26,5)))))</f>
        <v>0</v>
      </c>
      <c r="K493" s="355">
        <f>$D493*((K488*(VLOOKUP(I490,'Option Tables'!$B$23:$F$26,2)))+(J488*(VLOOKUP(I490,'Option Tables'!$B$23:$F$26,3)))+(I488*(VLOOKUP(I490,'Option Tables'!$B$23:$F$26,4))+(H488*(VLOOKUP(I490,'Option Tables'!$B$23:$F$26,5)))))</f>
        <v>0</v>
      </c>
      <c r="L493" s="355">
        <f>$D493*((L488*(VLOOKUP(I490,'Option Tables'!$B$23:$F$26,2)))+(K488*(VLOOKUP(I490,'Option Tables'!$B$23:$F$26,3)))+(J488*(VLOOKUP(I490,'Option Tables'!$B$23:$F$26,4))+(I488*(VLOOKUP(I490,'Option Tables'!$B$23:$F$26,5)))))</f>
        <v>0</v>
      </c>
      <c r="M493" s="355">
        <f>$D493*((M488*(VLOOKUP(I490,'Option Tables'!$B$23:$F$26,2)))+(L488*(VLOOKUP(I490,'Option Tables'!$B$23:$F$26,3)))+(K488*(VLOOKUP(I490,'Option Tables'!$B$23:$F$26,4))+(J488*(VLOOKUP(I490,'Option Tables'!$B$23:$F$26,5)))))</f>
        <v>0</v>
      </c>
      <c r="N493" s="355">
        <f>$D493*((N488*(VLOOKUP(I490,'Option Tables'!$B$23:$F$26,2)))+(M488*(VLOOKUP(I490,'Option Tables'!$B$23:$F$26,3)))+(L488*(VLOOKUP(I490,'Option Tables'!$B$23:$F$26,4))+(K488*(VLOOKUP(I490,'Option Tables'!$B$23:$F$26,5)))))</f>
        <v>0</v>
      </c>
      <c r="O493" s="355">
        <f>$D493*((O488*(VLOOKUP(I490,'Option Tables'!$B$23:$F$26,2)))+(N488*(VLOOKUP(I490,'Option Tables'!$B$23:$F$26,3)))+(M488*(VLOOKUP(I490,'Option Tables'!$B$23:$F$26,4))+(L488*(VLOOKUP(I490,'Option Tables'!$B$23:$F$26,5)))))</f>
        <v>0</v>
      </c>
      <c r="P493" s="465">
        <f>$D493*((P488*(VLOOKUP(I490,'Option Tables'!$B$23:$F$26,2)))+(O488*(VLOOKUP(I490,'Option Tables'!$B$23:$F$26,3)))+(N488*(VLOOKUP(I490,'Option Tables'!$B$23:$F$26,4))+(M488*(VLOOKUP(I490,'Option Tables'!$B$23:$F$26,5)))))</f>
        <v>0</v>
      </c>
    </row>
    <row r="494" spans="2:18" ht="15.75" customHeight="1">
      <c r="B494" s="95"/>
      <c r="C494" s="256"/>
      <c r="D494" s="388">
        <v>0</v>
      </c>
      <c r="E494" s="355">
        <f>$D494*((E488*(VLOOKUP(I490,'Option Tables'!$B$23:$F$26,2)))+(P488*(VLOOKUP(I490,'Option Tables'!$B$23:$F$26,3)))+(O488*(VLOOKUP(I490,'Option Tables'!$B$23:$F$26,4))+(N488*(VLOOKUP(I490,'Option Tables'!$B$23:$F$26,5)))))</f>
        <v>0</v>
      </c>
      <c r="F494" s="355">
        <f>$D494*((F488*(VLOOKUP(I490,'Option Tables'!$B$23:$F$26,2)))+(E488*(VLOOKUP(I490,'Option Tables'!$B$23:$F$26,3)))+(P488*(VLOOKUP(I490,'Option Tables'!$B$23:$F$26,4))+(O488*(VLOOKUP(I490,'Option Tables'!$B$23:$F$26,5)))))</f>
        <v>0</v>
      </c>
      <c r="G494" s="355">
        <f>$D494*((G488*(VLOOKUP(I490,'Option Tables'!$B$23:$F$26,2)))+(F488*(VLOOKUP(I490,'Option Tables'!$B$23:$F$26,3)))+(E488*(VLOOKUP(I490,'Option Tables'!$B$23:$F$26,4))+(P488*(VLOOKUP(I490,'Option Tables'!$B$23:$F$26,5)))))</f>
        <v>0</v>
      </c>
      <c r="H494" s="355">
        <f>$D494*((H488*(VLOOKUP(I490,'Option Tables'!$B$23:$F$26,2)))+(G488*(VLOOKUP(I490,'Option Tables'!$B$23:$F$26,3)))+(F488*(VLOOKUP(I490,'Option Tables'!$B$23:$F$26,4))+(E488*(VLOOKUP(I490,'Option Tables'!$B$23:$F$26,5)))))</f>
        <v>0</v>
      </c>
      <c r="I494" s="355">
        <f>$D494*((I488*(VLOOKUP(I490,'Option Tables'!$B$23:$F$26,2)))+(H488*(VLOOKUP(I490,'Option Tables'!$B$23:$F$26,3)))+(G488*(VLOOKUP(I490,'Option Tables'!$B$23:$F$26,4))+(F488*(VLOOKUP(I490,'Option Tables'!$B$23:$F$26,5)))))</f>
        <v>0</v>
      </c>
      <c r="J494" s="355">
        <f>$D494*((J488*(VLOOKUP(I490,'Option Tables'!$B$23:$F$26,2)))+(I488*(VLOOKUP(I490,'Option Tables'!$B$23:$F$26,3)))+(H488*(VLOOKUP(I490,'Option Tables'!$B$23:$F$26,4))+(G488*(VLOOKUP(I490,'Option Tables'!$B$23:$F$26,5)))))</f>
        <v>0</v>
      </c>
      <c r="K494" s="355">
        <f>$D494*((K488*(VLOOKUP(I490,'Option Tables'!$B$23:$F$26,2)))+(J488*(VLOOKUP(I490,'Option Tables'!$B$23:$F$26,3)))+(I488*(VLOOKUP(I490,'Option Tables'!$B$23:$F$26,4))+(H488*(VLOOKUP(I490,'Option Tables'!$B$23:$F$26,5)))))</f>
        <v>0</v>
      </c>
      <c r="L494" s="355">
        <f>$D494*((L488*(VLOOKUP(I490,'Option Tables'!$B$23:$F$26,2)))+(K488*(VLOOKUP(I490,'Option Tables'!$B$23:$F$26,3)))+(J488*(VLOOKUP(I490,'Option Tables'!$B$23:$F$26,4))+(I488*(VLOOKUP(I490,'Option Tables'!$B$23:$F$26,5)))))</f>
        <v>0</v>
      </c>
      <c r="M494" s="355">
        <f>$D494*((M488*(VLOOKUP(I490,'Option Tables'!$B$23:$F$26,2)))+(L488*(VLOOKUP(I490,'Option Tables'!$B$23:$F$26,3)))+(K488*(VLOOKUP(I490,'Option Tables'!$B$23:$F$26,4))+(J488*(VLOOKUP(I490,'Option Tables'!$B$23:$F$26,5)))))</f>
        <v>0</v>
      </c>
      <c r="N494" s="355">
        <f>$D494*((N488*(VLOOKUP(I490,'Option Tables'!$B$23:$F$26,2)))+(M488*(VLOOKUP(I490,'Option Tables'!$B$23:$F$26,3)))+(L488*(VLOOKUP(I490,'Option Tables'!$B$23:$F$26,4))+(K488*(VLOOKUP(I490,'Option Tables'!$B$23:$F$26,5)))))</f>
        <v>0</v>
      </c>
      <c r="O494" s="355">
        <f>$D494*((O488*(VLOOKUP(I490,'Option Tables'!$B$23:$F$26,2)))+(N488*(VLOOKUP(I490,'Option Tables'!$B$23:$F$26,3)))+(M488*(VLOOKUP(I490,'Option Tables'!$B$23:$F$26,4))+(L488*(VLOOKUP(I490,'Option Tables'!$B$23:$F$26,5)))))</f>
        <v>0</v>
      </c>
      <c r="P494" s="465">
        <f>$D494*((P488*(VLOOKUP(I490,'Option Tables'!$B$23:$F$26,2)))+(O488*(VLOOKUP(I490,'Option Tables'!$B$23:$F$26,3)))+(N488*(VLOOKUP(I490,'Option Tables'!$B$23:$F$26,4))+(M488*(VLOOKUP(I490,'Option Tables'!$B$23:$F$26,5)))))</f>
        <v>0</v>
      </c>
    </row>
    <row r="495" spans="2:18" ht="15.75" customHeight="1" thickBot="1">
      <c r="B495" s="97"/>
      <c r="C495" s="144" t="str">
        <f>IF(D495&lt;&gt;1,"Must equal %100","")</f>
        <v/>
      </c>
      <c r="D495" s="71">
        <f t="shared" ref="D495:P495" si="47">SUM(D491:D494)</f>
        <v>1</v>
      </c>
      <c r="E495" s="466">
        <f t="shared" si="47"/>
        <v>0</v>
      </c>
      <c r="F495" s="466">
        <f t="shared" si="47"/>
        <v>0</v>
      </c>
      <c r="G495" s="466">
        <f t="shared" si="47"/>
        <v>0</v>
      </c>
      <c r="H495" s="466">
        <f t="shared" si="47"/>
        <v>0</v>
      </c>
      <c r="I495" s="466">
        <f t="shared" si="47"/>
        <v>124.75678148760331</v>
      </c>
      <c r="J495" s="466">
        <f t="shared" si="47"/>
        <v>193.24776528925619</v>
      </c>
      <c r="K495" s="466">
        <f t="shared" si="47"/>
        <v>101.99831669421486</v>
      </c>
      <c r="L495" s="466">
        <f t="shared" si="47"/>
        <v>41.208889917355371</v>
      </c>
      <c r="M495" s="466">
        <f t="shared" si="47"/>
        <v>7.7379186776859497</v>
      </c>
      <c r="N495" s="466">
        <f t="shared" si="47"/>
        <v>1.072780826446281</v>
      </c>
      <c r="O495" s="466">
        <f t="shared" si="47"/>
        <v>0</v>
      </c>
      <c r="P495" s="467">
        <f t="shared" si="47"/>
        <v>0</v>
      </c>
      <c r="R495" s="140"/>
    </row>
    <row r="496" spans="2:18" ht="15.75" customHeight="1" thickBot="1">
      <c r="B496" s="85" t="s">
        <v>137</v>
      </c>
      <c r="C496" s="257" t="str">
        <f>VLOOKUP(B496,NodeList!$D$5:$E$73,2,FALSE)</f>
        <v>Covey</v>
      </c>
      <c r="D496" s="91"/>
      <c r="E496" s="450"/>
      <c r="F496" s="451"/>
      <c r="G496" s="452"/>
      <c r="H496" s="453" t="s">
        <v>54</v>
      </c>
      <c r="I496" s="68">
        <v>30</v>
      </c>
      <c r="J496" s="454"/>
      <c r="K496" s="454"/>
      <c r="L496" s="454"/>
      <c r="M496" s="454"/>
      <c r="N496" s="454"/>
      <c r="O496" s="454"/>
      <c r="P496" s="455"/>
    </row>
    <row r="497" spans="2:18" ht="15.75" customHeight="1">
      <c r="B497" s="94"/>
      <c r="C497" s="66" t="s">
        <v>57</v>
      </c>
      <c r="D497" s="69"/>
      <c r="E497" s="456">
        <f>VLOOKUP($B496,'Diversion Data'!$B$3:$O$227,3,FALSE)</f>
        <v>0</v>
      </c>
      <c r="F497" s="456">
        <f>VLOOKUP($B496,'Diversion Data'!$B$3:$O$227,4,FALSE)</f>
        <v>0</v>
      </c>
      <c r="G497" s="456">
        <f>VLOOKUP($B496,'Diversion Data'!$B$3:$O$227,5,FALSE)</f>
        <v>0</v>
      </c>
      <c r="H497" s="456">
        <f>VLOOKUP($B496,'Diversion Data'!$B$3:$O$227,6,FALSE)</f>
        <v>0</v>
      </c>
      <c r="I497" s="456">
        <f>VLOOKUP($B496,'Diversion Data'!$B$3:$O$227,7,FALSE)</f>
        <v>2110.5698760330579</v>
      </c>
      <c r="J497" s="456">
        <f>VLOOKUP($B496,'Diversion Data'!$B$3:$O$227,8,FALSE)</f>
        <v>2902.3072830578512</v>
      </c>
      <c r="K497" s="456">
        <f>VLOOKUP($B496,'Diversion Data'!$B$3:$O$227,9,FALSE)</f>
        <v>1469.1835433884298</v>
      </c>
      <c r="L497" s="456">
        <f>VLOOKUP($B496,'Diversion Data'!$B$3:$O$227,10,FALSE)</f>
        <v>590.62847107438017</v>
      </c>
      <c r="M497" s="456">
        <f>VLOOKUP($B496,'Diversion Data'!$B$3:$O$227,11,FALSE)</f>
        <v>300.00727272727278</v>
      </c>
      <c r="N497" s="456">
        <f>VLOOKUP($B496,'Diversion Data'!$B$3:$O$227,12,FALSE)</f>
        <v>0</v>
      </c>
      <c r="O497" s="456">
        <f>VLOOKUP($B496,'Diversion Data'!$B$3:$O$227,13,FALSE)</f>
        <v>0</v>
      </c>
      <c r="P497" s="457">
        <f>VLOOKUP($B496,'Diversion Data'!$B$3:$O$227,14,FALSE)</f>
        <v>0</v>
      </c>
    </row>
    <row r="498" spans="2:18" ht="15.75" customHeight="1">
      <c r="B498" s="95"/>
      <c r="C498" s="72" t="s">
        <v>56</v>
      </c>
      <c r="D498" s="70"/>
      <c r="E498" s="458">
        <f>VLOOKUP($I496,'Option Tables'!$B$3:$N$19,2,FALSE)*E497</f>
        <v>0</v>
      </c>
      <c r="F498" s="458">
        <f>VLOOKUP($I496,'Option Tables'!$B$3:$N$19,3,FALSE)*F497</f>
        <v>0</v>
      </c>
      <c r="G498" s="458">
        <f>VLOOKUP($I496,'Option Tables'!$B$3:$N$19,4,FALSE)*G497</f>
        <v>0</v>
      </c>
      <c r="H498" s="458">
        <f>VLOOKUP($I496,'Option Tables'!$B$3:$N$19,5,FALSE)*H497</f>
        <v>0</v>
      </c>
      <c r="I498" s="458">
        <f>VLOOKUP($I496,'Option Tables'!$B$3:$N$19,6,FALSE)*I497</f>
        <v>1477.3989132231404</v>
      </c>
      <c r="J498" s="458">
        <f>VLOOKUP($I496,'Option Tables'!$B$3:$N$19,7,FALSE)*J497</f>
        <v>2031.6150981404958</v>
      </c>
      <c r="K498" s="458">
        <f>VLOOKUP($I496,'Option Tables'!$B$3:$N$19,8,FALSE)*K497</f>
        <v>1028.4284803719008</v>
      </c>
      <c r="L498" s="458">
        <f>VLOOKUP($I496,'Option Tables'!$B$3:$N$19,9,FALSE)*L497</f>
        <v>413.43992975206612</v>
      </c>
      <c r="M498" s="458">
        <f>VLOOKUP($I496,'Option Tables'!$B$3:$N$19,10,FALSE)*M497</f>
        <v>210.00509090909094</v>
      </c>
      <c r="N498" s="458">
        <f>VLOOKUP($I496,'Option Tables'!$B$3:$N$19,11,FALSE)*N497</f>
        <v>0</v>
      </c>
      <c r="O498" s="458">
        <f>VLOOKUP($I496,'Option Tables'!$B$3:$N$19,12,FALSE)*O497</f>
        <v>0</v>
      </c>
      <c r="P498" s="459">
        <f>VLOOKUP($I496,'Option Tables'!$B$3:$N$19,13,FALSE)*P497</f>
        <v>0</v>
      </c>
    </row>
    <row r="499" spans="2:18" ht="15.75" customHeight="1" thickBot="1">
      <c r="B499" s="95"/>
      <c r="C499" s="66"/>
      <c r="D499" s="62"/>
      <c r="E499" s="355"/>
      <c r="F499" s="355"/>
      <c r="G499" s="355"/>
      <c r="H499" s="355"/>
      <c r="I499" s="355"/>
      <c r="J499" s="355"/>
      <c r="K499" s="355"/>
      <c r="L499" s="355"/>
      <c r="M499" s="460"/>
      <c r="N499" s="460"/>
      <c r="O499" s="460"/>
      <c r="P499" s="461"/>
    </row>
    <row r="500" spans="2:18" ht="15.75" customHeight="1" thickBot="1">
      <c r="B500" s="254" t="s">
        <v>73</v>
      </c>
      <c r="C500" s="105" t="s">
        <v>73</v>
      </c>
      <c r="D500" s="105" t="s">
        <v>74</v>
      </c>
      <c r="E500" s="462"/>
      <c r="F500" s="463"/>
      <c r="G500" s="464"/>
      <c r="H500" s="464" t="s">
        <v>55</v>
      </c>
      <c r="I500" s="68">
        <v>1</v>
      </c>
      <c r="J500" s="460"/>
      <c r="K500" s="460"/>
      <c r="L500" s="460"/>
      <c r="M500" s="460"/>
      <c r="N500" s="460"/>
      <c r="O500" s="460"/>
      <c r="P500" s="461"/>
    </row>
    <row r="501" spans="2:18" ht="15.75" customHeight="1">
      <c r="B501" s="255" t="str">
        <f>"("&amp;VLOOKUP(C501,NodeList!$D$5:$E$68,2,FALSE)&amp;")"</f>
        <v>(Whites Water)</v>
      </c>
      <c r="C501" s="256" t="s">
        <v>159</v>
      </c>
      <c r="D501" s="388">
        <v>0.1</v>
      </c>
      <c r="E501" s="355">
        <f>$D501*((E498*(VLOOKUP(I500,'Option Tables'!$B$23:$F$26,2)))+(P498*(VLOOKUP(I500,'Option Tables'!$B$23:$F$26,3)))+(O498*(VLOOKUP(I500,'Option Tables'!$B$23:$F$26,4))+(N498*(VLOOKUP(I500,'Option Tables'!$B$23:$F$26,5)))))</f>
        <v>0</v>
      </c>
      <c r="F501" s="355">
        <f>$D501*((F498*(VLOOKUP(I500,'Option Tables'!$B$23:$F$26,2)))+(E498*(VLOOKUP(I500,'Option Tables'!$B$23:$F$26,3)))+(P498*(VLOOKUP(I500,'Option Tables'!$B$23:$F$26,4))+(O498*(VLOOKUP(I500,'Option Tables'!$B$23:$F$26,5)))))</f>
        <v>0</v>
      </c>
      <c r="G501" s="355">
        <f>$D501*((G498*(VLOOKUP(I500,'Option Tables'!$B$23:$F$26,2)))+(F498*(VLOOKUP(I500,'Option Tables'!$B$23:$F$26,3)))+(E498*(VLOOKUP(I500,'Option Tables'!$B$23:$F$26,4))+(P498*(VLOOKUP(I500,'Option Tables'!$B$23:$F$26,5)))))</f>
        <v>0</v>
      </c>
      <c r="H501" s="355">
        <f>$D501*((H498*(VLOOKUP(I500,'Option Tables'!$B$23:$F$26,2)))+(G498*(VLOOKUP(I500,'Option Tables'!$B$23:$F$26,3)))+(F498*(VLOOKUP(I500,'Option Tables'!$B$23:$F$26,4))+(E498*(VLOOKUP(I500,'Option Tables'!$B$23:$F$26,5)))))</f>
        <v>0</v>
      </c>
      <c r="I501" s="355">
        <f>$D501*((I498*(VLOOKUP(I500,'Option Tables'!$B$23:$F$26,2)))+(H498*(VLOOKUP(I500,'Option Tables'!$B$23:$F$26,3)))+(G498*(VLOOKUP(I500,'Option Tables'!$B$23:$F$26,4))+(F498*(VLOOKUP(I500,'Option Tables'!$B$23:$F$26,5)))))</f>
        <v>73.869945661157018</v>
      </c>
      <c r="J501" s="355">
        <f>$D501*((J498*(VLOOKUP(I500,'Option Tables'!$B$23:$F$26,2)))+(I498*(VLOOKUP(I500,'Option Tables'!$B$23:$F$26,3)))+(H498*(VLOOKUP(I500,'Option Tables'!$B$23:$F$26,4))+(G498*(VLOOKUP(I500,'Option Tables'!$B$23:$F$26,5)))))</f>
        <v>138.51572773760333</v>
      </c>
      <c r="K501" s="355">
        <f>$D501*((K498*(VLOOKUP(I500,'Option Tables'!$B$23:$F$26,2)))+(J498*(VLOOKUP(I500,'Option Tables'!$B$23:$F$26,3)))+(I498*(VLOOKUP(I500,'Option Tables'!$B$23:$F$26,4))+(H498*(VLOOKUP(I500,'Option Tables'!$B$23:$F$26,5)))))</f>
        <v>124.37278517045455</v>
      </c>
      <c r="L501" s="355">
        <f>$D501*((L498*(VLOOKUP(I500,'Option Tables'!$B$23:$F$26,2)))+(K498*(VLOOKUP(I500,'Option Tables'!$B$23:$F$26,3)))+(J498*(VLOOKUP(I500,'Option Tables'!$B$23:$F$26,4))+(I498*(VLOOKUP(I500,'Option Tables'!$B$23:$F$26,5)))))</f>
        <v>91.630924101239671</v>
      </c>
      <c r="M501" s="355">
        <f>$D501*((M498*(VLOOKUP(I500,'Option Tables'!$B$23:$F$26,2)))+(L498*(VLOOKUP(I500,'Option Tables'!$B$23:$F$26,3)))+(K498*(VLOOKUP(I500,'Option Tables'!$B$23:$F$26,4))+(J498*(VLOOKUP(I500,'Option Tables'!$B$23:$F$26,5)))))</f>
        <v>56.578830976239672</v>
      </c>
      <c r="N501" s="355">
        <f>$D501*((N498*(VLOOKUP(I500,'Option Tables'!$B$23:$F$26,2)))+(M498*(VLOOKUP(I500,'Option Tables'!$B$23:$F$26,3)))+(L498*(VLOOKUP(I500,'Option Tables'!$B$23:$F$26,4))+(K498*(VLOOKUP(I500,'Option Tables'!$B$23:$F$26,5)))))</f>
        <v>21.736011022727276</v>
      </c>
      <c r="O501" s="355">
        <f>$D501*((O498*(VLOOKUP(I500,'Option Tables'!$B$23:$F$26,2)))+(N498*(VLOOKUP(I500,'Option Tables'!$B$23:$F$26,3)))+(M498*(VLOOKUP(I500,'Option Tables'!$B$23:$F$26,4))+(L498*(VLOOKUP(I500,'Option Tables'!$B$23:$F$26,5)))))</f>
        <v>7.2844756611570265</v>
      </c>
      <c r="P501" s="465">
        <f>$D501*((P498*(VLOOKUP(I500,'Option Tables'!$B$23:$F$26,2)))+(O498*(VLOOKUP(I500,'Option Tables'!$B$23:$F$26,3)))+(N498*(VLOOKUP(I500,'Option Tables'!$B$23:$F$26,4))+(M498*(VLOOKUP(I500,'Option Tables'!$B$23:$F$26,5)))))</f>
        <v>2.1000509090909096</v>
      </c>
    </row>
    <row r="502" spans="2:18" ht="15.75" customHeight="1">
      <c r="B502" s="255" t="str">
        <f>"("&amp;VLOOKUP(C502,NodeList!$D$5:$E$68,2,FALSE)&amp;")"</f>
        <v>(AggDiv BR-5)</v>
      </c>
      <c r="C502" s="256" t="s">
        <v>127</v>
      </c>
      <c r="D502" s="388">
        <v>0.9</v>
      </c>
      <c r="E502" s="355">
        <f>$D502*((E498*(VLOOKUP(I500,'Option Tables'!$B$23:$F$26,2)))+(P498*(VLOOKUP(I500,'Option Tables'!$B$23:$F$26,3)))+(O498*(VLOOKUP(I500,'Option Tables'!$B$23:$F$26,4))+(N498*(VLOOKUP(I500,'Option Tables'!$B$23:$F$26,5)))))</f>
        <v>0</v>
      </c>
      <c r="F502" s="355">
        <f>$D502*((F498*(VLOOKUP(I500,'Option Tables'!$B$23:$F$26,2)))+(E498*(VLOOKUP(I500,'Option Tables'!$B$23:$F$26,3)))+(P498*(VLOOKUP(I500,'Option Tables'!$B$23:$F$26,4))+(O498*(VLOOKUP(I500,'Option Tables'!$B$23:$F$26,5)))))</f>
        <v>0</v>
      </c>
      <c r="G502" s="355">
        <f>$D502*((G498*(VLOOKUP(I500,'Option Tables'!$B$23:$F$26,2)))+(F498*(VLOOKUP(I500,'Option Tables'!$B$23:$F$26,3)))+(E498*(VLOOKUP(I500,'Option Tables'!$B$23:$F$26,4))+(P498*(VLOOKUP(I500,'Option Tables'!$B$23:$F$26,5)))))</f>
        <v>0</v>
      </c>
      <c r="H502" s="355">
        <f>$D502*((H498*(VLOOKUP(I500,'Option Tables'!$B$23:$F$26,2)))+(G498*(VLOOKUP(I500,'Option Tables'!$B$23:$F$26,3)))+(F498*(VLOOKUP(I500,'Option Tables'!$B$23:$F$26,4))+(E498*(VLOOKUP(I500,'Option Tables'!$B$23:$F$26,5)))))</f>
        <v>0</v>
      </c>
      <c r="I502" s="355">
        <f>$D502*((I498*(VLOOKUP(I500,'Option Tables'!$B$23:$F$26,2)))+(H498*(VLOOKUP(I500,'Option Tables'!$B$23:$F$26,3)))+(G498*(VLOOKUP(I500,'Option Tables'!$B$23:$F$26,4))+(F498*(VLOOKUP(I500,'Option Tables'!$B$23:$F$26,5)))))</f>
        <v>664.82951095041324</v>
      </c>
      <c r="J502" s="355">
        <f>$D502*((J498*(VLOOKUP(I500,'Option Tables'!$B$23:$F$26,2)))+(I498*(VLOOKUP(I500,'Option Tables'!$B$23:$F$26,3)))+(H498*(VLOOKUP(I500,'Option Tables'!$B$23:$F$26,4))+(G498*(VLOOKUP(I500,'Option Tables'!$B$23:$F$26,5)))))</f>
        <v>1246.6415496384298</v>
      </c>
      <c r="K502" s="355">
        <f>$D502*((K498*(VLOOKUP(I500,'Option Tables'!$B$23:$F$26,2)))+(J498*(VLOOKUP(I500,'Option Tables'!$B$23:$F$26,3)))+(I498*(VLOOKUP(I500,'Option Tables'!$B$23:$F$26,4))+(H498*(VLOOKUP(I500,'Option Tables'!$B$23:$F$26,5)))))</f>
        <v>1119.3550665340908</v>
      </c>
      <c r="L502" s="355">
        <f>$D502*((L498*(VLOOKUP(I500,'Option Tables'!$B$23:$F$26,2)))+(K498*(VLOOKUP(I500,'Option Tables'!$B$23:$F$26,3)))+(J498*(VLOOKUP(I500,'Option Tables'!$B$23:$F$26,4))+(I498*(VLOOKUP(I500,'Option Tables'!$B$23:$F$26,5)))))</f>
        <v>824.67831691115703</v>
      </c>
      <c r="M502" s="355">
        <f>$D502*((M498*(VLOOKUP(I500,'Option Tables'!$B$23:$F$26,2)))+(L498*(VLOOKUP(I500,'Option Tables'!$B$23:$F$26,3)))+(K498*(VLOOKUP(I500,'Option Tables'!$B$23:$F$26,4))+(J498*(VLOOKUP(I500,'Option Tables'!$B$23:$F$26,5)))))</f>
        <v>509.20947878615704</v>
      </c>
      <c r="N502" s="355">
        <f>$D502*((N498*(VLOOKUP(I500,'Option Tables'!$B$23:$F$26,2)))+(M498*(VLOOKUP(I500,'Option Tables'!$B$23:$F$26,3)))+(L498*(VLOOKUP(I500,'Option Tables'!$B$23:$F$26,4))+(K498*(VLOOKUP(I500,'Option Tables'!$B$23:$F$26,5)))))</f>
        <v>195.62409920454547</v>
      </c>
      <c r="O502" s="355">
        <f>$D502*((O498*(VLOOKUP(I500,'Option Tables'!$B$23:$F$26,2)))+(N498*(VLOOKUP(I500,'Option Tables'!$B$23:$F$26,3)))+(M498*(VLOOKUP(I500,'Option Tables'!$B$23:$F$26,4))+(L498*(VLOOKUP(I500,'Option Tables'!$B$23:$F$26,5)))))</f>
        <v>65.560280950413244</v>
      </c>
      <c r="P502" s="465">
        <f>$D502*((P498*(VLOOKUP(I500,'Option Tables'!$B$23:$F$26,2)))+(O498*(VLOOKUP(I500,'Option Tables'!$B$23:$F$26,3)))+(N498*(VLOOKUP(I500,'Option Tables'!$B$23:$F$26,4))+(M498*(VLOOKUP(I500,'Option Tables'!$B$23:$F$26,5)))))</f>
        <v>18.900458181818184</v>
      </c>
    </row>
    <row r="503" spans="2:18" ht="15.75" customHeight="1">
      <c r="B503" s="255"/>
      <c r="C503" s="256"/>
      <c r="D503" s="388">
        <v>0</v>
      </c>
      <c r="E503" s="355">
        <f>$D503*((E498*(VLOOKUP(I500,'Option Tables'!$B$23:$F$26,2)))+(P498*(VLOOKUP(I500,'Option Tables'!$B$23:$F$26,3)))+(O498*(VLOOKUP(I500,'Option Tables'!$B$23:$F$26,4))+(N498*(VLOOKUP(I500,'Option Tables'!$B$23:$F$26,5)))))</f>
        <v>0</v>
      </c>
      <c r="F503" s="355">
        <f>$D503*((F498*(VLOOKUP(I500,'Option Tables'!$B$23:$F$26,2)))+(E498*(VLOOKUP(I500,'Option Tables'!$B$23:$F$26,3)))+(P498*(VLOOKUP(I500,'Option Tables'!$B$23:$F$26,4))+(O498*(VLOOKUP(I500,'Option Tables'!$B$23:$F$26,5)))))</f>
        <v>0</v>
      </c>
      <c r="G503" s="355">
        <f>$D503*((G498*(VLOOKUP(I500,'Option Tables'!$B$23:$F$26,2)))+(F498*(VLOOKUP(I500,'Option Tables'!$B$23:$F$26,3)))+(E498*(VLOOKUP(I500,'Option Tables'!$B$23:$F$26,4))+(P498*(VLOOKUP(I500,'Option Tables'!$B$23:$F$26,5)))))</f>
        <v>0</v>
      </c>
      <c r="H503" s="355">
        <f>$D503*((H498*(VLOOKUP(I500,'Option Tables'!$B$23:$F$26,2)))+(G498*(VLOOKUP(I500,'Option Tables'!$B$23:$F$26,3)))+(F498*(VLOOKUP(I500,'Option Tables'!$B$23:$F$26,4))+(E498*(VLOOKUP(I500,'Option Tables'!$B$23:$F$26,5)))))</f>
        <v>0</v>
      </c>
      <c r="I503" s="355">
        <f>$D503*((I498*(VLOOKUP(I500,'Option Tables'!$B$23:$F$26,2)))+(H498*(VLOOKUP(I500,'Option Tables'!$B$23:$F$26,3)))+(G498*(VLOOKUP(I500,'Option Tables'!$B$23:$F$26,4))+(F498*(VLOOKUP(I500,'Option Tables'!$B$23:$F$26,5)))))</f>
        <v>0</v>
      </c>
      <c r="J503" s="355">
        <f>$D503*((J498*(VLOOKUP(I500,'Option Tables'!$B$23:$F$26,2)))+(I498*(VLOOKUP(I500,'Option Tables'!$B$23:$F$26,3)))+(H498*(VLOOKUP(I500,'Option Tables'!$B$23:$F$26,4))+(G498*(VLOOKUP(I500,'Option Tables'!$B$23:$F$26,5)))))</f>
        <v>0</v>
      </c>
      <c r="K503" s="355">
        <f>$D503*((K498*(VLOOKUP(I500,'Option Tables'!$B$23:$F$26,2)))+(J498*(VLOOKUP(I500,'Option Tables'!$B$23:$F$26,3)))+(I498*(VLOOKUP(I500,'Option Tables'!$B$23:$F$26,4))+(H498*(VLOOKUP(I500,'Option Tables'!$B$23:$F$26,5)))))</f>
        <v>0</v>
      </c>
      <c r="L503" s="355">
        <f>$D503*((L498*(VLOOKUP(I500,'Option Tables'!$B$23:$F$26,2)))+(K498*(VLOOKUP(I500,'Option Tables'!$B$23:$F$26,3)))+(J498*(VLOOKUP(I500,'Option Tables'!$B$23:$F$26,4))+(I498*(VLOOKUP(I500,'Option Tables'!$B$23:$F$26,5)))))</f>
        <v>0</v>
      </c>
      <c r="M503" s="355">
        <f>$D503*((M498*(VLOOKUP(I500,'Option Tables'!$B$23:$F$26,2)))+(L498*(VLOOKUP(I500,'Option Tables'!$B$23:$F$26,3)))+(K498*(VLOOKUP(I500,'Option Tables'!$B$23:$F$26,4))+(J498*(VLOOKUP(I500,'Option Tables'!$B$23:$F$26,5)))))</f>
        <v>0</v>
      </c>
      <c r="N503" s="355">
        <f>$D503*((N498*(VLOOKUP(I500,'Option Tables'!$B$23:$F$26,2)))+(M498*(VLOOKUP(I500,'Option Tables'!$B$23:$F$26,3)))+(L498*(VLOOKUP(I500,'Option Tables'!$B$23:$F$26,4))+(K498*(VLOOKUP(I500,'Option Tables'!$B$23:$F$26,5)))))</f>
        <v>0</v>
      </c>
      <c r="O503" s="355">
        <f>$D503*((O498*(VLOOKUP(I500,'Option Tables'!$B$23:$F$26,2)))+(N498*(VLOOKUP(I500,'Option Tables'!$B$23:$F$26,3)))+(M498*(VLOOKUP(I500,'Option Tables'!$B$23:$F$26,4))+(L498*(VLOOKUP(I500,'Option Tables'!$B$23:$F$26,5)))))</f>
        <v>0</v>
      </c>
      <c r="P503" s="465">
        <f>$D503*((P498*(VLOOKUP(I500,'Option Tables'!$B$23:$F$26,2)))+(O498*(VLOOKUP(I500,'Option Tables'!$B$23:$F$26,3)))+(N498*(VLOOKUP(I500,'Option Tables'!$B$23:$F$26,4))+(M498*(VLOOKUP(I500,'Option Tables'!$B$23:$F$26,5)))))</f>
        <v>0</v>
      </c>
    </row>
    <row r="504" spans="2:18" ht="15.75" customHeight="1">
      <c r="B504" s="95"/>
      <c r="C504" s="256"/>
      <c r="D504" s="388">
        <v>0</v>
      </c>
      <c r="E504" s="355">
        <f>$D504*((E498*(VLOOKUP(I500,'Option Tables'!$B$23:$F$26,2)))+(P498*(VLOOKUP(I500,'Option Tables'!$B$23:$F$26,3)))+(O498*(VLOOKUP(I500,'Option Tables'!$B$23:$F$26,4))+(N498*(VLOOKUP(I500,'Option Tables'!$B$23:$F$26,5)))))</f>
        <v>0</v>
      </c>
      <c r="F504" s="355">
        <f>$D504*((F498*(VLOOKUP(I500,'Option Tables'!$B$23:$F$26,2)))+(E498*(VLOOKUP(I500,'Option Tables'!$B$23:$F$26,3)))+(P498*(VLOOKUP(I500,'Option Tables'!$B$23:$F$26,4))+(O498*(VLOOKUP(I500,'Option Tables'!$B$23:$F$26,5)))))</f>
        <v>0</v>
      </c>
      <c r="G504" s="355">
        <f>$D504*((G498*(VLOOKUP(I500,'Option Tables'!$B$23:$F$26,2)))+(F498*(VLOOKUP(I500,'Option Tables'!$B$23:$F$26,3)))+(E498*(VLOOKUP(I500,'Option Tables'!$B$23:$F$26,4))+(P498*(VLOOKUP(I500,'Option Tables'!$B$23:$F$26,5)))))</f>
        <v>0</v>
      </c>
      <c r="H504" s="355">
        <f>$D504*((H498*(VLOOKUP(I500,'Option Tables'!$B$23:$F$26,2)))+(G498*(VLOOKUP(I500,'Option Tables'!$B$23:$F$26,3)))+(F498*(VLOOKUP(I500,'Option Tables'!$B$23:$F$26,4))+(E498*(VLOOKUP(I500,'Option Tables'!$B$23:$F$26,5)))))</f>
        <v>0</v>
      </c>
      <c r="I504" s="355">
        <f>$D504*((I498*(VLOOKUP(I500,'Option Tables'!$B$23:$F$26,2)))+(H498*(VLOOKUP(I500,'Option Tables'!$B$23:$F$26,3)))+(G498*(VLOOKUP(I500,'Option Tables'!$B$23:$F$26,4))+(F498*(VLOOKUP(I500,'Option Tables'!$B$23:$F$26,5)))))</f>
        <v>0</v>
      </c>
      <c r="J504" s="355">
        <f>$D504*((J498*(VLOOKUP(I500,'Option Tables'!$B$23:$F$26,2)))+(I498*(VLOOKUP(I500,'Option Tables'!$B$23:$F$26,3)))+(H498*(VLOOKUP(I500,'Option Tables'!$B$23:$F$26,4))+(G498*(VLOOKUP(I500,'Option Tables'!$B$23:$F$26,5)))))</f>
        <v>0</v>
      </c>
      <c r="K504" s="355">
        <f>$D504*((K498*(VLOOKUP(I500,'Option Tables'!$B$23:$F$26,2)))+(J498*(VLOOKUP(I500,'Option Tables'!$B$23:$F$26,3)))+(I498*(VLOOKUP(I500,'Option Tables'!$B$23:$F$26,4))+(H498*(VLOOKUP(I500,'Option Tables'!$B$23:$F$26,5)))))</f>
        <v>0</v>
      </c>
      <c r="L504" s="355">
        <f>$D504*((L498*(VLOOKUP(I500,'Option Tables'!$B$23:$F$26,2)))+(K498*(VLOOKUP(I500,'Option Tables'!$B$23:$F$26,3)))+(J498*(VLOOKUP(I500,'Option Tables'!$B$23:$F$26,4))+(I498*(VLOOKUP(I500,'Option Tables'!$B$23:$F$26,5)))))</f>
        <v>0</v>
      </c>
      <c r="M504" s="355">
        <f>$D504*((M498*(VLOOKUP(I500,'Option Tables'!$B$23:$F$26,2)))+(L498*(VLOOKUP(I500,'Option Tables'!$B$23:$F$26,3)))+(K498*(VLOOKUP(I500,'Option Tables'!$B$23:$F$26,4))+(J498*(VLOOKUP(I500,'Option Tables'!$B$23:$F$26,5)))))</f>
        <v>0</v>
      </c>
      <c r="N504" s="355">
        <f>$D504*((N498*(VLOOKUP(I500,'Option Tables'!$B$23:$F$26,2)))+(M498*(VLOOKUP(I500,'Option Tables'!$B$23:$F$26,3)))+(L498*(VLOOKUP(I500,'Option Tables'!$B$23:$F$26,4))+(K498*(VLOOKUP(I500,'Option Tables'!$B$23:$F$26,5)))))</f>
        <v>0</v>
      </c>
      <c r="O504" s="355">
        <f>$D504*((O498*(VLOOKUP(I500,'Option Tables'!$B$23:$F$26,2)))+(N498*(VLOOKUP(I500,'Option Tables'!$B$23:$F$26,3)))+(M498*(VLOOKUP(I500,'Option Tables'!$B$23:$F$26,4))+(L498*(VLOOKUP(I500,'Option Tables'!$B$23:$F$26,5)))))</f>
        <v>0</v>
      </c>
      <c r="P504" s="465">
        <f>$D504*((P498*(VLOOKUP(I500,'Option Tables'!$B$23:$F$26,2)))+(O498*(VLOOKUP(I500,'Option Tables'!$B$23:$F$26,3)))+(N498*(VLOOKUP(I500,'Option Tables'!$B$23:$F$26,4))+(M498*(VLOOKUP(I500,'Option Tables'!$B$23:$F$26,5)))))</f>
        <v>0</v>
      </c>
    </row>
    <row r="505" spans="2:18" ht="15.75" customHeight="1" thickBot="1">
      <c r="B505" s="97"/>
      <c r="C505" s="144" t="str">
        <f>IF(D505&lt;&gt;1,"Must equal %100","")</f>
        <v/>
      </c>
      <c r="D505" s="71">
        <f t="shared" ref="D505:P505" si="48">SUM(D501:D504)</f>
        <v>1</v>
      </c>
      <c r="E505" s="466">
        <f t="shared" si="48"/>
        <v>0</v>
      </c>
      <c r="F505" s="466">
        <f t="shared" si="48"/>
        <v>0</v>
      </c>
      <c r="G505" s="466">
        <f t="shared" si="48"/>
        <v>0</v>
      </c>
      <c r="H505" s="466">
        <f t="shared" si="48"/>
        <v>0</v>
      </c>
      <c r="I505" s="466">
        <f t="shared" si="48"/>
        <v>738.69945661157021</v>
      </c>
      <c r="J505" s="466">
        <f t="shared" si="48"/>
        <v>1385.1572773760331</v>
      </c>
      <c r="K505" s="466">
        <f t="shared" si="48"/>
        <v>1243.7278517045454</v>
      </c>
      <c r="L505" s="466">
        <f t="shared" si="48"/>
        <v>916.30924101239668</v>
      </c>
      <c r="M505" s="466">
        <f t="shared" si="48"/>
        <v>565.78830976239669</v>
      </c>
      <c r="N505" s="466">
        <f t="shared" si="48"/>
        <v>217.36011022727274</v>
      </c>
      <c r="O505" s="466">
        <f t="shared" si="48"/>
        <v>72.844756611570276</v>
      </c>
      <c r="P505" s="467">
        <f t="shared" si="48"/>
        <v>21.000509090909095</v>
      </c>
      <c r="R505" s="140"/>
    </row>
    <row r="506" spans="2:18" ht="15.75" customHeight="1" thickBot="1">
      <c r="B506" s="85" t="s">
        <v>157</v>
      </c>
      <c r="C506" s="257" t="str">
        <f>VLOOKUP(B506,NodeList!$D$5:$E$73,2,FALSE)</f>
        <v>VH Canal</v>
      </c>
      <c r="D506" s="91"/>
      <c r="E506" s="450"/>
      <c r="F506" s="451"/>
      <c r="G506" s="452"/>
      <c r="H506" s="453" t="s">
        <v>54</v>
      </c>
      <c r="I506" s="68">
        <v>47</v>
      </c>
      <c r="J506" s="454"/>
      <c r="K506" s="454"/>
      <c r="L506" s="454"/>
      <c r="M506" s="454"/>
      <c r="N506" s="454"/>
      <c r="O506" s="454"/>
      <c r="P506" s="455"/>
    </row>
    <row r="507" spans="2:18" ht="15.75" customHeight="1">
      <c r="B507" s="94"/>
      <c r="C507" s="66" t="s">
        <v>57</v>
      </c>
      <c r="D507" s="69"/>
      <c r="E507" s="456">
        <f>VLOOKUP($B506,'Diversion Data'!$B$3:$O$227,3,FALSE)</f>
        <v>0</v>
      </c>
      <c r="F507" s="456">
        <f>VLOOKUP($B506,'Diversion Data'!$B$3:$O$227,4,FALSE)</f>
        <v>0</v>
      </c>
      <c r="G507" s="456">
        <f>VLOOKUP($B506,'Diversion Data'!$B$3:$O$227,5,FALSE)</f>
        <v>0</v>
      </c>
      <c r="H507" s="456">
        <f>VLOOKUP($B506,'Diversion Data'!$B$3:$O$227,6,FALSE)</f>
        <v>0</v>
      </c>
      <c r="I507" s="456">
        <f>VLOOKUP($B506,'Diversion Data'!$B$3:$O$227,7,FALSE)</f>
        <v>454.30265495867769</v>
      </c>
      <c r="J507" s="456">
        <f>VLOOKUP($B506,'Diversion Data'!$B$3:$O$227,8,FALSE)</f>
        <v>475.21441115702481</v>
      </c>
      <c r="K507" s="456">
        <f>VLOOKUP($B506,'Diversion Data'!$B$3:$O$227,9,FALSE)</f>
        <v>458.11577479338848</v>
      </c>
      <c r="L507" s="456">
        <f>VLOOKUP($B506,'Diversion Data'!$B$3:$O$227,10,FALSE)</f>
        <v>443.59338842975211</v>
      </c>
      <c r="M507" s="456">
        <f>VLOOKUP($B506,'Diversion Data'!$B$3:$O$227,11,FALSE)</f>
        <v>349.51825413223133</v>
      </c>
      <c r="N507" s="456">
        <f>VLOOKUP($B506,'Diversion Data'!$B$3:$O$227,12,FALSE)</f>
        <v>0</v>
      </c>
      <c r="O507" s="456">
        <f>VLOOKUP($B506,'Diversion Data'!$B$3:$O$227,13,FALSE)</f>
        <v>0</v>
      </c>
      <c r="P507" s="457">
        <f>VLOOKUP($B506,'Diversion Data'!$B$3:$O$227,14,FALSE)</f>
        <v>0</v>
      </c>
    </row>
    <row r="508" spans="2:18" ht="15.75" customHeight="1">
      <c r="B508" s="95"/>
      <c r="C508" s="72" t="s">
        <v>56</v>
      </c>
      <c r="D508" s="70"/>
      <c r="E508" s="458">
        <f>VLOOKUP($I506,'Option Tables'!$B$3:$N$19,2,FALSE)*E507</f>
        <v>0</v>
      </c>
      <c r="F508" s="458">
        <f>VLOOKUP($I506,'Option Tables'!$B$3:$N$19,3,FALSE)*F507</f>
        <v>0</v>
      </c>
      <c r="G508" s="458">
        <f>VLOOKUP($I506,'Option Tables'!$B$3:$N$19,4,FALSE)*G507</f>
        <v>0</v>
      </c>
      <c r="H508" s="458">
        <f>VLOOKUP($I506,'Option Tables'!$B$3:$N$19,5,FALSE)*H507</f>
        <v>0</v>
      </c>
      <c r="I508" s="458">
        <f>VLOOKUP($I506,'Option Tables'!$B$3:$N$19,6,FALSE)*I507</f>
        <v>240.7804071280992</v>
      </c>
      <c r="J508" s="458">
        <f>VLOOKUP($I506,'Option Tables'!$B$3:$N$19,7,FALSE)*J507</f>
        <v>251.86363791322316</v>
      </c>
      <c r="K508" s="458">
        <f>VLOOKUP($I506,'Option Tables'!$B$3:$N$19,8,FALSE)*K507</f>
        <v>242.80136064049591</v>
      </c>
      <c r="L508" s="458">
        <f>VLOOKUP($I506,'Option Tables'!$B$3:$N$19,9,FALSE)*L507</f>
        <v>235.10449586776863</v>
      </c>
      <c r="M508" s="458">
        <f>VLOOKUP($I506,'Option Tables'!$B$3:$N$19,10,FALSE)*M507</f>
        <v>185.2446746900826</v>
      </c>
      <c r="N508" s="458">
        <f>VLOOKUP($I506,'Option Tables'!$B$3:$N$19,11,FALSE)*N507</f>
        <v>0</v>
      </c>
      <c r="O508" s="458">
        <f>VLOOKUP($I506,'Option Tables'!$B$3:$N$19,12,FALSE)*O507</f>
        <v>0</v>
      </c>
      <c r="P508" s="459">
        <f>VLOOKUP($I506,'Option Tables'!$B$3:$N$19,13,FALSE)*P507</f>
        <v>0</v>
      </c>
    </row>
    <row r="509" spans="2:18" ht="15.75" customHeight="1" thickBot="1">
      <c r="B509" s="95"/>
      <c r="C509" s="66"/>
      <c r="D509" s="62"/>
      <c r="E509" s="355"/>
      <c r="F509" s="355"/>
      <c r="G509" s="355"/>
      <c r="H509" s="355"/>
      <c r="I509" s="355"/>
      <c r="J509" s="355"/>
      <c r="K509" s="355"/>
      <c r="L509" s="355"/>
      <c r="M509" s="460"/>
      <c r="N509" s="460"/>
      <c r="O509" s="460"/>
      <c r="P509" s="461"/>
    </row>
    <row r="510" spans="2:18" ht="15.75" customHeight="1" thickBot="1">
      <c r="B510" s="254" t="s">
        <v>73</v>
      </c>
      <c r="C510" s="105" t="s">
        <v>73</v>
      </c>
      <c r="D510" s="105" t="s">
        <v>74</v>
      </c>
      <c r="E510" s="462"/>
      <c r="F510" s="463"/>
      <c r="G510" s="464"/>
      <c r="H510" s="464" t="s">
        <v>55</v>
      </c>
      <c r="I510" s="68">
        <v>1</v>
      </c>
      <c r="J510" s="460"/>
      <c r="K510" s="460"/>
      <c r="L510" s="460"/>
      <c r="M510" s="460"/>
      <c r="N510" s="460"/>
      <c r="O510" s="460"/>
      <c r="P510" s="461"/>
    </row>
    <row r="511" spans="2:18" ht="15.75" customHeight="1">
      <c r="B511" s="255" t="str">
        <f>"("&amp;VLOOKUP(C511,NodeList!$D$5:$E$68,2,FALSE)&amp;")"</f>
        <v>(Whites Water)</v>
      </c>
      <c r="C511" s="256" t="s">
        <v>159</v>
      </c>
      <c r="D511" s="388">
        <v>1</v>
      </c>
      <c r="E511" s="355">
        <f>$D511*((E508*(VLOOKUP(I510,'Option Tables'!$B$23:$F$26,2)))+(P508*(VLOOKUP(I510,'Option Tables'!$B$23:$F$26,3)))+(O508*(VLOOKUP(I510,'Option Tables'!$B$23:$F$26,4))+(N508*(VLOOKUP(I510,'Option Tables'!$B$23:$F$26,5)))))</f>
        <v>0</v>
      </c>
      <c r="F511" s="355">
        <f>$D511*((F508*(VLOOKUP(I510,'Option Tables'!$B$23:$F$26,2)))+(E508*(VLOOKUP(I510,'Option Tables'!$B$23:$F$26,3)))+(P508*(VLOOKUP(I510,'Option Tables'!$B$23:$F$26,4))+(O508*(VLOOKUP(I510,'Option Tables'!$B$23:$F$26,5)))))</f>
        <v>0</v>
      </c>
      <c r="G511" s="355">
        <f>$D511*((G508*(VLOOKUP(I510,'Option Tables'!$B$23:$F$26,2)))+(F508*(VLOOKUP(I510,'Option Tables'!$B$23:$F$26,3)))+(E508*(VLOOKUP(I510,'Option Tables'!$B$23:$F$26,4))+(P508*(VLOOKUP(I510,'Option Tables'!$B$23:$F$26,5)))))</f>
        <v>0</v>
      </c>
      <c r="H511" s="355">
        <f>$D511*((H508*(VLOOKUP(I510,'Option Tables'!$B$23:$F$26,2)))+(G508*(VLOOKUP(I510,'Option Tables'!$B$23:$F$26,3)))+(F508*(VLOOKUP(I510,'Option Tables'!$B$23:$F$26,4))+(E508*(VLOOKUP(I510,'Option Tables'!$B$23:$F$26,5)))))</f>
        <v>0</v>
      </c>
      <c r="I511" s="355">
        <f>$D511*((I508*(VLOOKUP(I510,'Option Tables'!$B$23:$F$26,2)))+(H508*(VLOOKUP(I510,'Option Tables'!$B$23:$F$26,3)))+(G508*(VLOOKUP(I510,'Option Tables'!$B$23:$F$26,4))+(F508*(VLOOKUP(I510,'Option Tables'!$B$23:$F$26,5)))))</f>
        <v>120.3902035640496</v>
      </c>
      <c r="J511" s="355">
        <f>$D511*((J508*(VLOOKUP(I510,'Option Tables'!$B$23:$F$26,2)))+(I508*(VLOOKUP(I510,'Option Tables'!$B$23:$F$26,3)))+(H508*(VLOOKUP(I510,'Option Tables'!$B$23:$F$26,4))+(G508*(VLOOKUP(I510,'Option Tables'!$B$23:$F$26,5)))))</f>
        <v>186.12692073863639</v>
      </c>
      <c r="K511" s="355">
        <f>$D511*((K508*(VLOOKUP(I510,'Option Tables'!$B$23:$F$26,2)))+(J508*(VLOOKUP(I510,'Option Tables'!$B$23:$F$26,3)))+(I508*(VLOOKUP(I510,'Option Tables'!$B$23:$F$26,4))+(H508*(VLOOKUP(I510,'Option Tables'!$B$23:$F$26,5)))))</f>
        <v>220.48365086776863</v>
      </c>
      <c r="L511" s="355">
        <f>$D511*((L508*(VLOOKUP(I510,'Option Tables'!$B$23:$F$26,2)))+(K508*(VLOOKUP(I510,'Option Tables'!$B$23:$F$26,3)))+(J508*(VLOOKUP(I510,'Option Tables'!$B$23:$F$26,4))+(I508*(VLOOKUP(I510,'Option Tables'!$B$23:$F$26,5)))))</f>
        <v>240.11017449380171</v>
      </c>
      <c r="M511" s="355">
        <f>$D511*((M508*(VLOOKUP(I510,'Option Tables'!$B$23:$F$26,2)))+(L508*(VLOOKUP(I510,'Option Tables'!$B$23:$F$26,3)))+(K508*(VLOOKUP(I510,'Option Tables'!$B$23:$F$26,4))+(J508*(VLOOKUP(I510,'Option Tables'!$B$23:$F$26,5)))))</f>
        <v>213.00502919938015</v>
      </c>
      <c r="N511" s="355">
        <f>$D511*((N508*(VLOOKUP(I510,'Option Tables'!$B$23:$F$26,2)))+(M508*(VLOOKUP(I510,'Option Tables'!$B$23:$F$26,3)))+(L508*(VLOOKUP(I510,'Option Tables'!$B$23:$F$26,4))+(K508*(VLOOKUP(I510,'Option Tables'!$B$23:$F$26,5)))))</f>
        <v>105.85697911673554</v>
      </c>
      <c r="O511" s="355">
        <f>$D511*((O508*(VLOOKUP(I510,'Option Tables'!$B$23:$F$26,2)))+(N508*(VLOOKUP(I510,'Option Tables'!$B$23:$F$26,3)))+(M508*(VLOOKUP(I510,'Option Tables'!$B$23:$F$26,4))+(L508*(VLOOKUP(I510,'Option Tables'!$B$23:$F$26,5)))))</f>
        <v>51.297150790289251</v>
      </c>
      <c r="P511" s="465">
        <f>$D511*((P508*(VLOOKUP(I510,'Option Tables'!$B$23:$F$26,2)))+(O508*(VLOOKUP(I510,'Option Tables'!$B$23:$F$26,3)))+(N508*(VLOOKUP(I510,'Option Tables'!$B$23:$F$26,4))+(M508*(VLOOKUP(I510,'Option Tables'!$B$23:$F$26,5)))))</f>
        <v>18.524467469008261</v>
      </c>
    </row>
    <row r="512" spans="2:18" ht="15.75" customHeight="1">
      <c r="B512" s="95"/>
      <c r="C512" s="256"/>
      <c r="D512" s="388">
        <v>0</v>
      </c>
      <c r="E512" s="355">
        <f>$D512*((E508*(VLOOKUP(I510,'Option Tables'!$B$23:$F$26,2)))+(P508*(VLOOKUP(I510,'Option Tables'!$B$23:$F$26,3)))+(O508*(VLOOKUP(I510,'Option Tables'!$B$23:$F$26,4))+(N508*(VLOOKUP(I510,'Option Tables'!$B$23:$F$26,5)))))</f>
        <v>0</v>
      </c>
      <c r="F512" s="355">
        <f>$D512*((F508*(VLOOKUP(I510,'Option Tables'!$B$23:$F$26,2)))+(E508*(VLOOKUP(I510,'Option Tables'!$B$23:$F$26,3)))+(P508*(VLOOKUP(I510,'Option Tables'!$B$23:$F$26,4))+(O508*(VLOOKUP(I510,'Option Tables'!$B$23:$F$26,5)))))</f>
        <v>0</v>
      </c>
      <c r="G512" s="355">
        <f>$D512*((G508*(VLOOKUP(I510,'Option Tables'!$B$23:$F$26,2)))+(F508*(VLOOKUP(I510,'Option Tables'!$B$23:$F$26,3)))+(E508*(VLOOKUP(I510,'Option Tables'!$B$23:$F$26,4))+(P508*(VLOOKUP(I510,'Option Tables'!$B$23:$F$26,5)))))</f>
        <v>0</v>
      </c>
      <c r="H512" s="355">
        <f>$D512*((H508*(VLOOKUP(I510,'Option Tables'!$B$23:$F$26,2)))+(G508*(VLOOKUP(I510,'Option Tables'!$B$23:$F$26,3)))+(F508*(VLOOKUP(I510,'Option Tables'!$B$23:$F$26,4))+(E508*(VLOOKUP(I510,'Option Tables'!$B$23:$F$26,5)))))</f>
        <v>0</v>
      </c>
      <c r="I512" s="355">
        <f>$D512*((I508*(VLOOKUP(I510,'Option Tables'!$B$23:$F$26,2)))+(H508*(VLOOKUP(I510,'Option Tables'!$B$23:$F$26,3)))+(G508*(VLOOKUP(I510,'Option Tables'!$B$23:$F$26,4))+(F508*(VLOOKUP(I510,'Option Tables'!$B$23:$F$26,5)))))</f>
        <v>0</v>
      </c>
      <c r="J512" s="355">
        <f>$D512*((J508*(VLOOKUP(I510,'Option Tables'!$B$23:$F$26,2)))+(I508*(VLOOKUP(I510,'Option Tables'!$B$23:$F$26,3)))+(H508*(VLOOKUP(I510,'Option Tables'!$B$23:$F$26,4))+(G508*(VLOOKUP(I510,'Option Tables'!$B$23:$F$26,5)))))</f>
        <v>0</v>
      </c>
      <c r="K512" s="355">
        <f>$D512*((K508*(VLOOKUP(I510,'Option Tables'!$B$23:$F$26,2)))+(J508*(VLOOKUP(I510,'Option Tables'!$B$23:$F$26,3)))+(I508*(VLOOKUP(I510,'Option Tables'!$B$23:$F$26,4))+(H508*(VLOOKUP(I510,'Option Tables'!$B$23:$F$26,5)))))</f>
        <v>0</v>
      </c>
      <c r="L512" s="355">
        <f>$D512*((L508*(VLOOKUP(I510,'Option Tables'!$B$23:$F$26,2)))+(K508*(VLOOKUP(I510,'Option Tables'!$B$23:$F$26,3)))+(J508*(VLOOKUP(I510,'Option Tables'!$B$23:$F$26,4))+(I508*(VLOOKUP(I510,'Option Tables'!$B$23:$F$26,5)))))</f>
        <v>0</v>
      </c>
      <c r="M512" s="355">
        <f>$D512*((M508*(VLOOKUP(I510,'Option Tables'!$B$23:$F$26,2)))+(L508*(VLOOKUP(I510,'Option Tables'!$B$23:$F$26,3)))+(K508*(VLOOKUP(I510,'Option Tables'!$B$23:$F$26,4))+(J508*(VLOOKUP(I510,'Option Tables'!$B$23:$F$26,5)))))</f>
        <v>0</v>
      </c>
      <c r="N512" s="355">
        <f>$D512*((N508*(VLOOKUP(I510,'Option Tables'!$B$23:$F$26,2)))+(M508*(VLOOKUP(I510,'Option Tables'!$B$23:$F$26,3)))+(L508*(VLOOKUP(I510,'Option Tables'!$B$23:$F$26,4))+(K508*(VLOOKUP(I510,'Option Tables'!$B$23:$F$26,5)))))</f>
        <v>0</v>
      </c>
      <c r="O512" s="355">
        <f>$D512*((O508*(VLOOKUP(I510,'Option Tables'!$B$23:$F$26,2)))+(N508*(VLOOKUP(I510,'Option Tables'!$B$23:$F$26,3)))+(M508*(VLOOKUP(I510,'Option Tables'!$B$23:$F$26,4))+(L508*(VLOOKUP(I510,'Option Tables'!$B$23:$F$26,5)))))</f>
        <v>0</v>
      </c>
      <c r="P512" s="465">
        <f>$D512*((P508*(VLOOKUP(I510,'Option Tables'!$B$23:$F$26,2)))+(O508*(VLOOKUP(I510,'Option Tables'!$B$23:$F$26,3)))+(N508*(VLOOKUP(I510,'Option Tables'!$B$23:$F$26,4))+(M508*(VLOOKUP(I510,'Option Tables'!$B$23:$F$26,5)))))</f>
        <v>0</v>
      </c>
    </row>
    <row r="513" spans="2:18" ht="15.75" customHeight="1">
      <c r="B513" s="95"/>
      <c r="C513" s="256"/>
      <c r="D513" s="388">
        <v>0</v>
      </c>
      <c r="E513" s="355">
        <f>$D513*((E508*(VLOOKUP(I510,'Option Tables'!$B$23:$F$26,2)))+(P508*(VLOOKUP(I510,'Option Tables'!$B$23:$F$26,3)))+(O508*(VLOOKUP(I510,'Option Tables'!$B$23:$F$26,4))+(N508*(VLOOKUP(I510,'Option Tables'!$B$23:$F$26,5)))))</f>
        <v>0</v>
      </c>
      <c r="F513" s="355">
        <f>$D513*((F508*(VLOOKUP(I510,'Option Tables'!$B$23:$F$26,2)))+(E508*(VLOOKUP(I510,'Option Tables'!$B$23:$F$26,3)))+(P508*(VLOOKUP(I510,'Option Tables'!$B$23:$F$26,4))+(O508*(VLOOKUP(I510,'Option Tables'!$B$23:$F$26,5)))))</f>
        <v>0</v>
      </c>
      <c r="G513" s="355">
        <f>$D513*((G508*(VLOOKUP(I510,'Option Tables'!$B$23:$F$26,2)))+(F508*(VLOOKUP(I510,'Option Tables'!$B$23:$F$26,3)))+(E508*(VLOOKUP(I510,'Option Tables'!$B$23:$F$26,4))+(P508*(VLOOKUP(I510,'Option Tables'!$B$23:$F$26,5)))))</f>
        <v>0</v>
      </c>
      <c r="H513" s="355">
        <f>$D513*((H508*(VLOOKUP(I510,'Option Tables'!$B$23:$F$26,2)))+(G508*(VLOOKUP(I510,'Option Tables'!$B$23:$F$26,3)))+(F508*(VLOOKUP(I510,'Option Tables'!$B$23:$F$26,4))+(E508*(VLOOKUP(I510,'Option Tables'!$B$23:$F$26,5)))))</f>
        <v>0</v>
      </c>
      <c r="I513" s="355">
        <f>$D513*((I508*(VLOOKUP(I510,'Option Tables'!$B$23:$F$26,2)))+(H508*(VLOOKUP(I510,'Option Tables'!$B$23:$F$26,3)))+(G508*(VLOOKUP(I510,'Option Tables'!$B$23:$F$26,4))+(F508*(VLOOKUP(I510,'Option Tables'!$B$23:$F$26,5)))))</f>
        <v>0</v>
      </c>
      <c r="J513" s="355">
        <f>$D513*((J508*(VLOOKUP(I510,'Option Tables'!$B$23:$F$26,2)))+(I508*(VLOOKUP(I510,'Option Tables'!$B$23:$F$26,3)))+(H508*(VLOOKUP(I510,'Option Tables'!$B$23:$F$26,4))+(G508*(VLOOKUP(I510,'Option Tables'!$B$23:$F$26,5)))))</f>
        <v>0</v>
      </c>
      <c r="K513" s="355">
        <f>$D513*((K508*(VLOOKUP(I510,'Option Tables'!$B$23:$F$26,2)))+(J508*(VLOOKUP(I510,'Option Tables'!$B$23:$F$26,3)))+(I508*(VLOOKUP(I510,'Option Tables'!$B$23:$F$26,4))+(H508*(VLOOKUP(I510,'Option Tables'!$B$23:$F$26,5)))))</f>
        <v>0</v>
      </c>
      <c r="L513" s="355">
        <f>$D513*((L508*(VLOOKUP(I510,'Option Tables'!$B$23:$F$26,2)))+(K508*(VLOOKUP(I510,'Option Tables'!$B$23:$F$26,3)))+(J508*(VLOOKUP(I510,'Option Tables'!$B$23:$F$26,4))+(I508*(VLOOKUP(I510,'Option Tables'!$B$23:$F$26,5)))))</f>
        <v>0</v>
      </c>
      <c r="M513" s="355">
        <f>$D513*((M508*(VLOOKUP(I510,'Option Tables'!$B$23:$F$26,2)))+(L508*(VLOOKUP(I510,'Option Tables'!$B$23:$F$26,3)))+(K508*(VLOOKUP(I510,'Option Tables'!$B$23:$F$26,4))+(J508*(VLOOKUP(I510,'Option Tables'!$B$23:$F$26,5)))))</f>
        <v>0</v>
      </c>
      <c r="N513" s="355">
        <f>$D513*((N508*(VLOOKUP(I510,'Option Tables'!$B$23:$F$26,2)))+(M508*(VLOOKUP(I510,'Option Tables'!$B$23:$F$26,3)))+(L508*(VLOOKUP(I510,'Option Tables'!$B$23:$F$26,4))+(K508*(VLOOKUP(I510,'Option Tables'!$B$23:$F$26,5)))))</f>
        <v>0</v>
      </c>
      <c r="O513" s="355">
        <f>$D513*((O508*(VLOOKUP(I510,'Option Tables'!$B$23:$F$26,2)))+(N508*(VLOOKUP(I510,'Option Tables'!$B$23:$F$26,3)))+(M508*(VLOOKUP(I510,'Option Tables'!$B$23:$F$26,4))+(L508*(VLOOKUP(I510,'Option Tables'!$B$23:$F$26,5)))))</f>
        <v>0</v>
      </c>
      <c r="P513" s="465">
        <f>$D513*((P508*(VLOOKUP(I510,'Option Tables'!$B$23:$F$26,2)))+(O508*(VLOOKUP(I510,'Option Tables'!$B$23:$F$26,3)))+(N508*(VLOOKUP(I510,'Option Tables'!$B$23:$F$26,4))+(M508*(VLOOKUP(I510,'Option Tables'!$B$23:$F$26,5)))))</f>
        <v>0</v>
      </c>
    </row>
    <row r="514" spans="2:18" ht="15.75" customHeight="1">
      <c r="B514" s="95"/>
      <c r="C514" s="256"/>
      <c r="D514" s="388">
        <v>0</v>
      </c>
      <c r="E514" s="355">
        <f>$D514*((E508*(VLOOKUP(I510,'Option Tables'!$B$23:$F$26,2)))+(P508*(VLOOKUP(I510,'Option Tables'!$B$23:$F$26,3)))+(O508*(VLOOKUP(I510,'Option Tables'!$B$23:$F$26,4))+(N508*(VLOOKUP(I510,'Option Tables'!$B$23:$F$26,5)))))</f>
        <v>0</v>
      </c>
      <c r="F514" s="355">
        <f>$D514*((F508*(VLOOKUP(I510,'Option Tables'!$B$23:$F$26,2)))+(E508*(VLOOKUP(I510,'Option Tables'!$B$23:$F$26,3)))+(P508*(VLOOKUP(I510,'Option Tables'!$B$23:$F$26,4))+(O508*(VLOOKUP(I510,'Option Tables'!$B$23:$F$26,5)))))</f>
        <v>0</v>
      </c>
      <c r="G514" s="355">
        <f>$D514*((G508*(VLOOKUP(I510,'Option Tables'!$B$23:$F$26,2)))+(F508*(VLOOKUP(I510,'Option Tables'!$B$23:$F$26,3)))+(E508*(VLOOKUP(I510,'Option Tables'!$B$23:$F$26,4))+(P508*(VLOOKUP(I510,'Option Tables'!$B$23:$F$26,5)))))</f>
        <v>0</v>
      </c>
      <c r="H514" s="355">
        <f>$D514*((H508*(VLOOKUP(I510,'Option Tables'!$B$23:$F$26,2)))+(G508*(VLOOKUP(I510,'Option Tables'!$B$23:$F$26,3)))+(F508*(VLOOKUP(I510,'Option Tables'!$B$23:$F$26,4))+(E508*(VLOOKUP(I510,'Option Tables'!$B$23:$F$26,5)))))</f>
        <v>0</v>
      </c>
      <c r="I514" s="355">
        <f>$D514*((I508*(VLOOKUP(I510,'Option Tables'!$B$23:$F$26,2)))+(H508*(VLOOKUP(I510,'Option Tables'!$B$23:$F$26,3)))+(G508*(VLOOKUP(I510,'Option Tables'!$B$23:$F$26,4))+(F508*(VLOOKUP(I510,'Option Tables'!$B$23:$F$26,5)))))</f>
        <v>0</v>
      </c>
      <c r="J514" s="355">
        <f>$D514*((J508*(VLOOKUP(I510,'Option Tables'!$B$23:$F$26,2)))+(I508*(VLOOKUP(I510,'Option Tables'!$B$23:$F$26,3)))+(H508*(VLOOKUP(I510,'Option Tables'!$B$23:$F$26,4))+(G508*(VLOOKUP(I510,'Option Tables'!$B$23:$F$26,5)))))</f>
        <v>0</v>
      </c>
      <c r="K514" s="355">
        <f>$D514*((K508*(VLOOKUP(I510,'Option Tables'!$B$23:$F$26,2)))+(J508*(VLOOKUP(I510,'Option Tables'!$B$23:$F$26,3)))+(I508*(VLOOKUP(I510,'Option Tables'!$B$23:$F$26,4))+(H508*(VLOOKUP(I510,'Option Tables'!$B$23:$F$26,5)))))</f>
        <v>0</v>
      </c>
      <c r="L514" s="355">
        <f>$D514*((L508*(VLOOKUP(I510,'Option Tables'!$B$23:$F$26,2)))+(K508*(VLOOKUP(I510,'Option Tables'!$B$23:$F$26,3)))+(J508*(VLOOKUP(I510,'Option Tables'!$B$23:$F$26,4))+(I508*(VLOOKUP(I510,'Option Tables'!$B$23:$F$26,5)))))</f>
        <v>0</v>
      </c>
      <c r="M514" s="355">
        <f>$D514*((M508*(VLOOKUP(I510,'Option Tables'!$B$23:$F$26,2)))+(L508*(VLOOKUP(I510,'Option Tables'!$B$23:$F$26,3)))+(K508*(VLOOKUP(I510,'Option Tables'!$B$23:$F$26,4))+(J508*(VLOOKUP(I510,'Option Tables'!$B$23:$F$26,5)))))</f>
        <v>0</v>
      </c>
      <c r="N514" s="355">
        <f>$D514*((N508*(VLOOKUP(I510,'Option Tables'!$B$23:$F$26,2)))+(M508*(VLOOKUP(I510,'Option Tables'!$B$23:$F$26,3)))+(L508*(VLOOKUP(I510,'Option Tables'!$B$23:$F$26,4))+(K508*(VLOOKUP(I510,'Option Tables'!$B$23:$F$26,5)))))</f>
        <v>0</v>
      </c>
      <c r="O514" s="355">
        <f>$D514*((O508*(VLOOKUP(I510,'Option Tables'!$B$23:$F$26,2)))+(N508*(VLOOKUP(I510,'Option Tables'!$B$23:$F$26,3)))+(M508*(VLOOKUP(I510,'Option Tables'!$B$23:$F$26,4))+(L508*(VLOOKUP(I510,'Option Tables'!$B$23:$F$26,5)))))</f>
        <v>0</v>
      </c>
      <c r="P514" s="465">
        <f>$D514*((P508*(VLOOKUP(I510,'Option Tables'!$B$23:$F$26,2)))+(O508*(VLOOKUP(I510,'Option Tables'!$B$23:$F$26,3)))+(N508*(VLOOKUP(I510,'Option Tables'!$B$23:$F$26,4))+(M508*(VLOOKUP(I510,'Option Tables'!$B$23:$F$26,5)))))</f>
        <v>0</v>
      </c>
    </row>
    <row r="515" spans="2:18" ht="15.75" customHeight="1" thickBot="1">
      <c r="B515" s="97"/>
      <c r="C515" s="144" t="str">
        <f>IF(D515&lt;&gt;1,"Must equal %100","")</f>
        <v/>
      </c>
      <c r="D515" s="71">
        <f t="shared" ref="D515:P515" si="49">SUM(D511:D514)</f>
        <v>1</v>
      </c>
      <c r="E515" s="466">
        <f t="shared" si="49"/>
        <v>0</v>
      </c>
      <c r="F515" s="466">
        <f t="shared" si="49"/>
        <v>0</v>
      </c>
      <c r="G515" s="466">
        <f t="shared" si="49"/>
        <v>0</v>
      </c>
      <c r="H515" s="466">
        <f t="shared" si="49"/>
        <v>0</v>
      </c>
      <c r="I515" s="466">
        <f t="shared" si="49"/>
        <v>120.3902035640496</v>
      </c>
      <c r="J515" s="466">
        <f t="shared" si="49"/>
        <v>186.12692073863639</v>
      </c>
      <c r="K515" s="466">
        <f t="shared" si="49"/>
        <v>220.48365086776863</v>
      </c>
      <c r="L515" s="466">
        <f t="shared" si="49"/>
        <v>240.11017449380171</v>
      </c>
      <c r="M515" s="466">
        <f t="shared" si="49"/>
        <v>213.00502919938015</v>
      </c>
      <c r="N515" s="466">
        <f t="shared" si="49"/>
        <v>105.85697911673554</v>
      </c>
      <c r="O515" s="466">
        <f t="shared" si="49"/>
        <v>51.297150790289251</v>
      </c>
      <c r="P515" s="467">
        <f t="shared" si="49"/>
        <v>18.524467469008261</v>
      </c>
      <c r="R515" s="140"/>
    </row>
    <row r="516" spans="2:18" ht="15.75" customHeight="1" thickBot="1">
      <c r="B516" s="85" t="s">
        <v>140</v>
      </c>
      <c r="C516" s="257" t="str">
        <f>VLOOKUP(B516,NodeList!$D$5:$E$73,2,FALSE)</f>
        <v>Goodell</v>
      </c>
      <c r="D516" s="91"/>
      <c r="E516" s="450"/>
      <c r="F516" s="451"/>
      <c r="G516" s="452"/>
      <c r="H516" s="453" t="s">
        <v>54</v>
      </c>
      <c r="I516" s="68">
        <v>47</v>
      </c>
      <c r="J516" s="454"/>
      <c r="K516" s="454"/>
      <c r="L516" s="454"/>
      <c r="M516" s="454"/>
      <c r="N516" s="454"/>
      <c r="O516" s="454"/>
      <c r="P516" s="455"/>
    </row>
    <row r="517" spans="2:18" ht="15.75" customHeight="1">
      <c r="B517" s="94"/>
      <c r="C517" s="66" t="s">
        <v>57</v>
      </c>
      <c r="D517" s="69"/>
      <c r="E517" s="456">
        <f>VLOOKUP($B516,'Diversion Data'!$B$3:$O$227,3,FALSE)</f>
        <v>0</v>
      </c>
      <c r="F517" s="456">
        <f>VLOOKUP($B516,'Diversion Data'!$B$3:$O$227,4,FALSE)</f>
        <v>0</v>
      </c>
      <c r="G517" s="456">
        <f>VLOOKUP($B516,'Diversion Data'!$B$3:$O$227,5,FALSE)</f>
        <v>0</v>
      </c>
      <c r="H517" s="456">
        <f>VLOOKUP($B516,'Diversion Data'!$B$3:$O$227,6,FALSE)</f>
        <v>0</v>
      </c>
      <c r="I517" s="456">
        <f>VLOOKUP($B516,'Diversion Data'!$B$3:$O$227,7,FALSE)</f>
        <v>292.54706611570248</v>
      </c>
      <c r="J517" s="456">
        <f>VLOOKUP($B516,'Diversion Data'!$B$3:$O$227,8,FALSE)</f>
        <v>402.99261363636361</v>
      </c>
      <c r="K517" s="456">
        <f>VLOOKUP($B516,'Diversion Data'!$B$3:$O$227,9,FALSE)</f>
        <v>422.15431818181821</v>
      </c>
      <c r="L517" s="456">
        <f>VLOOKUP($B516,'Diversion Data'!$B$3:$O$227,10,FALSE)</f>
        <v>387.31329545454548</v>
      </c>
      <c r="M517" s="456">
        <f>VLOOKUP($B516,'Diversion Data'!$B$3:$O$227,11,FALSE)</f>
        <v>366.32446280991735</v>
      </c>
      <c r="N517" s="456">
        <f>VLOOKUP($B516,'Diversion Data'!$B$3:$O$227,12,FALSE)</f>
        <v>0</v>
      </c>
      <c r="O517" s="456">
        <f>VLOOKUP($B516,'Diversion Data'!$B$3:$O$227,13,FALSE)</f>
        <v>0</v>
      </c>
      <c r="P517" s="457">
        <f>VLOOKUP($B516,'Diversion Data'!$B$3:$O$227,14,FALSE)</f>
        <v>0</v>
      </c>
    </row>
    <row r="518" spans="2:18" ht="15.75" customHeight="1">
      <c r="B518" s="95"/>
      <c r="C518" s="72" t="s">
        <v>56</v>
      </c>
      <c r="D518" s="70"/>
      <c r="E518" s="458">
        <f>VLOOKUP($I516,'Option Tables'!$B$3:$N$19,2,FALSE)*E517</f>
        <v>0</v>
      </c>
      <c r="F518" s="458">
        <f>VLOOKUP($I516,'Option Tables'!$B$3:$N$19,3,FALSE)*F517</f>
        <v>0</v>
      </c>
      <c r="G518" s="458">
        <f>VLOOKUP($I516,'Option Tables'!$B$3:$N$19,4,FALSE)*G517</f>
        <v>0</v>
      </c>
      <c r="H518" s="458">
        <f>VLOOKUP($I516,'Option Tables'!$B$3:$N$19,5,FALSE)*H517</f>
        <v>0</v>
      </c>
      <c r="I518" s="458">
        <f>VLOOKUP($I516,'Option Tables'!$B$3:$N$19,6,FALSE)*I517</f>
        <v>155.04994504132233</v>
      </c>
      <c r="J518" s="458">
        <f>VLOOKUP($I516,'Option Tables'!$B$3:$N$19,7,FALSE)*J517</f>
        <v>213.58608522727272</v>
      </c>
      <c r="K518" s="458">
        <f>VLOOKUP($I516,'Option Tables'!$B$3:$N$19,8,FALSE)*K517</f>
        <v>223.74178863636365</v>
      </c>
      <c r="L518" s="458">
        <f>VLOOKUP($I516,'Option Tables'!$B$3:$N$19,9,FALSE)*L517</f>
        <v>205.27604659090912</v>
      </c>
      <c r="M518" s="458">
        <f>VLOOKUP($I516,'Option Tables'!$B$3:$N$19,10,FALSE)*M517</f>
        <v>194.1519652892562</v>
      </c>
      <c r="N518" s="458">
        <f>VLOOKUP($I516,'Option Tables'!$B$3:$N$19,11,FALSE)*N517</f>
        <v>0</v>
      </c>
      <c r="O518" s="458">
        <f>VLOOKUP($I516,'Option Tables'!$B$3:$N$19,12,FALSE)*O517</f>
        <v>0</v>
      </c>
      <c r="P518" s="459">
        <f>VLOOKUP($I516,'Option Tables'!$B$3:$N$19,13,FALSE)*P517</f>
        <v>0</v>
      </c>
    </row>
    <row r="519" spans="2:18" ht="15.75" customHeight="1" thickBot="1">
      <c r="B519" s="95"/>
      <c r="C519" s="66"/>
      <c r="D519" s="62"/>
      <c r="E519" s="355"/>
      <c r="F519" s="355"/>
      <c r="G519" s="355"/>
      <c r="H519" s="355"/>
      <c r="I519" s="355"/>
      <c r="J519" s="355"/>
      <c r="K519" s="355"/>
      <c r="L519" s="355"/>
      <c r="M519" s="460"/>
      <c r="N519" s="460"/>
      <c r="O519" s="460"/>
      <c r="P519" s="461"/>
    </row>
    <row r="520" spans="2:18" ht="15.75" customHeight="1" thickBot="1">
      <c r="B520" s="254" t="s">
        <v>73</v>
      </c>
      <c r="C520" s="105" t="s">
        <v>73</v>
      </c>
      <c r="D520" s="105" t="s">
        <v>74</v>
      </c>
      <c r="E520" s="462"/>
      <c r="F520" s="463"/>
      <c r="G520" s="464"/>
      <c r="H520" s="464" t="s">
        <v>55</v>
      </c>
      <c r="I520" s="68">
        <v>1</v>
      </c>
      <c r="J520" s="460"/>
      <c r="K520" s="460"/>
      <c r="L520" s="460"/>
      <c r="M520" s="460"/>
      <c r="N520" s="460"/>
      <c r="O520" s="460"/>
      <c r="P520" s="461"/>
    </row>
    <row r="521" spans="2:18" ht="15.75" customHeight="1">
      <c r="B521" s="255" t="str">
        <f>"("&amp;VLOOKUP(C521,NodeList!$D$5:$E$68,2,FALSE)&amp;")"</f>
        <v>(Whites Water)</v>
      </c>
      <c r="C521" s="256" t="s">
        <v>159</v>
      </c>
      <c r="D521" s="388">
        <v>1</v>
      </c>
      <c r="E521" s="355">
        <f>$D521*((E518*(VLOOKUP(I520,'Option Tables'!$B$23:$F$26,2)))+(P518*(VLOOKUP(I520,'Option Tables'!$B$23:$F$26,3)))+(O518*(VLOOKUP(I520,'Option Tables'!$B$23:$F$26,4))+(N518*(VLOOKUP(I520,'Option Tables'!$B$23:$F$26,5)))))</f>
        <v>0</v>
      </c>
      <c r="F521" s="355">
        <f>$D521*((F518*(VLOOKUP(I520,'Option Tables'!$B$23:$F$26,2)))+(E518*(VLOOKUP(I520,'Option Tables'!$B$23:$F$26,3)))+(P518*(VLOOKUP(I520,'Option Tables'!$B$23:$F$26,4))+(O518*(VLOOKUP(I520,'Option Tables'!$B$23:$F$26,5)))))</f>
        <v>0</v>
      </c>
      <c r="G521" s="355">
        <f>$D521*((G518*(VLOOKUP(I520,'Option Tables'!$B$23:$F$26,2)))+(F518*(VLOOKUP(I520,'Option Tables'!$B$23:$F$26,3)))+(E518*(VLOOKUP(I520,'Option Tables'!$B$23:$F$26,4))+(P518*(VLOOKUP(I520,'Option Tables'!$B$23:$F$26,5)))))</f>
        <v>0</v>
      </c>
      <c r="H521" s="355">
        <f>$D521*((H518*(VLOOKUP(I520,'Option Tables'!$B$23:$F$26,2)))+(G518*(VLOOKUP(I520,'Option Tables'!$B$23:$F$26,3)))+(F518*(VLOOKUP(I520,'Option Tables'!$B$23:$F$26,4))+(E518*(VLOOKUP(I520,'Option Tables'!$B$23:$F$26,5)))))</f>
        <v>0</v>
      </c>
      <c r="I521" s="355">
        <f>$D521*((I518*(VLOOKUP(I520,'Option Tables'!$B$23:$F$26,2)))+(H518*(VLOOKUP(I520,'Option Tables'!$B$23:$F$26,3)))+(G518*(VLOOKUP(I520,'Option Tables'!$B$23:$F$26,4))+(F518*(VLOOKUP(I520,'Option Tables'!$B$23:$F$26,5)))))</f>
        <v>77.524972520661166</v>
      </c>
      <c r="J521" s="355">
        <f>$D521*((J518*(VLOOKUP(I520,'Option Tables'!$B$23:$F$26,2)))+(I518*(VLOOKUP(I520,'Option Tables'!$B$23:$F$26,3)))+(H518*(VLOOKUP(I520,'Option Tables'!$B$23:$F$26,4))+(G518*(VLOOKUP(I520,'Option Tables'!$B$23:$F$26,5)))))</f>
        <v>145.55552887396695</v>
      </c>
      <c r="K521" s="355">
        <f>$D521*((K518*(VLOOKUP(I520,'Option Tables'!$B$23:$F$26,2)))+(J518*(VLOOKUP(I520,'Option Tables'!$B$23:$F$26,3)))+(I518*(VLOOKUP(I520,'Option Tables'!$B$23:$F$26,4))+(H518*(VLOOKUP(I520,'Option Tables'!$B$23:$F$26,5)))))</f>
        <v>188.52490738119837</v>
      </c>
      <c r="L521" s="355">
        <f>$D521*((L518*(VLOOKUP(I520,'Option Tables'!$B$23:$F$26,2)))+(K518*(VLOOKUP(I520,'Option Tables'!$B$23:$F$26,3)))+(J518*(VLOOKUP(I520,'Option Tables'!$B$23:$F$26,4))+(I518*(VLOOKUP(I520,'Option Tables'!$B$23:$F$26,5)))))</f>
        <v>206.11637774276863</v>
      </c>
      <c r="M521" s="355">
        <f>$D521*((M518*(VLOOKUP(I520,'Option Tables'!$B$23:$F$26,2)))+(L518*(VLOOKUP(I520,'Option Tables'!$B$23:$F$26,3)))+(K518*(VLOOKUP(I520,'Option Tables'!$B$23:$F$26,4))+(J518*(VLOOKUP(I520,'Option Tables'!$B$23:$F$26,5)))))</f>
        <v>203.31487111053718</v>
      </c>
      <c r="N521" s="355">
        <f>$D521*((N518*(VLOOKUP(I520,'Option Tables'!$B$23:$F$26,2)))+(M518*(VLOOKUP(I520,'Option Tables'!$B$23:$F$26,3)))+(L518*(VLOOKUP(I520,'Option Tables'!$B$23:$F$26,4))+(K518*(VLOOKUP(I520,'Option Tables'!$B$23:$F$26,5)))))</f>
        <v>101.70357717458678</v>
      </c>
      <c r="O521" s="355">
        <f>$D521*((O518*(VLOOKUP(I520,'Option Tables'!$B$23:$F$26,2)))+(N518*(VLOOKUP(I520,'Option Tables'!$B$23:$F$26,3)))+(M518*(VLOOKUP(I520,'Option Tables'!$B$23:$F$26,4))+(L518*(VLOOKUP(I520,'Option Tables'!$B$23:$F$26,5)))))</f>
        <v>49.650399452479341</v>
      </c>
      <c r="P521" s="465">
        <f>$D521*((P518*(VLOOKUP(I520,'Option Tables'!$B$23:$F$26,2)))+(O518*(VLOOKUP(I520,'Option Tables'!$B$23:$F$26,3)))+(N518*(VLOOKUP(I520,'Option Tables'!$B$23:$F$26,4))+(M518*(VLOOKUP(I520,'Option Tables'!$B$23:$F$26,5)))))</f>
        <v>19.41519652892562</v>
      </c>
    </row>
    <row r="522" spans="2:18" ht="15.75" customHeight="1">
      <c r="B522" s="95"/>
      <c r="C522" s="256"/>
      <c r="D522" s="388">
        <v>0</v>
      </c>
      <c r="E522" s="355">
        <f>$D522*((E518*(VLOOKUP(I520,'Option Tables'!$B$23:$F$26,2)))+(P518*(VLOOKUP(I520,'Option Tables'!$B$23:$F$26,3)))+(O518*(VLOOKUP(I520,'Option Tables'!$B$23:$F$26,4))+(N518*(VLOOKUP(I520,'Option Tables'!$B$23:$F$26,5)))))</f>
        <v>0</v>
      </c>
      <c r="F522" s="355">
        <f>$D522*((F518*(VLOOKUP(I520,'Option Tables'!$B$23:$F$26,2)))+(E518*(VLOOKUP(I520,'Option Tables'!$B$23:$F$26,3)))+(P518*(VLOOKUP(I520,'Option Tables'!$B$23:$F$26,4))+(O518*(VLOOKUP(I520,'Option Tables'!$B$23:$F$26,5)))))</f>
        <v>0</v>
      </c>
      <c r="G522" s="355">
        <f>$D522*((G518*(VLOOKUP(I520,'Option Tables'!$B$23:$F$26,2)))+(F518*(VLOOKUP(I520,'Option Tables'!$B$23:$F$26,3)))+(E518*(VLOOKUP(I520,'Option Tables'!$B$23:$F$26,4))+(P518*(VLOOKUP(I520,'Option Tables'!$B$23:$F$26,5)))))</f>
        <v>0</v>
      </c>
      <c r="H522" s="355">
        <f>$D522*((H518*(VLOOKUP(I520,'Option Tables'!$B$23:$F$26,2)))+(G518*(VLOOKUP(I520,'Option Tables'!$B$23:$F$26,3)))+(F518*(VLOOKUP(I520,'Option Tables'!$B$23:$F$26,4))+(E518*(VLOOKUP(I520,'Option Tables'!$B$23:$F$26,5)))))</f>
        <v>0</v>
      </c>
      <c r="I522" s="355">
        <f>$D522*((I518*(VLOOKUP(I520,'Option Tables'!$B$23:$F$26,2)))+(H518*(VLOOKUP(I520,'Option Tables'!$B$23:$F$26,3)))+(G518*(VLOOKUP(I520,'Option Tables'!$B$23:$F$26,4))+(F518*(VLOOKUP(I520,'Option Tables'!$B$23:$F$26,5)))))</f>
        <v>0</v>
      </c>
      <c r="J522" s="355">
        <f>$D522*((J518*(VLOOKUP(I520,'Option Tables'!$B$23:$F$26,2)))+(I518*(VLOOKUP(I520,'Option Tables'!$B$23:$F$26,3)))+(H518*(VLOOKUP(I520,'Option Tables'!$B$23:$F$26,4))+(G518*(VLOOKUP(I520,'Option Tables'!$B$23:$F$26,5)))))</f>
        <v>0</v>
      </c>
      <c r="K522" s="355">
        <f>$D522*((K518*(VLOOKUP(I520,'Option Tables'!$B$23:$F$26,2)))+(J518*(VLOOKUP(I520,'Option Tables'!$B$23:$F$26,3)))+(I518*(VLOOKUP(I520,'Option Tables'!$B$23:$F$26,4))+(H518*(VLOOKUP(I520,'Option Tables'!$B$23:$F$26,5)))))</f>
        <v>0</v>
      </c>
      <c r="L522" s="355">
        <f>$D522*((L518*(VLOOKUP(I520,'Option Tables'!$B$23:$F$26,2)))+(K518*(VLOOKUP(I520,'Option Tables'!$B$23:$F$26,3)))+(J518*(VLOOKUP(I520,'Option Tables'!$B$23:$F$26,4))+(I518*(VLOOKUP(I520,'Option Tables'!$B$23:$F$26,5)))))</f>
        <v>0</v>
      </c>
      <c r="M522" s="355">
        <f>$D522*((M518*(VLOOKUP(I520,'Option Tables'!$B$23:$F$26,2)))+(L518*(VLOOKUP(I520,'Option Tables'!$B$23:$F$26,3)))+(K518*(VLOOKUP(I520,'Option Tables'!$B$23:$F$26,4))+(J518*(VLOOKUP(I520,'Option Tables'!$B$23:$F$26,5)))))</f>
        <v>0</v>
      </c>
      <c r="N522" s="355">
        <f>$D522*((N518*(VLOOKUP(I520,'Option Tables'!$B$23:$F$26,2)))+(M518*(VLOOKUP(I520,'Option Tables'!$B$23:$F$26,3)))+(L518*(VLOOKUP(I520,'Option Tables'!$B$23:$F$26,4))+(K518*(VLOOKUP(I520,'Option Tables'!$B$23:$F$26,5)))))</f>
        <v>0</v>
      </c>
      <c r="O522" s="355">
        <f>$D522*((O518*(VLOOKUP(I520,'Option Tables'!$B$23:$F$26,2)))+(N518*(VLOOKUP(I520,'Option Tables'!$B$23:$F$26,3)))+(M518*(VLOOKUP(I520,'Option Tables'!$B$23:$F$26,4))+(L518*(VLOOKUP(I520,'Option Tables'!$B$23:$F$26,5)))))</f>
        <v>0</v>
      </c>
      <c r="P522" s="465">
        <f>$D522*((P518*(VLOOKUP(I520,'Option Tables'!$B$23:$F$26,2)))+(O518*(VLOOKUP(I520,'Option Tables'!$B$23:$F$26,3)))+(N518*(VLOOKUP(I520,'Option Tables'!$B$23:$F$26,4))+(M518*(VLOOKUP(I520,'Option Tables'!$B$23:$F$26,5)))))</f>
        <v>0</v>
      </c>
    </row>
    <row r="523" spans="2:18" ht="15.75" customHeight="1">
      <c r="B523" s="95"/>
      <c r="C523" s="256"/>
      <c r="D523" s="388">
        <v>0</v>
      </c>
      <c r="E523" s="355">
        <f>$D523*((E518*(VLOOKUP(I520,'Option Tables'!$B$23:$F$26,2)))+(P518*(VLOOKUP(I520,'Option Tables'!$B$23:$F$26,3)))+(O518*(VLOOKUP(I520,'Option Tables'!$B$23:$F$26,4))+(N518*(VLOOKUP(I520,'Option Tables'!$B$23:$F$26,5)))))</f>
        <v>0</v>
      </c>
      <c r="F523" s="355">
        <f>$D523*((F518*(VLOOKUP(I520,'Option Tables'!$B$23:$F$26,2)))+(E518*(VLOOKUP(I520,'Option Tables'!$B$23:$F$26,3)))+(P518*(VLOOKUP(I520,'Option Tables'!$B$23:$F$26,4))+(O518*(VLOOKUP(I520,'Option Tables'!$B$23:$F$26,5)))))</f>
        <v>0</v>
      </c>
      <c r="G523" s="355">
        <f>$D523*((G518*(VLOOKUP(I520,'Option Tables'!$B$23:$F$26,2)))+(F518*(VLOOKUP(I520,'Option Tables'!$B$23:$F$26,3)))+(E518*(VLOOKUP(I520,'Option Tables'!$B$23:$F$26,4))+(P518*(VLOOKUP(I520,'Option Tables'!$B$23:$F$26,5)))))</f>
        <v>0</v>
      </c>
      <c r="H523" s="355">
        <f>$D523*((H518*(VLOOKUP(I520,'Option Tables'!$B$23:$F$26,2)))+(G518*(VLOOKUP(I520,'Option Tables'!$B$23:$F$26,3)))+(F518*(VLOOKUP(I520,'Option Tables'!$B$23:$F$26,4))+(E518*(VLOOKUP(I520,'Option Tables'!$B$23:$F$26,5)))))</f>
        <v>0</v>
      </c>
      <c r="I523" s="355">
        <f>$D523*((I518*(VLOOKUP(I520,'Option Tables'!$B$23:$F$26,2)))+(H518*(VLOOKUP(I520,'Option Tables'!$B$23:$F$26,3)))+(G518*(VLOOKUP(I520,'Option Tables'!$B$23:$F$26,4))+(F518*(VLOOKUP(I520,'Option Tables'!$B$23:$F$26,5)))))</f>
        <v>0</v>
      </c>
      <c r="J523" s="355">
        <f>$D523*((J518*(VLOOKUP(I520,'Option Tables'!$B$23:$F$26,2)))+(I518*(VLOOKUP(I520,'Option Tables'!$B$23:$F$26,3)))+(H518*(VLOOKUP(I520,'Option Tables'!$B$23:$F$26,4))+(G518*(VLOOKUP(I520,'Option Tables'!$B$23:$F$26,5)))))</f>
        <v>0</v>
      </c>
      <c r="K523" s="355">
        <f>$D523*((K518*(VLOOKUP(I520,'Option Tables'!$B$23:$F$26,2)))+(J518*(VLOOKUP(I520,'Option Tables'!$B$23:$F$26,3)))+(I518*(VLOOKUP(I520,'Option Tables'!$B$23:$F$26,4))+(H518*(VLOOKUP(I520,'Option Tables'!$B$23:$F$26,5)))))</f>
        <v>0</v>
      </c>
      <c r="L523" s="355">
        <f>$D523*((L518*(VLOOKUP(I520,'Option Tables'!$B$23:$F$26,2)))+(K518*(VLOOKUP(I520,'Option Tables'!$B$23:$F$26,3)))+(J518*(VLOOKUP(I520,'Option Tables'!$B$23:$F$26,4))+(I518*(VLOOKUP(I520,'Option Tables'!$B$23:$F$26,5)))))</f>
        <v>0</v>
      </c>
      <c r="M523" s="355">
        <f>$D523*((M518*(VLOOKUP(I520,'Option Tables'!$B$23:$F$26,2)))+(L518*(VLOOKUP(I520,'Option Tables'!$B$23:$F$26,3)))+(K518*(VLOOKUP(I520,'Option Tables'!$B$23:$F$26,4))+(J518*(VLOOKUP(I520,'Option Tables'!$B$23:$F$26,5)))))</f>
        <v>0</v>
      </c>
      <c r="N523" s="355">
        <f>$D523*((N518*(VLOOKUP(I520,'Option Tables'!$B$23:$F$26,2)))+(M518*(VLOOKUP(I520,'Option Tables'!$B$23:$F$26,3)))+(L518*(VLOOKUP(I520,'Option Tables'!$B$23:$F$26,4))+(K518*(VLOOKUP(I520,'Option Tables'!$B$23:$F$26,5)))))</f>
        <v>0</v>
      </c>
      <c r="O523" s="355">
        <f>$D523*((O518*(VLOOKUP(I520,'Option Tables'!$B$23:$F$26,2)))+(N518*(VLOOKUP(I520,'Option Tables'!$B$23:$F$26,3)))+(M518*(VLOOKUP(I520,'Option Tables'!$B$23:$F$26,4))+(L518*(VLOOKUP(I520,'Option Tables'!$B$23:$F$26,5)))))</f>
        <v>0</v>
      </c>
      <c r="P523" s="465">
        <f>$D523*((P518*(VLOOKUP(I520,'Option Tables'!$B$23:$F$26,2)))+(O518*(VLOOKUP(I520,'Option Tables'!$B$23:$F$26,3)))+(N518*(VLOOKUP(I520,'Option Tables'!$B$23:$F$26,4))+(M518*(VLOOKUP(I520,'Option Tables'!$B$23:$F$26,5)))))</f>
        <v>0</v>
      </c>
    </row>
    <row r="524" spans="2:18" ht="15.75" customHeight="1">
      <c r="B524" s="95"/>
      <c r="C524" s="256"/>
      <c r="D524" s="388">
        <v>0</v>
      </c>
      <c r="E524" s="355">
        <f>$D524*((E518*(VLOOKUP(I520,'Option Tables'!$B$23:$F$26,2)))+(P518*(VLOOKUP(I520,'Option Tables'!$B$23:$F$26,3)))+(O518*(VLOOKUP(I520,'Option Tables'!$B$23:$F$26,4))+(N518*(VLOOKUP(I520,'Option Tables'!$B$23:$F$26,5)))))</f>
        <v>0</v>
      </c>
      <c r="F524" s="355">
        <f>$D524*((F518*(VLOOKUP(I520,'Option Tables'!$B$23:$F$26,2)))+(E518*(VLOOKUP(I520,'Option Tables'!$B$23:$F$26,3)))+(P518*(VLOOKUP(I520,'Option Tables'!$B$23:$F$26,4))+(O518*(VLOOKUP(I520,'Option Tables'!$B$23:$F$26,5)))))</f>
        <v>0</v>
      </c>
      <c r="G524" s="355">
        <f>$D524*((G518*(VLOOKUP(I520,'Option Tables'!$B$23:$F$26,2)))+(F518*(VLOOKUP(I520,'Option Tables'!$B$23:$F$26,3)))+(E518*(VLOOKUP(I520,'Option Tables'!$B$23:$F$26,4))+(P518*(VLOOKUP(I520,'Option Tables'!$B$23:$F$26,5)))))</f>
        <v>0</v>
      </c>
      <c r="H524" s="355">
        <f>$D524*((H518*(VLOOKUP(I520,'Option Tables'!$B$23:$F$26,2)))+(G518*(VLOOKUP(I520,'Option Tables'!$B$23:$F$26,3)))+(F518*(VLOOKUP(I520,'Option Tables'!$B$23:$F$26,4))+(E518*(VLOOKUP(I520,'Option Tables'!$B$23:$F$26,5)))))</f>
        <v>0</v>
      </c>
      <c r="I524" s="355">
        <f>$D524*((I518*(VLOOKUP(I520,'Option Tables'!$B$23:$F$26,2)))+(H518*(VLOOKUP(I520,'Option Tables'!$B$23:$F$26,3)))+(G518*(VLOOKUP(I520,'Option Tables'!$B$23:$F$26,4))+(F518*(VLOOKUP(I520,'Option Tables'!$B$23:$F$26,5)))))</f>
        <v>0</v>
      </c>
      <c r="J524" s="355">
        <f>$D524*((J518*(VLOOKUP(I520,'Option Tables'!$B$23:$F$26,2)))+(I518*(VLOOKUP(I520,'Option Tables'!$B$23:$F$26,3)))+(H518*(VLOOKUP(I520,'Option Tables'!$B$23:$F$26,4))+(G518*(VLOOKUP(I520,'Option Tables'!$B$23:$F$26,5)))))</f>
        <v>0</v>
      </c>
      <c r="K524" s="355">
        <f>$D524*((K518*(VLOOKUP(I520,'Option Tables'!$B$23:$F$26,2)))+(J518*(VLOOKUP(I520,'Option Tables'!$B$23:$F$26,3)))+(I518*(VLOOKUP(I520,'Option Tables'!$B$23:$F$26,4))+(H518*(VLOOKUP(I520,'Option Tables'!$B$23:$F$26,5)))))</f>
        <v>0</v>
      </c>
      <c r="L524" s="355">
        <f>$D524*((L518*(VLOOKUP(I520,'Option Tables'!$B$23:$F$26,2)))+(K518*(VLOOKUP(I520,'Option Tables'!$B$23:$F$26,3)))+(J518*(VLOOKUP(I520,'Option Tables'!$B$23:$F$26,4))+(I518*(VLOOKUP(I520,'Option Tables'!$B$23:$F$26,5)))))</f>
        <v>0</v>
      </c>
      <c r="M524" s="355">
        <f>$D524*((M518*(VLOOKUP(I520,'Option Tables'!$B$23:$F$26,2)))+(L518*(VLOOKUP(I520,'Option Tables'!$B$23:$F$26,3)))+(K518*(VLOOKUP(I520,'Option Tables'!$B$23:$F$26,4))+(J518*(VLOOKUP(I520,'Option Tables'!$B$23:$F$26,5)))))</f>
        <v>0</v>
      </c>
      <c r="N524" s="355">
        <f>$D524*((N518*(VLOOKUP(I520,'Option Tables'!$B$23:$F$26,2)))+(M518*(VLOOKUP(I520,'Option Tables'!$B$23:$F$26,3)))+(L518*(VLOOKUP(I520,'Option Tables'!$B$23:$F$26,4))+(K518*(VLOOKUP(I520,'Option Tables'!$B$23:$F$26,5)))))</f>
        <v>0</v>
      </c>
      <c r="O524" s="355">
        <f>$D524*((O518*(VLOOKUP(I520,'Option Tables'!$B$23:$F$26,2)))+(N518*(VLOOKUP(I520,'Option Tables'!$B$23:$F$26,3)))+(M518*(VLOOKUP(I520,'Option Tables'!$B$23:$F$26,4))+(L518*(VLOOKUP(I520,'Option Tables'!$B$23:$F$26,5)))))</f>
        <v>0</v>
      </c>
      <c r="P524" s="465">
        <f>$D524*((P518*(VLOOKUP(I520,'Option Tables'!$B$23:$F$26,2)))+(O518*(VLOOKUP(I520,'Option Tables'!$B$23:$F$26,3)))+(N518*(VLOOKUP(I520,'Option Tables'!$B$23:$F$26,4))+(M518*(VLOOKUP(I520,'Option Tables'!$B$23:$F$26,5)))))</f>
        <v>0</v>
      </c>
    </row>
    <row r="525" spans="2:18" ht="15.75" customHeight="1" thickBot="1">
      <c r="B525" s="97"/>
      <c r="C525" s="144" t="str">
        <f>IF(D525&lt;&gt;1,"Must equal %100","")</f>
        <v/>
      </c>
      <c r="D525" s="71">
        <f t="shared" ref="D525:P525" si="50">SUM(D521:D524)</f>
        <v>1</v>
      </c>
      <c r="E525" s="466">
        <f t="shared" si="50"/>
        <v>0</v>
      </c>
      <c r="F525" s="466">
        <f t="shared" si="50"/>
        <v>0</v>
      </c>
      <c r="G525" s="466">
        <f t="shared" si="50"/>
        <v>0</v>
      </c>
      <c r="H525" s="466">
        <f t="shared" si="50"/>
        <v>0</v>
      </c>
      <c r="I525" s="466">
        <f t="shared" si="50"/>
        <v>77.524972520661166</v>
      </c>
      <c r="J525" s="466">
        <f t="shared" si="50"/>
        <v>145.55552887396695</v>
      </c>
      <c r="K525" s="466">
        <f t="shared" si="50"/>
        <v>188.52490738119837</v>
      </c>
      <c r="L525" s="466">
        <f t="shared" si="50"/>
        <v>206.11637774276863</v>
      </c>
      <c r="M525" s="466">
        <f t="shared" si="50"/>
        <v>203.31487111053718</v>
      </c>
      <c r="N525" s="466">
        <f t="shared" si="50"/>
        <v>101.70357717458678</v>
      </c>
      <c r="O525" s="466">
        <f t="shared" si="50"/>
        <v>49.650399452479341</v>
      </c>
      <c r="P525" s="467">
        <f t="shared" si="50"/>
        <v>19.41519652892562</v>
      </c>
      <c r="R525" s="140"/>
    </row>
    <row r="526" spans="2:18" ht="15.75" customHeight="1" thickBot="1">
      <c r="B526" s="85" t="s">
        <v>159</v>
      </c>
      <c r="C526" s="257" t="str">
        <f>VLOOKUP(B526,NodeList!$D$5:$E$73,2,FALSE)</f>
        <v>Whites Water</v>
      </c>
      <c r="D526" s="91"/>
      <c r="E526" s="450"/>
      <c r="F526" s="451"/>
      <c r="G526" s="452"/>
      <c r="H526" s="453" t="s">
        <v>54</v>
      </c>
      <c r="I526" s="68">
        <v>40</v>
      </c>
      <c r="J526" s="454"/>
      <c r="K526" s="454"/>
      <c r="L526" s="454"/>
      <c r="M526" s="454"/>
      <c r="N526" s="454"/>
      <c r="O526" s="454"/>
      <c r="P526" s="455"/>
    </row>
    <row r="527" spans="2:18" ht="15.75" customHeight="1">
      <c r="B527" s="94"/>
      <c r="C527" s="66" t="s">
        <v>57</v>
      </c>
      <c r="D527" s="69"/>
      <c r="E527" s="456">
        <f>VLOOKUP($B526,'Diversion Data'!$B$3:$O$227,3,FALSE)</f>
        <v>0</v>
      </c>
      <c r="F527" s="456">
        <f>VLOOKUP($B526,'Diversion Data'!$B$3:$O$227,4,FALSE)</f>
        <v>0</v>
      </c>
      <c r="G527" s="456">
        <f>VLOOKUP($B526,'Diversion Data'!$B$3:$O$227,5,FALSE)</f>
        <v>0</v>
      </c>
      <c r="H527" s="456">
        <f>VLOOKUP($B526,'Diversion Data'!$B$3:$O$227,6,FALSE)</f>
        <v>0</v>
      </c>
      <c r="I527" s="456">
        <f>VLOOKUP($B526,'Diversion Data'!$B$3:$O$227,7,FALSE)</f>
        <v>906.07383264462817</v>
      </c>
      <c r="J527" s="456">
        <f>VLOOKUP($B526,'Diversion Data'!$B$3:$O$227,8,FALSE)</f>
        <v>1072.3909917355372</v>
      </c>
      <c r="K527" s="456">
        <f>VLOOKUP($B526,'Diversion Data'!$B$3:$O$227,9,FALSE)</f>
        <v>982.21366735537197</v>
      </c>
      <c r="L527" s="456">
        <f>VLOOKUP($B526,'Diversion Data'!$B$3:$O$227,10,FALSE)</f>
        <v>477.69111570247929</v>
      </c>
      <c r="M527" s="456">
        <f>VLOOKUP($B526,'Diversion Data'!$B$3:$O$227,11,FALSE)</f>
        <v>274.75726239669422</v>
      </c>
      <c r="N527" s="456">
        <f>VLOOKUP($B526,'Diversion Data'!$B$3:$O$227,12,FALSE)</f>
        <v>0</v>
      </c>
      <c r="O527" s="456">
        <f>VLOOKUP($B526,'Diversion Data'!$B$3:$O$227,13,FALSE)</f>
        <v>0</v>
      </c>
      <c r="P527" s="457">
        <f>VLOOKUP($B526,'Diversion Data'!$B$3:$O$227,14,FALSE)</f>
        <v>0</v>
      </c>
    </row>
    <row r="528" spans="2:18" ht="15.75" customHeight="1">
      <c r="B528" s="95"/>
      <c r="C528" s="72" t="s">
        <v>56</v>
      </c>
      <c r="D528" s="70"/>
      <c r="E528" s="458">
        <f>VLOOKUP($I526,'Option Tables'!$B$3:$N$19,2,FALSE)*E527</f>
        <v>0</v>
      </c>
      <c r="F528" s="458">
        <f>VLOOKUP($I526,'Option Tables'!$B$3:$N$19,3,FALSE)*F527</f>
        <v>0</v>
      </c>
      <c r="G528" s="458">
        <f>VLOOKUP($I526,'Option Tables'!$B$3:$N$19,4,FALSE)*G527</f>
        <v>0</v>
      </c>
      <c r="H528" s="458">
        <f>VLOOKUP($I526,'Option Tables'!$B$3:$N$19,5,FALSE)*H527</f>
        <v>0</v>
      </c>
      <c r="I528" s="458">
        <f>VLOOKUP($I526,'Option Tables'!$B$3:$N$19,6,FALSE)*I527</f>
        <v>543.64429958677692</v>
      </c>
      <c r="J528" s="458">
        <f>VLOOKUP($I526,'Option Tables'!$B$3:$N$19,7,FALSE)*J527</f>
        <v>643.43459504132227</v>
      </c>
      <c r="K528" s="458">
        <f>VLOOKUP($I526,'Option Tables'!$B$3:$N$19,8,FALSE)*K527</f>
        <v>589.32820041322316</v>
      </c>
      <c r="L528" s="458">
        <f>VLOOKUP($I526,'Option Tables'!$B$3:$N$19,9,FALSE)*L527</f>
        <v>286.61466942148758</v>
      </c>
      <c r="M528" s="458">
        <f>VLOOKUP($I526,'Option Tables'!$B$3:$N$19,10,FALSE)*M527</f>
        <v>164.85435743801654</v>
      </c>
      <c r="N528" s="458">
        <f>VLOOKUP($I526,'Option Tables'!$B$3:$N$19,11,FALSE)*N527</f>
        <v>0</v>
      </c>
      <c r="O528" s="458">
        <f>VLOOKUP($I526,'Option Tables'!$B$3:$N$19,12,FALSE)*O527</f>
        <v>0</v>
      </c>
      <c r="P528" s="459">
        <f>VLOOKUP($I526,'Option Tables'!$B$3:$N$19,13,FALSE)*P527</f>
        <v>0</v>
      </c>
    </row>
    <row r="529" spans="2:18" ht="15.75" customHeight="1" thickBot="1">
      <c r="B529" s="95"/>
      <c r="C529" s="66"/>
      <c r="D529" s="62"/>
      <c r="E529" s="355"/>
      <c r="F529" s="355"/>
      <c r="G529" s="355"/>
      <c r="H529" s="355"/>
      <c r="I529" s="355"/>
      <c r="J529" s="355"/>
      <c r="K529" s="355"/>
      <c r="L529" s="355"/>
      <c r="M529" s="460"/>
      <c r="N529" s="460"/>
      <c r="O529" s="460"/>
      <c r="P529" s="461"/>
    </row>
    <row r="530" spans="2:18" ht="15.75" customHeight="1" thickBot="1">
      <c r="B530" s="254" t="s">
        <v>73</v>
      </c>
      <c r="C530" s="105" t="s">
        <v>73</v>
      </c>
      <c r="D530" s="105" t="s">
        <v>74</v>
      </c>
      <c r="E530" s="462"/>
      <c r="F530" s="463"/>
      <c r="G530" s="464"/>
      <c r="H530" s="464" t="s">
        <v>55</v>
      </c>
      <c r="I530" s="68">
        <v>2</v>
      </c>
      <c r="J530" s="460"/>
      <c r="K530" s="460"/>
      <c r="L530" s="460"/>
      <c r="M530" s="460"/>
      <c r="N530" s="460"/>
      <c r="O530" s="460"/>
      <c r="P530" s="461"/>
    </row>
    <row r="531" spans="2:18" ht="15.75" customHeight="1">
      <c r="B531" s="255" t="str">
        <f>"("&amp;VLOOKUP(C531,NodeList!$D$5:$E$68,2,FALSE)&amp;")"</f>
        <v>(AggDiv BR-5)</v>
      </c>
      <c r="C531" s="256" t="s">
        <v>127</v>
      </c>
      <c r="D531" s="388">
        <v>1</v>
      </c>
      <c r="E531" s="355">
        <f>$D531*((E528*(VLOOKUP(I530,'Option Tables'!$B$23:$F$26,2)))+(P528*(VLOOKUP(I530,'Option Tables'!$B$23:$F$26,3)))+(O528*(VLOOKUP(I530,'Option Tables'!$B$23:$F$26,4))+(N528*(VLOOKUP(I530,'Option Tables'!$B$23:$F$26,5)))))</f>
        <v>0</v>
      </c>
      <c r="F531" s="355">
        <f>$D531*((F528*(VLOOKUP(I530,'Option Tables'!$B$23:$F$26,2)))+(E528*(VLOOKUP(I530,'Option Tables'!$B$23:$F$26,3)))+(P528*(VLOOKUP(I530,'Option Tables'!$B$23:$F$26,4))+(O528*(VLOOKUP(I530,'Option Tables'!$B$23:$F$26,5)))))</f>
        <v>0</v>
      </c>
      <c r="G531" s="355">
        <f>$D531*((G528*(VLOOKUP(I530,'Option Tables'!$B$23:$F$26,2)))+(F528*(VLOOKUP(I530,'Option Tables'!$B$23:$F$26,3)))+(E528*(VLOOKUP(I530,'Option Tables'!$B$23:$F$26,4))+(P528*(VLOOKUP(I530,'Option Tables'!$B$23:$F$26,5)))))</f>
        <v>0</v>
      </c>
      <c r="H531" s="355">
        <f>$D531*((H528*(VLOOKUP(I530,'Option Tables'!$B$23:$F$26,2)))+(G528*(VLOOKUP(I530,'Option Tables'!$B$23:$F$26,3)))+(F528*(VLOOKUP(I530,'Option Tables'!$B$23:$F$26,4))+(E528*(VLOOKUP(I530,'Option Tables'!$B$23:$F$26,5)))))</f>
        <v>0</v>
      </c>
      <c r="I531" s="355">
        <f>$D531*((I528*(VLOOKUP(I530,'Option Tables'!$B$23:$F$26,2)))+(H528*(VLOOKUP(I530,'Option Tables'!$B$23:$F$26,3)))+(G528*(VLOOKUP(I530,'Option Tables'!$B$23:$F$26,4))+(F528*(VLOOKUP(I530,'Option Tables'!$B$23:$F$26,5)))))</f>
        <v>380.55100971074381</v>
      </c>
      <c r="J531" s="355">
        <f>$D531*((J528*(VLOOKUP(I530,'Option Tables'!$B$23:$F$26,2)))+(I528*(VLOOKUP(I530,'Option Tables'!$B$23:$F$26,3)))+(H528*(VLOOKUP(I530,'Option Tables'!$B$23:$F$26,4))+(G528*(VLOOKUP(I530,'Option Tables'!$B$23:$F$26,5)))))</f>
        <v>559.13307644628094</v>
      </c>
      <c r="K531" s="355">
        <f>$D531*((K528*(VLOOKUP(I530,'Option Tables'!$B$23:$F$26,2)))+(J528*(VLOOKUP(I530,'Option Tables'!$B$23:$F$26,3)))+(I528*(VLOOKUP(I530,'Option Tables'!$B$23:$F$26,4))+(H528*(VLOOKUP(I530,'Option Tables'!$B$23:$F$26,5)))))</f>
        <v>595.58108925619831</v>
      </c>
      <c r="L531" s="355">
        <f>$D531*((L528*(VLOOKUP(I530,'Option Tables'!$B$23:$F$26,2)))+(K528*(VLOOKUP(I530,'Option Tables'!$B$23:$F$26,3)))+(J528*(VLOOKUP(I530,'Option Tables'!$B$23:$F$26,4))+(I528*(VLOOKUP(I530,'Option Tables'!$B$23:$F$26,5)))))</f>
        <v>382.83936818181814</v>
      </c>
      <c r="M531" s="355">
        <f>$D531*((M528*(VLOOKUP(I530,'Option Tables'!$B$23:$F$26,2)))+(L528*(VLOOKUP(I530,'Option Tables'!$B$23:$F$26,3)))+(K528*(VLOOKUP(I530,'Option Tables'!$B$23:$F$26,4))+(J528*(VLOOKUP(I530,'Option Tables'!$B$23:$F$26,5)))))</f>
        <v>231.65380413223141</v>
      </c>
      <c r="N531" s="355">
        <f>$D531*((N528*(VLOOKUP(I530,'Option Tables'!$B$23:$F$26,2)))+(M528*(VLOOKUP(I530,'Option Tables'!$B$23:$F$26,3)))+(L528*(VLOOKUP(I530,'Option Tables'!$B$23:$F$26,4))+(K528*(VLOOKUP(I530,'Option Tables'!$B$23:$F$26,5)))))</f>
        <v>61.632338429752068</v>
      </c>
      <c r="O531" s="355">
        <f>$D531*((O528*(VLOOKUP(I530,'Option Tables'!$B$23:$F$26,2)))+(N528*(VLOOKUP(I530,'Option Tables'!$B$23:$F$26,3)))+(M528*(VLOOKUP(I530,'Option Tables'!$B$23:$F$26,4))+(L528*(VLOOKUP(I530,'Option Tables'!$B$23:$F$26,5)))))</f>
        <v>16.485435743801656</v>
      </c>
      <c r="P531" s="465">
        <f>$D531*((P528*(VLOOKUP(I530,'Option Tables'!$B$23:$F$26,2)))+(O528*(VLOOKUP(I530,'Option Tables'!$B$23:$F$26,3)))+(N528*(VLOOKUP(I530,'Option Tables'!$B$23:$F$26,4))+(M528*(VLOOKUP(I530,'Option Tables'!$B$23:$F$26,5)))))</f>
        <v>0</v>
      </c>
    </row>
    <row r="532" spans="2:18" ht="15.75" customHeight="1">
      <c r="B532" s="95"/>
      <c r="C532" s="256"/>
      <c r="D532" s="388">
        <v>0</v>
      </c>
      <c r="E532" s="355">
        <f>$D532*((E528*(VLOOKUP(I530,'Option Tables'!$B$23:$F$26,2)))+(P528*(VLOOKUP(I530,'Option Tables'!$B$23:$F$26,3)))+(O528*(VLOOKUP(I530,'Option Tables'!$B$23:$F$26,4))+(N528*(VLOOKUP(I530,'Option Tables'!$B$23:$F$26,5)))))</f>
        <v>0</v>
      </c>
      <c r="F532" s="355">
        <f>$D532*((F528*(VLOOKUP(I530,'Option Tables'!$B$23:$F$26,2)))+(E528*(VLOOKUP(I530,'Option Tables'!$B$23:$F$26,3)))+(P528*(VLOOKUP(I530,'Option Tables'!$B$23:$F$26,4))+(O528*(VLOOKUP(I530,'Option Tables'!$B$23:$F$26,5)))))</f>
        <v>0</v>
      </c>
      <c r="G532" s="355">
        <f>$D532*((G528*(VLOOKUP(I530,'Option Tables'!$B$23:$F$26,2)))+(F528*(VLOOKUP(I530,'Option Tables'!$B$23:$F$26,3)))+(E528*(VLOOKUP(I530,'Option Tables'!$B$23:$F$26,4))+(P528*(VLOOKUP(I530,'Option Tables'!$B$23:$F$26,5)))))</f>
        <v>0</v>
      </c>
      <c r="H532" s="355">
        <f>$D532*((H528*(VLOOKUP(I530,'Option Tables'!$B$23:$F$26,2)))+(G528*(VLOOKUP(I530,'Option Tables'!$B$23:$F$26,3)))+(F528*(VLOOKUP(I530,'Option Tables'!$B$23:$F$26,4))+(E528*(VLOOKUP(I530,'Option Tables'!$B$23:$F$26,5)))))</f>
        <v>0</v>
      </c>
      <c r="I532" s="355">
        <f>$D532*((I528*(VLOOKUP(I530,'Option Tables'!$B$23:$F$26,2)))+(H528*(VLOOKUP(I530,'Option Tables'!$B$23:$F$26,3)))+(G528*(VLOOKUP(I530,'Option Tables'!$B$23:$F$26,4))+(F528*(VLOOKUP(I530,'Option Tables'!$B$23:$F$26,5)))))</f>
        <v>0</v>
      </c>
      <c r="J532" s="355">
        <f>$D532*((J528*(VLOOKUP(I530,'Option Tables'!$B$23:$F$26,2)))+(I528*(VLOOKUP(I530,'Option Tables'!$B$23:$F$26,3)))+(H528*(VLOOKUP(I530,'Option Tables'!$B$23:$F$26,4))+(G528*(VLOOKUP(I530,'Option Tables'!$B$23:$F$26,5)))))</f>
        <v>0</v>
      </c>
      <c r="K532" s="355">
        <f>$D532*((K528*(VLOOKUP(I530,'Option Tables'!$B$23:$F$26,2)))+(J528*(VLOOKUP(I530,'Option Tables'!$B$23:$F$26,3)))+(I528*(VLOOKUP(I530,'Option Tables'!$B$23:$F$26,4))+(H528*(VLOOKUP(I530,'Option Tables'!$B$23:$F$26,5)))))</f>
        <v>0</v>
      </c>
      <c r="L532" s="355">
        <f>$D532*((L528*(VLOOKUP(I530,'Option Tables'!$B$23:$F$26,2)))+(K528*(VLOOKUP(I530,'Option Tables'!$B$23:$F$26,3)))+(J528*(VLOOKUP(I530,'Option Tables'!$B$23:$F$26,4))+(I528*(VLOOKUP(I530,'Option Tables'!$B$23:$F$26,5)))))</f>
        <v>0</v>
      </c>
      <c r="M532" s="355">
        <f>$D532*((M528*(VLOOKUP(I530,'Option Tables'!$B$23:$F$26,2)))+(L528*(VLOOKUP(I530,'Option Tables'!$B$23:$F$26,3)))+(K528*(VLOOKUP(I530,'Option Tables'!$B$23:$F$26,4))+(J528*(VLOOKUP(I530,'Option Tables'!$B$23:$F$26,5)))))</f>
        <v>0</v>
      </c>
      <c r="N532" s="355">
        <f>$D532*((N528*(VLOOKUP(I530,'Option Tables'!$B$23:$F$26,2)))+(M528*(VLOOKUP(I530,'Option Tables'!$B$23:$F$26,3)))+(L528*(VLOOKUP(I530,'Option Tables'!$B$23:$F$26,4))+(K528*(VLOOKUP(I530,'Option Tables'!$B$23:$F$26,5)))))</f>
        <v>0</v>
      </c>
      <c r="O532" s="355">
        <f>$D532*((O528*(VLOOKUP(I530,'Option Tables'!$B$23:$F$26,2)))+(N528*(VLOOKUP(I530,'Option Tables'!$B$23:$F$26,3)))+(M528*(VLOOKUP(I530,'Option Tables'!$B$23:$F$26,4))+(L528*(VLOOKUP(I530,'Option Tables'!$B$23:$F$26,5)))))</f>
        <v>0</v>
      </c>
      <c r="P532" s="465">
        <f>$D532*((P528*(VLOOKUP(I530,'Option Tables'!$B$23:$F$26,2)))+(O528*(VLOOKUP(I530,'Option Tables'!$B$23:$F$26,3)))+(N528*(VLOOKUP(I530,'Option Tables'!$B$23:$F$26,4))+(M528*(VLOOKUP(I530,'Option Tables'!$B$23:$F$26,5)))))</f>
        <v>0</v>
      </c>
    </row>
    <row r="533" spans="2:18" ht="15.75" customHeight="1">
      <c r="B533" s="95"/>
      <c r="C533" s="256"/>
      <c r="D533" s="388">
        <v>0</v>
      </c>
      <c r="E533" s="355">
        <f>$D533*((E528*(VLOOKUP(I530,'Option Tables'!$B$23:$F$26,2)))+(P528*(VLOOKUP(I530,'Option Tables'!$B$23:$F$26,3)))+(O528*(VLOOKUP(I530,'Option Tables'!$B$23:$F$26,4))+(N528*(VLOOKUP(I530,'Option Tables'!$B$23:$F$26,5)))))</f>
        <v>0</v>
      </c>
      <c r="F533" s="355">
        <f>$D533*((F528*(VLOOKUP(I530,'Option Tables'!$B$23:$F$26,2)))+(E528*(VLOOKUP(I530,'Option Tables'!$B$23:$F$26,3)))+(P528*(VLOOKUP(I530,'Option Tables'!$B$23:$F$26,4))+(O528*(VLOOKUP(I530,'Option Tables'!$B$23:$F$26,5)))))</f>
        <v>0</v>
      </c>
      <c r="G533" s="355">
        <f>$D533*((G528*(VLOOKUP(I530,'Option Tables'!$B$23:$F$26,2)))+(F528*(VLOOKUP(I530,'Option Tables'!$B$23:$F$26,3)))+(E528*(VLOOKUP(I530,'Option Tables'!$B$23:$F$26,4))+(P528*(VLOOKUP(I530,'Option Tables'!$B$23:$F$26,5)))))</f>
        <v>0</v>
      </c>
      <c r="H533" s="355">
        <f>$D533*((H528*(VLOOKUP(I530,'Option Tables'!$B$23:$F$26,2)))+(G528*(VLOOKUP(I530,'Option Tables'!$B$23:$F$26,3)))+(F528*(VLOOKUP(I530,'Option Tables'!$B$23:$F$26,4))+(E528*(VLOOKUP(I530,'Option Tables'!$B$23:$F$26,5)))))</f>
        <v>0</v>
      </c>
      <c r="I533" s="355">
        <f>$D533*((I528*(VLOOKUP(I530,'Option Tables'!$B$23:$F$26,2)))+(H528*(VLOOKUP(I530,'Option Tables'!$B$23:$F$26,3)))+(G528*(VLOOKUP(I530,'Option Tables'!$B$23:$F$26,4))+(F528*(VLOOKUP(I530,'Option Tables'!$B$23:$F$26,5)))))</f>
        <v>0</v>
      </c>
      <c r="J533" s="355">
        <f>$D533*((J528*(VLOOKUP(I530,'Option Tables'!$B$23:$F$26,2)))+(I528*(VLOOKUP(I530,'Option Tables'!$B$23:$F$26,3)))+(H528*(VLOOKUP(I530,'Option Tables'!$B$23:$F$26,4))+(G528*(VLOOKUP(I530,'Option Tables'!$B$23:$F$26,5)))))</f>
        <v>0</v>
      </c>
      <c r="K533" s="355">
        <f>$D533*((K528*(VLOOKUP(I530,'Option Tables'!$B$23:$F$26,2)))+(J528*(VLOOKUP(I530,'Option Tables'!$B$23:$F$26,3)))+(I528*(VLOOKUP(I530,'Option Tables'!$B$23:$F$26,4))+(H528*(VLOOKUP(I530,'Option Tables'!$B$23:$F$26,5)))))</f>
        <v>0</v>
      </c>
      <c r="L533" s="355">
        <f>$D533*((L528*(VLOOKUP(I530,'Option Tables'!$B$23:$F$26,2)))+(K528*(VLOOKUP(I530,'Option Tables'!$B$23:$F$26,3)))+(J528*(VLOOKUP(I530,'Option Tables'!$B$23:$F$26,4))+(I528*(VLOOKUP(I530,'Option Tables'!$B$23:$F$26,5)))))</f>
        <v>0</v>
      </c>
      <c r="M533" s="355">
        <f>$D533*((M528*(VLOOKUP(I530,'Option Tables'!$B$23:$F$26,2)))+(L528*(VLOOKUP(I530,'Option Tables'!$B$23:$F$26,3)))+(K528*(VLOOKUP(I530,'Option Tables'!$B$23:$F$26,4))+(J528*(VLOOKUP(I530,'Option Tables'!$B$23:$F$26,5)))))</f>
        <v>0</v>
      </c>
      <c r="N533" s="355">
        <f>$D533*((N528*(VLOOKUP(I530,'Option Tables'!$B$23:$F$26,2)))+(M528*(VLOOKUP(I530,'Option Tables'!$B$23:$F$26,3)))+(L528*(VLOOKUP(I530,'Option Tables'!$B$23:$F$26,4))+(K528*(VLOOKUP(I530,'Option Tables'!$B$23:$F$26,5)))))</f>
        <v>0</v>
      </c>
      <c r="O533" s="355">
        <f>$D533*((O528*(VLOOKUP(I530,'Option Tables'!$B$23:$F$26,2)))+(N528*(VLOOKUP(I530,'Option Tables'!$B$23:$F$26,3)))+(M528*(VLOOKUP(I530,'Option Tables'!$B$23:$F$26,4))+(L528*(VLOOKUP(I530,'Option Tables'!$B$23:$F$26,5)))))</f>
        <v>0</v>
      </c>
      <c r="P533" s="465">
        <f>$D533*((P528*(VLOOKUP(I530,'Option Tables'!$B$23:$F$26,2)))+(O528*(VLOOKUP(I530,'Option Tables'!$B$23:$F$26,3)))+(N528*(VLOOKUP(I530,'Option Tables'!$B$23:$F$26,4))+(M528*(VLOOKUP(I530,'Option Tables'!$B$23:$F$26,5)))))</f>
        <v>0</v>
      </c>
    </row>
    <row r="534" spans="2:18" ht="15.75" customHeight="1">
      <c r="B534" s="95"/>
      <c r="C534" s="256"/>
      <c r="D534" s="388">
        <v>0</v>
      </c>
      <c r="E534" s="355">
        <f>$D534*((E528*(VLOOKUP(I530,'Option Tables'!$B$23:$F$26,2)))+(P528*(VLOOKUP(I530,'Option Tables'!$B$23:$F$26,3)))+(O528*(VLOOKUP(I530,'Option Tables'!$B$23:$F$26,4))+(N528*(VLOOKUP(I530,'Option Tables'!$B$23:$F$26,5)))))</f>
        <v>0</v>
      </c>
      <c r="F534" s="355">
        <f>$D534*((F528*(VLOOKUP(I530,'Option Tables'!$B$23:$F$26,2)))+(E528*(VLOOKUP(I530,'Option Tables'!$B$23:$F$26,3)))+(P528*(VLOOKUP(I530,'Option Tables'!$B$23:$F$26,4))+(O528*(VLOOKUP(I530,'Option Tables'!$B$23:$F$26,5)))))</f>
        <v>0</v>
      </c>
      <c r="G534" s="355">
        <f>$D534*((G528*(VLOOKUP(I530,'Option Tables'!$B$23:$F$26,2)))+(F528*(VLOOKUP(I530,'Option Tables'!$B$23:$F$26,3)))+(E528*(VLOOKUP(I530,'Option Tables'!$B$23:$F$26,4))+(P528*(VLOOKUP(I530,'Option Tables'!$B$23:$F$26,5)))))</f>
        <v>0</v>
      </c>
      <c r="H534" s="355">
        <f>$D534*((H528*(VLOOKUP(I530,'Option Tables'!$B$23:$F$26,2)))+(G528*(VLOOKUP(I530,'Option Tables'!$B$23:$F$26,3)))+(F528*(VLOOKUP(I530,'Option Tables'!$B$23:$F$26,4))+(E528*(VLOOKUP(I530,'Option Tables'!$B$23:$F$26,5)))))</f>
        <v>0</v>
      </c>
      <c r="I534" s="355">
        <f>$D534*((I528*(VLOOKUP(I530,'Option Tables'!$B$23:$F$26,2)))+(H528*(VLOOKUP(I530,'Option Tables'!$B$23:$F$26,3)))+(G528*(VLOOKUP(I530,'Option Tables'!$B$23:$F$26,4))+(F528*(VLOOKUP(I530,'Option Tables'!$B$23:$F$26,5)))))</f>
        <v>0</v>
      </c>
      <c r="J534" s="355">
        <f>$D534*((J528*(VLOOKUP(I530,'Option Tables'!$B$23:$F$26,2)))+(I528*(VLOOKUP(I530,'Option Tables'!$B$23:$F$26,3)))+(H528*(VLOOKUP(I530,'Option Tables'!$B$23:$F$26,4))+(G528*(VLOOKUP(I530,'Option Tables'!$B$23:$F$26,5)))))</f>
        <v>0</v>
      </c>
      <c r="K534" s="355">
        <f>$D534*((K528*(VLOOKUP(I530,'Option Tables'!$B$23:$F$26,2)))+(J528*(VLOOKUP(I530,'Option Tables'!$B$23:$F$26,3)))+(I528*(VLOOKUP(I530,'Option Tables'!$B$23:$F$26,4))+(H528*(VLOOKUP(I530,'Option Tables'!$B$23:$F$26,5)))))</f>
        <v>0</v>
      </c>
      <c r="L534" s="355">
        <f>$D534*((L528*(VLOOKUP(I530,'Option Tables'!$B$23:$F$26,2)))+(K528*(VLOOKUP(I530,'Option Tables'!$B$23:$F$26,3)))+(J528*(VLOOKUP(I530,'Option Tables'!$B$23:$F$26,4))+(I528*(VLOOKUP(I530,'Option Tables'!$B$23:$F$26,5)))))</f>
        <v>0</v>
      </c>
      <c r="M534" s="355">
        <f>$D534*((M528*(VLOOKUP(I530,'Option Tables'!$B$23:$F$26,2)))+(L528*(VLOOKUP(I530,'Option Tables'!$B$23:$F$26,3)))+(K528*(VLOOKUP(I530,'Option Tables'!$B$23:$F$26,4))+(J528*(VLOOKUP(I530,'Option Tables'!$B$23:$F$26,5)))))</f>
        <v>0</v>
      </c>
      <c r="N534" s="355">
        <f>$D534*((N528*(VLOOKUP(I530,'Option Tables'!$B$23:$F$26,2)))+(M528*(VLOOKUP(I530,'Option Tables'!$B$23:$F$26,3)))+(L528*(VLOOKUP(I530,'Option Tables'!$B$23:$F$26,4))+(K528*(VLOOKUP(I530,'Option Tables'!$B$23:$F$26,5)))))</f>
        <v>0</v>
      </c>
      <c r="O534" s="355">
        <f>$D534*((O528*(VLOOKUP(I530,'Option Tables'!$B$23:$F$26,2)))+(N528*(VLOOKUP(I530,'Option Tables'!$B$23:$F$26,3)))+(M528*(VLOOKUP(I530,'Option Tables'!$B$23:$F$26,4))+(L528*(VLOOKUP(I530,'Option Tables'!$B$23:$F$26,5)))))</f>
        <v>0</v>
      </c>
      <c r="P534" s="465">
        <f>$D534*((P528*(VLOOKUP(I530,'Option Tables'!$B$23:$F$26,2)))+(O528*(VLOOKUP(I530,'Option Tables'!$B$23:$F$26,3)))+(N528*(VLOOKUP(I530,'Option Tables'!$B$23:$F$26,4))+(M528*(VLOOKUP(I530,'Option Tables'!$B$23:$F$26,5)))))</f>
        <v>0</v>
      </c>
    </row>
    <row r="535" spans="2:18" ht="15.75" customHeight="1" thickBot="1">
      <c r="B535" s="97"/>
      <c r="C535" s="144" t="str">
        <f>IF(D535&lt;&gt;1,"Must equal %100","")</f>
        <v/>
      </c>
      <c r="D535" s="71">
        <f t="shared" ref="D535:P535" si="51">SUM(D531:D534)</f>
        <v>1</v>
      </c>
      <c r="E535" s="466">
        <f t="shared" si="51"/>
        <v>0</v>
      </c>
      <c r="F535" s="466">
        <f t="shared" si="51"/>
        <v>0</v>
      </c>
      <c r="G535" s="466">
        <f t="shared" si="51"/>
        <v>0</v>
      </c>
      <c r="H535" s="466">
        <f t="shared" si="51"/>
        <v>0</v>
      </c>
      <c r="I535" s="466">
        <f t="shared" si="51"/>
        <v>380.55100971074381</v>
      </c>
      <c r="J535" s="466">
        <f t="shared" si="51"/>
        <v>559.13307644628094</v>
      </c>
      <c r="K535" s="466">
        <f t="shared" si="51"/>
        <v>595.58108925619831</v>
      </c>
      <c r="L535" s="466">
        <f t="shared" si="51"/>
        <v>382.83936818181814</v>
      </c>
      <c r="M535" s="466">
        <f t="shared" si="51"/>
        <v>231.65380413223141</v>
      </c>
      <c r="N535" s="466">
        <f t="shared" si="51"/>
        <v>61.632338429752068</v>
      </c>
      <c r="O535" s="466">
        <f t="shared" si="51"/>
        <v>16.485435743801656</v>
      </c>
      <c r="P535" s="467">
        <f t="shared" si="51"/>
        <v>0</v>
      </c>
      <c r="R535" s="140"/>
    </row>
    <row r="536" spans="2:18" ht="15.75" customHeight="1" thickBot="1">
      <c r="B536" s="85" t="s">
        <v>151</v>
      </c>
      <c r="C536" s="284" t="str">
        <f>VLOOKUP(B536,NodeList!$D$5:$E$73,2,FALSE)</f>
        <v>S Branch Irrigating</v>
      </c>
      <c r="D536" s="91"/>
      <c r="E536" s="450"/>
      <c r="F536" s="451"/>
      <c r="G536" s="452"/>
      <c r="H536" s="453" t="s">
        <v>54</v>
      </c>
      <c r="I536" s="68">
        <v>42</v>
      </c>
      <c r="J536" s="454"/>
      <c r="K536" s="454"/>
      <c r="L536" s="454"/>
      <c r="M536" s="454"/>
      <c r="N536" s="454"/>
      <c r="O536" s="454"/>
      <c r="P536" s="455"/>
    </row>
    <row r="537" spans="2:18" ht="15.75" customHeight="1">
      <c r="B537" s="94"/>
      <c r="C537" s="66" t="s">
        <v>57</v>
      </c>
      <c r="D537" s="69"/>
      <c r="E537" s="456">
        <f>VLOOKUP($B536,'Diversion Data'!$B$3:$O$227,3,FALSE)</f>
        <v>0</v>
      </c>
      <c r="F537" s="456">
        <f>VLOOKUP($B536,'Diversion Data'!$B$3:$O$227,4,FALSE)</f>
        <v>0</v>
      </c>
      <c r="G537" s="456">
        <f>VLOOKUP($B536,'Diversion Data'!$B$3:$O$227,5,FALSE)</f>
        <v>0</v>
      </c>
      <c r="H537" s="456">
        <f>VLOOKUP($B536,'Diversion Data'!$B$3:$O$227,6,FALSE)</f>
        <v>0</v>
      </c>
      <c r="I537" s="456">
        <f>VLOOKUP($B536,'Diversion Data'!$B$3:$O$227,7,FALSE)</f>
        <v>660.24105371900828</v>
      </c>
      <c r="J537" s="456">
        <f>VLOOKUP($B536,'Diversion Data'!$B$3:$O$227,8,FALSE)</f>
        <v>556.07561983471078</v>
      </c>
      <c r="K537" s="456">
        <f>VLOOKUP($B536,'Diversion Data'!$B$3:$O$227,9,FALSE)</f>
        <v>311.0227066115703</v>
      </c>
      <c r="L537" s="456">
        <f>VLOOKUP($B536,'Diversion Data'!$B$3:$O$227,10,FALSE)</f>
        <v>82.094886363636363</v>
      </c>
      <c r="M537" s="456">
        <f>VLOOKUP($B536,'Diversion Data'!$B$3:$O$227,11,FALSE)</f>
        <v>38.907386363636363</v>
      </c>
      <c r="N537" s="456">
        <f>VLOOKUP($B536,'Diversion Data'!$B$3:$O$227,12,FALSE)</f>
        <v>0</v>
      </c>
      <c r="O537" s="456">
        <f>VLOOKUP($B536,'Diversion Data'!$B$3:$O$227,13,FALSE)</f>
        <v>0</v>
      </c>
      <c r="P537" s="457">
        <f>VLOOKUP($B536,'Diversion Data'!$B$3:$O$227,14,FALSE)</f>
        <v>0</v>
      </c>
    </row>
    <row r="538" spans="2:18" ht="15.75" customHeight="1">
      <c r="B538" s="95"/>
      <c r="C538" s="72" t="s">
        <v>56</v>
      </c>
      <c r="D538" s="70"/>
      <c r="E538" s="458">
        <f>VLOOKUP($I536,'Option Tables'!$B$3:$N$19,2,FALSE)*E537</f>
        <v>0</v>
      </c>
      <c r="F538" s="458">
        <f>VLOOKUP($I536,'Option Tables'!$B$3:$N$19,3,FALSE)*F537</f>
        <v>0</v>
      </c>
      <c r="G538" s="458">
        <f>VLOOKUP($I536,'Option Tables'!$B$3:$N$19,4,FALSE)*G537</f>
        <v>0</v>
      </c>
      <c r="H538" s="458">
        <f>VLOOKUP($I536,'Option Tables'!$B$3:$N$19,5,FALSE)*H537</f>
        <v>0</v>
      </c>
      <c r="I538" s="458">
        <f>VLOOKUP($I536,'Option Tables'!$B$3:$N$19,6,FALSE)*I537</f>
        <v>382.93981115702479</v>
      </c>
      <c r="J538" s="458">
        <f>VLOOKUP($I536,'Option Tables'!$B$3:$N$19,7,FALSE)*J537</f>
        <v>322.52385950413225</v>
      </c>
      <c r="K538" s="458">
        <f>VLOOKUP($I536,'Option Tables'!$B$3:$N$19,8,FALSE)*K537</f>
        <v>180.39316983471076</v>
      </c>
      <c r="L538" s="458">
        <f>VLOOKUP($I536,'Option Tables'!$B$3:$N$19,9,FALSE)*L537</f>
        <v>47.615034090909084</v>
      </c>
      <c r="M538" s="458">
        <f>VLOOKUP($I536,'Option Tables'!$B$3:$N$19,10,FALSE)*M537</f>
        <v>22.56628409090909</v>
      </c>
      <c r="N538" s="458">
        <f>VLOOKUP($I536,'Option Tables'!$B$3:$N$19,11,FALSE)*N537</f>
        <v>0</v>
      </c>
      <c r="O538" s="458">
        <f>VLOOKUP($I536,'Option Tables'!$B$3:$N$19,12,FALSE)*O537</f>
        <v>0</v>
      </c>
      <c r="P538" s="459">
        <f>VLOOKUP($I536,'Option Tables'!$B$3:$N$19,13,FALSE)*P537</f>
        <v>0</v>
      </c>
    </row>
    <row r="539" spans="2:18" ht="15.75" customHeight="1" thickBot="1">
      <c r="B539" s="95"/>
      <c r="C539" s="66"/>
      <c r="D539" s="62"/>
      <c r="E539" s="355"/>
      <c r="F539" s="355"/>
      <c r="G539" s="355"/>
      <c r="H539" s="355"/>
      <c r="I539" s="355"/>
      <c r="J539" s="355"/>
      <c r="K539" s="355"/>
      <c r="L539" s="355"/>
      <c r="M539" s="460"/>
      <c r="N539" s="460"/>
      <c r="O539" s="460"/>
      <c r="P539" s="461"/>
    </row>
    <row r="540" spans="2:18" ht="15.75" customHeight="1" thickBot="1">
      <c r="B540" s="254" t="s">
        <v>73</v>
      </c>
      <c r="C540" s="105" t="s">
        <v>73</v>
      </c>
      <c r="D540" s="105" t="s">
        <v>74</v>
      </c>
      <c r="E540" s="462"/>
      <c r="F540" s="463"/>
      <c r="G540" s="464"/>
      <c r="H540" s="464" t="s">
        <v>55</v>
      </c>
      <c r="I540" s="68">
        <v>2</v>
      </c>
      <c r="J540" s="460"/>
      <c r="K540" s="460"/>
      <c r="L540" s="460"/>
      <c r="M540" s="460"/>
      <c r="N540" s="460"/>
      <c r="O540" s="460"/>
      <c r="P540" s="461"/>
    </row>
    <row r="541" spans="2:18" ht="15.75" customHeight="1">
      <c r="B541" s="255" t="str">
        <f>"("&amp;VLOOKUP(C541,NodeList!$D$5:$E$68,2,FALSE)&amp;")"</f>
        <v>(AggDiv BR-5)</v>
      </c>
      <c r="C541" s="256" t="s">
        <v>127</v>
      </c>
      <c r="D541" s="388">
        <v>1</v>
      </c>
      <c r="E541" s="355">
        <f>$D541*((E538*(VLOOKUP(I540,'Option Tables'!$B$23:$F$26,2)))+(P538*(VLOOKUP(I540,'Option Tables'!$B$23:$F$26,3)))+(O538*(VLOOKUP(I540,'Option Tables'!$B$23:$F$26,4))+(N538*(VLOOKUP(I540,'Option Tables'!$B$23:$F$26,5)))))</f>
        <v>0</v>
      </c>
      <c r="F541" s="355">
        <f>$D541*((F538*(VLOOKUP(I540,'Option Tables'!$B$23:$F$26,2)))+(E538*(VLOOKUP(I540,'Option Tables'!$B$23:$F$26,3)))+(P538*(VLOOKUP(I540,'Option Tables'!$B$23:$F$26,4))+(O538*(VLOOKUP(I540,'Option Tables'!$B$23:$F$26,5)))))</f>
        <v>0</v>
      </c>
      <c r="G541" s="355">
        <f>$D541*((G538*(VLOOKUP(I540,'Option Tables'!$B$23:$F$26,2)))+(F538*(VLOOKUP(I540,'Option Tables'!$B$23:$F$26,3)))+(E538*(VLOOKUP(I540,'Option Tables'!$B$23:$F$26,4))+(P538*(VLOOKUP(I540,'Option Tables'!$B$23:$F$26,5)))))</f>
        <v>0</v>
      </c>
      <c r="H541" s="355">
        <f>$D541*((H538*(VLOOKUP(I540,'Option Tables'!$B$23:$F$26,2)))+(G538*(VLOOKUP(I540,'Option Tables'!$B$23:$F$26,3)))+(F538*(VLOOKUP(I540,'Option Tables'!$B$23:$F$26,4))+(E538*(VLOOKUP(I540,'Option Tables'!$B$23:$F$26,5)))))</f>
        <v>0</v>
      </c>
      <c r="I541" s="355">
        <f>$D541*((I538*(VLOOKUP(I540,'Option Tables'!$B$23:$F$26,2)))+(H538*(VLOOKUP(I540,'Option Tables'!$B$23:$F$26,3)))+(G538*(VLOOKUP(I540,'Option Tables'!$B$23:$F$26,4))+(F538*(VLOOKUP(I540,'Option Tables'!$B$23:$F$26,5)))))</f>
        <v>268.05786780991735</v>
      </c>
      <c r="J541" s="355">
        <f>$D541*((J538*(VLOOKUP(I540,'Option Tables'!$B$23:$F$26,2)))+(I538*(VLOOKUP(I540,'Option Tables'!$B$23:$F$26,3)))+(H538*(VLOOKUP(I540,'Option Tables'!$B$23:$F$26,4))+(G538*(VLOOKUP(I540,'Option Tables'!$B$23:$F$26,5)))))</f>
        <v>302.35466388429751</v>
      </c>
      <c r="K541" s="355">
        <f>$D541*((K538*(VLOOKUP(I540,'Option Tables'!$B$23:$F$26,2)))+(J538*(VLOOKUP(I540,'Option Tables'!$B$23:$F$26,3)))+(I538*(VLOOKUP(I540,'Option Tables'!$B$23:$F$26,4))+(H538*(VLOOKUP(I540,'Option Tables'!$B$23:$F$26,5)))))</f>
        <v>229.07397190082645</v>
      </c>
      <c r="L541" s="355">
        <f>$D541*((L538*(VLOOKUP(I540,'Option Tables'!$B$23:$F$26,2)))+(K538*(VLOOKUP(I540,'Option Tables'!$B$23:$F$26,3)))+(J538*(VLOOKUP(I540,'Option Tables'!$B$23:$F$26,4))+(I538*(VLOOKUP(I540,'Option Tables'!$B$23:$F$26,5)))))</f>
        <v>101.66154378099175</v>
      </c>
      <c r="M541" s="355">
        <f>$D541*((M538*(VLOOKUP(I540,'Option Tables'!$B$23:$F$26,2)))+(L538*(VLOOKUP(I540,'Option Tables'!$B$23:$F$26,3)))+(K538*(VLOOKUP(I540,'Option Tables'!$B$23:$F$26,4))+(J538*(VLOOKUP(I540,'Option Tables'!$B$23:$F$26,5)))))</f>
        <v>43.358722665289264</v>
      </c>
      <c r="N541" s="355">
        <f>$D541*((N538*(VLOOKUP(I540,'Option Tables'!$B$23:$F$26,2)))+(M538*(VLOOKUP(I540,'Option Tables'!$B$23:$F$26,3)))+(L538*(VLOOKUP(I540,'Option Tables'!$B$23:$F$26,4))+(K538*(VLOOKUP(I540,'Option Tables'!$B$23:$F$26,5)))))</f>
        <v>9.2747602272727274</v>
      </c>
      <c r="O541" s="355">
        <f>$D541*((O538*(VLOOKUP(I540,'Option Tables'!$B$23:$F$26,2)))+(N538*(VLOOKUP(I540,'Option Tables'!$B$23:$F$26,3)))+(M538*(VLOOKUP(I540,'Option Tables'!$B$23:$F$26,4))+(L538*(VLOOKUP(I540,'Option Tables'!$B$23:$F$26,5)))))</f>
        <v>2.2566284090909092</v>
      </c>
      <c r="P541" s="465">
        <f>$D541*((P538*(VLOOKUP(I540,'Option Tables'!$B$23:$F$26,2)))+(O538*(VLOOKUP(I540,'Option Tables'!$B$23:$F$26,3)))+(N538*(VLOOKUP(I540,'Option Tables'!$B$23:$F$26,4))+(M538*(VLOOKUP(I540,'Option Tables'!$B$23:$F$26,5)))))</f>
        <v>0</v>
      </c>
    </row>
    <row r="542" spans="2:18" ht="15.75" customHeight="1">
      <c r="B542" s="95"/>
      <c r="C542" s="256"/>
      <c r="D542" s="388">
        <v>0</v>
      </c>
      <c r="E542" s="355">
        <f>$D542*((E538*(VLOOKUP(I540,'Option Tables'!$B$23:$F$26,2)))+(P538*(VLOOKUP(I540,'Option Tables'!$B$23:$F$26,3)))+(O538*(VLOOKUP(I540,'Option Tables'!$B$23:$F$26,4))+(N538*(VLOOKUP(I540,'Option Tables'!$B$23:$F$26,5)))))</f>
        <v>0</v>
      </c>
      <c r="F542" s="355">
        <f>$D542*((F538*(VLOOKUP(I540,'Option Tables'!$B$23:$F$26,2)))+(E538*(VLOOKUP(I540,'Option Tables'!$B$23:$F$26,3)))+(P538*(VLOOKUP(I540,'Option Tables'!$B$23:$F$26,4))+(O538*(VLOOKUP(I540,'Option Tables'!$B$23:$F$26,5)))))</f>
        <v>0</v>
      </c>
      <c r="G542" s="355">
        <f>$D542*((G538*(VLOOKUP(I540,'Option Tables'!$B$23:$F$26,2)))+(F538*(VLOOKUP(I540,'Option Tables'!$B$23:$F$26,3)))+(E538*(VLOOKUP(I540,'Option Tables'!$B$23:$F$26,4))+(P538*(VLOOKUP(I540,'Option Tables'!$B$23:$F$26,5)))))</f>
        <v>0</v>
      </c>
      <c r="H542" s="355">
        <f>$D542*((H538*(VLOOKUP(I540,'Option Tables'!$B$23:$F$26,2)))+(G538*(VLOOKUP(I540,'Option Tables'!$B$23:$F$26,3)))+(F538*(VLOOKUP(I540,'Option Tables'!$B$23:$F$26,4))+(E538*(VLOOKUP(I540,'Option Tables'!$B$23:$F$26,5)))))</f>
        <v>0</v>
      </c>
      <c r="I542" s="355">
        <f>$D542*((I538*(VLOOKUP(I540,'Option Tables'!$B$23:$F$26,2)))+(H538*(VLOOKUP(I540,'Option Tables'!$B$23:$F$26,3)))+(G538*(VLOOKUP(I540,'Option Tables'!$B$23:$F$26,4))+(F538*(VLOOKUP(I540,'Option Tables'!$B$23:$F$26,5)))))</f>
        <v>0</v>
      </c>
      <c r="J542" s="355">
        <f>$D542*((J538*(VLOOKUP(I540,'Option Tables'!$B$23:$F$26,2)))+(I538*(VLOOKUP(I540,'Option Tables'!$B$23:$F$26,3)))+(H538*(VLOOKUP(I540,'Option Tables'!$B$23:$F$26,4))+(G538*(VLOOKUP(I540,'Option Tables'!$B$23:$F$26,5)))))</f>
        <v>0</v>
      </c>
      <c r="K542" s="355">
        <f>$D542*((K538*(VLOOKUP(I540,'Option Tables'!$B$23:$F$26,2)))+(J538*(VLOOKUP(I540,'Option Tables'!$B$23:$F$26,3)))+(I538*(VLOOKUP(I540,'Option Tables'!$B$23:$F$26,4))+(H538*(VLOOKUP(I540,'Option Tables'!$B$23:$F$26,5)))))</f>
        <v>0</v>
      </c>
      <c r="L542" s="355">
        <f>$D542*((L538*(VLOOKUP(I540,'Option Tables'!$B$23:$F$26,2)))+(K538*(VLOOKUP(I540,'Option Tables'!$B$23:$F$26,3)))+(J538*(VLOOKUP(I540,'Option Tables'!$B$23:$F$26,4))+(I538*(VLOOKUP(I540,'Option Tables'!$B$23:$F$26,5)))))</f>
        <v>0</v>
      </c>
      <c r="M542" s="355">
        <f>$D542*((M538*(VLOOKUP(I540,'Option Tables'!$B$23:$F$26,2)))+(L538*(VLOOKUP(I540,'Option Tables'!$B$23:$F$26,3)))+(K538*(VLOOKUP(I540,'Option Tables'!$B$23:$F$26,4))+(J538*(VLOOKUP(I540,'Option Tables'!$B$23:$F$26,5)))))</f>
        <v>0</v>
      </c>
      <c r="N542" s="355">
        <f>$D542*((N538*(VLOOKUP(I540,'Option Tables'!$B$23:$F$26,2)))+(M538*(VLOOKUP(I540,'Option Tables'!$B$23:$F$26,3)))+(L538*(VLOOKUP(I540,'Option Tables'!$B$23:$F$26,4))+(K538*(VLOOKUP(I540,'Option Tables'!$B$23:$F$26,5)))))</f>
        <v>0</v>
      </c>
      <c r="O542" s="355">
        <f>$D542*((O538*(VLOOKUP(I540,'Option Tables'!$B$23:$F$26,2)))+(N538*(VLOOKUP(I540,'Option Tables'!$B$23:$F$26,3)))+(M538*(VLOOKUP(I540,'Option Tables'!$B$23:$F$26,4))+(L538*(VLOOKUP(I540,'Option Tables'!$B$23:$F$26,5)))))</f>
        <v>0</v>
      </c>
      <c r="P542" s="465">
        <f>$D542*((P538*(VLOOKUP(I540,'Option Tables'!$B$23:$F$26,2)))+(O538*(VLOOKUP(I540,'Option Tables'!$B$23:$F$26,3)))+(N538*(VLOOKUP(I540,'Option Tables'!$B$23:$F$26,4))+(M538*(VLOOKUP(I540,'Option Tables'!$B$23:$F$26,5)))))</f>
        <v>0</v>
      </c>
    </row>
    <row r="543" spans="2:18" ht="15.75" customHeight="1">
      <c r="B543" s="95"/>
      <c r="C543" s="256"/>
      <c r="D543" s="388">
        <v>0</v>
      </c>
      <c r="E543" s="355">
        <f>$D543*((E538*(VLOOKUP(I540,'Option Tables'!$B$23:$F$26,2)))+(P538*(VLOOKUP(I540,'Option Tables'!$B$23:$F$26,3)))+(O538*(VLOOKUP(I540,'Option Tables'!$B$23:$F$26,4))+(N538*(VLOOKUP(I540,'Option Tables'!$B$23:$F$26,5)))))</f>
        <v>0</v>
      </c>
      <c r="F543" s="355">
        <f>$D543*((F538*(VLOOKUP(I540,'Option Tables'!$B$23:$F$26,2)))+(E538*(VLOOKUP(I540,'Option Tables'!$B$23:$F$26,3)))+(P538*(VLOOKUP(I540,'Option Tables'!$B$23:$F$26,4))+(O538*(VLOOKUP(I540,'Option Tables'!$B$23:$F$26,5)))))</f>
        <v>0</v>
      </c>
      <c r="G543" s="355">
        <f>$D543*((G538*(VLOOKUP(I540,'Option Tables'!$B$23:$F$26,2)))+(F538*(VLOOKUP(I540,'Option Tables'!$B$23:$F$26,3)))+(E538*(VLOOKUP(I540,'Option Tables'!$B$23:$F$26,4))+(P538*(VLOOKUP(I540,'Option Tables'!$B$23:$F$26,5)))))</f>
        <v>0</v>
      </c>
      <c r="H543" s="355">
        <f>$D543*((H538*(VLOOKUP(I540,'Option Tables'!$B$23:$F$26,2)))+(G538*(VLOOKUP(I540,'Option Tables'!$B$23:$F$26,3)))+(F538*(VLOOKUP(I540,'Option Tables'!$B$23:$F$26,4))+(E538*(VLOOKUP(I540,'Option Tables'!$B$23:$F$26,5)))))</f>
        <v>0</v>
      </c>
      <c r="I543" s="355">
        <f>$D543*((I538*(VLOOKUP(I540,'Option Tables'!$B$23:$F$26,2)))+(H538*(VLOOKUP(I540,'Option Tables'!$B$23:$F$26,3)))+(G538*(VLOOKUP(I540,'Option Tables'!$B$23:$F$26,4))+(F538*(VLOOKUP(I540,'Option Tables'!$B$23:$F$26,5)))))</f>
        <v>0</v>
      </c>
      <c r="J543" s="355">
        <f>$D543*((J538*(VLOOKUP(I540,'Option Tables'!$B$23:$F$26,2)))+(I538*(VLOOKUP(I540,'Option Tables'!$B$23:$F$26,3)))+(H538*(VLOOKUP(I540,'Option Tables'!$B$23:$F$26,4))+(G538*(VLOOKUP(I540,'Option Tables'!$B$23:$F$26,5)))))</f>
        <v>0</v>
      </c>
      <c r="K543" s="355">
        <f>$D543*((K538*(VLOOKUP(I540,'Option Tables'!$B$23:$F$26,2)))+(J538*(VLOOKUP(I540,'Option Tables'!$B$23:$F$26,3)))+(I538*(VLOOKUP(I540,'Option Tables'!$B$23:$F$26,4))+(H538*(VLOOKUP(I540,'Option Tables'!$B$23:$F$26,5)))))</f>
        <v>0</v>
      </c>
      <c r="L543" s="355">
        <f>$D543*((L538*(VLOOKUP(I540,'Option Tables'!$B$23:$F$26,2)))+(K538*(VLOOKUP(I540,'Option Tables'!$B$23:$F$26,3)))+(J538*(VLOOKUP(I540,'Option Tables'!$B$23:$F$26,4))+(I538*(VLOOKUP(I540,'Option Tables'!$B$23:$F$26,5)))))</f>
        <v>0</v>
      </c>
      <c r="M543" s="355">
        <f>$D543*((M538*(VLOOKUP(I540,'Option Tables'!$B$23:$F$26,2)))+(L538*(VLOOKUP(I540,'Option Tables'!$B$23:$F$26,3)))+(K538*(VLOOKUP(I540,'Option Tables'!$B$23:$F$26,4))+(J538*(VLOOKUP(I540,'Option Tables'!$B$23:$F$26,5)))))</f>
        <v>0</v>
      </c>
      <c r="N543" s="355">
        <f>$D543*((N538*(VLOOKUP(I540,'Option Tables'!$B$23:$F$26,2)))+(M538*(VLOOKUP(I540,'Option Tables'!$B$23:$F$26,3)))+(L538*(VLOOKUP(I540,'Option Tables'!$B$23:$F$26,4))+(K538*(VLOOKUP(I540,'Option Tables'!$B$23:$F$26,5)))))</f>
        <v>0</v>
      </c>
      <c r="O543" s="355">
        <f>$D543*((O538*(VLOOKUP(I540,'Option Tables'!$B$23:$F$26,2)))+(N538*(VLOOKUP(I540,'Option Tables'!$B$23:$F$26,3)))+(M538*(VLOOKUP(I540,'Option Tables'!$B$23:$F$26,4))+(L538*(VLOOKUP(I540,'Option Tables'!$B$23:$F$26,5)))))</f>
        <v>0</v>
      </c>
      <c r="P543" s="465">
        <f>$D543*((P538*(VLOOKUP(I540,'Option Tables'!$B$23:$F$26,2)))+(O538*(VLOOKUP(I540,'Option Tables'!$B$23:$F$26,3)))+(N538*(VLOOKUP(I540,'Option Tables'!$B$23:$F$26,4))+(M538*(VLOOKUP(I540,'Option Tables'!$B$23:$F$26,5)))))</f>
        <v>0</v>
      </c>
    </row>
    <row r="544" spans="2:18" ht="15.75" customHeight="1">
      <c r="B544" s="95"/>
      <c r="C544" s="256"/>
      <c r="D544" s="388">
        <v>0</v>
      </c>
      <c r="E544" s="355">
        <f>$D544*((E538*(VLOOKUP(I540,'Option Tables'!$B$23:$F$26,2)))+(P538*(VLOOKUP(I540,'Option Tables'!$B$23:$F$26,3)))+(O538*(VLOOKUP(I540,'Option Tables'!$B$23:$F$26,4))+(N538*(VLOOKUP(I540,'Option Tables'!$B$23:$F$26,5)))))</f>
        <v>0</v>
      </c>
      <c r="F544" s="355">
        <f>$D544*((F538*(VLOOKUP(I540,'Option Tables'!$B$23:$F$26,2)))+(E538*(VLOOKUP(I540,'Option Tables'!$B$23:$F$26,3)))+(P538*(VLOOKUP(I540,'Option Tables'!$B$23:$F$26,4))+(O538*(VLOOKUP(I540,'Option Tables'!$B$23:$F$26,5)))))</f>
        <v>0</v>
      </c>
      <c r="G544" s="355">
        <f>$D544*((G538*(VLOOKUP(I540,'Option Tables'!$B$23:$F$26,2)))+(F538*(VLOOKUP(I540,'Option Tables'!$B$23:$F$26,3)))+(E538*(VLOOKUP(I540,'Option Tables'!$B$23:$F$26,4))+(P538*(VLOOKUP(I540,'Option Tables'!$B$23:$F$26,5)))))</f>
        <v>0</v>
      </c>
      <c r="H544" s="355">
        <f>$D544*((H538*(VLOOKUP(I540,'Option Tables'!$B$23:$F$26,2)))+(G538*(VLOOKUP(I540,'Option Tables'!$B$23:$F$26,3)))+(F538*(VLOOKUP(I540,'Option Tables'!$B$23:$F$26,4))+(E538*(VLOOKUP(I540,'Option Tables'!$B$23:$F$26,5)))))</f>
        <v>0</v>
      </c>
      <c r="I544" s="355">
        <f>$D544*((I538*(VLOOKUP(I540,'Option Tables'!$B$23:$F$26,2)))+(H538*(VLOOKUP(I540,'Option Tables'!$B$23:$F$26,3)))+(G538*(VLOOKUP(I540,'Option Tables'!$B$23:$F$26,4))+(F538*(VLOOKUP(I540,'Option Tables'!$B$23:$F$26,5)))))</f>
        <v>0</v>
      </c>
      <c r="J544" s="355">
        <f>$D544*((J538*(VLOOKUP(I540,'Option Tables'!$B$23:$F$26,2)))+(I538*(VLOOKUP(I540,'Option Tables'!$B$23:$F$26,3)))+(H538*(VLOOKUP(I540,'Option Tables'!$B$23:$F$26,4))+(G538*(VLOOKUP(I540,'Option Tables'!$B$23:$F$26,5)))))</f>
        <v>0</v>
      </c>
      <c r="K544" s="355">
        <f>$D544*((K538*(VLOOKUP(I540,'Option Tables'!$B$23:$F$26,2)))+(J538*(VLOOKUP(I540,'Option Tables'!$B$23:$F$26,3)))+(I538*(VLOOKUP(I540,'Option Tables'!$B$23:$F$26,4))+(H538*(VLOOKUP(I540,'Option Tables'!$B$23:$F$26,5)))))</f>
        <v>0</v>
      </c>
      <c r="L544" s="355">
        <f>$D544*((L538*(VLOOKUP(I540,'Option Tables'!$B$23:$F$26,2)))+(K538*(VLOOKUP(I540,'Option Tables'!$B$23:$F$26,3)))+(J538*(VLOOKUP(I540,'Option Tables'!$B$23:$F$26,4))+(I538*(VLOOKUP(I540,'Option Tables'!$B$23:$F$26,5)))))</f>
        <v>0</v>
      </c>
      <c r="M544" s="355">
        <f>$D544*((M538*(VLOOKUP(I540,'Option Tables'!$B$23:$F$26,2)))+(L538*(VLOOKUP(I540,'Option Tables'!$B$23:$F$26,3)))+(K538*(VLOOKUP(I540,'Option Tables'!$B$23:$F$26,4))+(J538*(VLOOKUP(I540,'Option Tables'!$B$23:$F$26,5)))))</f>
        <v>0</v>
      </c>
      <c r="N544" s="355">
        <f>$D544*((N538*(VLOOKUP(I540,'Option Tables'!$B$23:$F$26,2)))+(M538*(VLOOKUP(I540,'Option Tables'!$B$23:$F$26,3)))+(L538*(VLOOKUP(I540,'Option Tables'!$B$23:$F$26,4))+(K538*(VLOOKUP(I540,'Option Tables'!$B$23:$F$26,5)))))</f>
        <v>0</v>
      </c>
      <c r="O544" s="355">
        <f>$D544*((O538*(VLOOKUP(I540,'Option Tables'!$B$23:$F$26,2)))+(N538*(VLOOKUP(I540,'Option Tables'!$B$23:$F$26,3)))+(M538*(VLOOKUP(I540,'Option Tables'!$B$23:$F$26,4))+(L538*(VLOOKUP(I540,'Option Tables'!$B$23:$F$26,5)))))</f>
        <v>0</v>
      </c>
      <c r="P544" s="465">
        <f>$D544*((P538*(VLOOKUP(I540,'Option Tables'!$B$23:$F$26,2)))+(O538*(VLOOKUP(I540,'Option Tables'!$B$23:$F$26,3)))+(N538*(VLOOKUP(I540,'Option Tables'!$B$23:$F$26,4))+(M538*(VLOOKUP(I540,'Option Tables'!$B$23:$F$26,5)))))</f>
        <v>0</v>
      </c>
    </row>
    <row r="545" spans="1:18" ht="15.75" customHeight="1" thickBot="1">
      <c r="B545" s="97"/>
      <c r="C545" s="144" t="str">
        <f>IF(D545&lt;&gt;1,"Must equal %100","")</f>
        <v/>
      </c>
      <c r="D545" s="71">
        <f t="shared" ref="D545:P545" si="52">SUM(D541:D544)</f>
        <v>1</v>
      </c>
      <c r="E545" s="466">
        <f t="shared" si="52"/>
        <v>0</v>
      </c>
      <c r="F545" s="466">
        <f t="shared" si="52"/>
        <v>0</v>
      </c>
      <c r="G545" s="466">
        <f t="shared" si="52"/>
        <v>0</v>
      </c>
      <c r="H545" s="466">
        <f t="shared" si="52"/>
        <v>0</v>
      </c>
      <c r="I545" s="466">
        <f t="shared" si="52"/>
        <v>268.05786780991735</v>
      </c>
      <c r="J545" s="466">
        <f t="shared" si="52"/>
        <v>302.35466388429751</v>
      </c>
      <c r="K545" s="466">
        <f t="shared" si="52"/>
        <v>229.07397190082645</v>
      </c>
      <c r="L545" s="466">
        <f t="shared" si="52"/>
        <v>101.66154378099175</v>
      </c>
      <c r="M545" s="466">
        <f t="shared" si="52"/>
        <v>43.358722665289264</v>
      </c>
      <c r="N545" s="466">
        <f t="shared" si="52"/>
        <v>9.2747602272727274</v>
      </c>
      <c r="O545" s="466">
        <f t="shared" si="52"/>
        <v>2.2566284090909092</v>
      </c>
      <c r="P545" s="467">
        <f t="shared" si="52"/>
        <v>0</v>
      </c>
      <c r="R545" s="140"/>
    </row>
    <row r="546" spans="1:18" ht="15.75" customHeight="1" thickBot="1">
      <c r="B546" s="85" t="s">
        <v>312</v>
      </c>
      <c r="C546" s="257" t="str">
        <f>VLOOKUP(B546,NodeList!$D$5:$E$73,2,FALSE)</f>
        <v>AggDiv SF-1</v>
      </c>
      <c r="D546" s="91"/>
      <c r="E546" s="450"/>
      <c r="F546" s="451"/>
      <c r="G546" s="452"/>
      <c r="H546" s="453" t="s">
        <v>54</v>
      </c>
      <c r="I546" s="68">
        <v>42</v>
      </c>
      <c r="J546" s="454"/>
      <c r="K546" s="454"/>
      <c r="L546" s="454"/>
      <c r="M546" s="454"/>
      <c r="N546" s="454"/>
      <c r="O546" s="454"/>
      <c r="P546" s="455"/>
    </row>
    <row r="547" spans="1:18" ht="15.75" customHeight="1">
      <c r="B547" s="94"/>
      <c r="C547" s="66" t="s">
        <v>57</v>
      </c>
      <c r="D547" s="69"/>
      <c r="E547" s="456">
        <f>VLOOKUP($B546,'Diversion Data'!$B$3:$O$227,3,FALSE)</f>
        <v>0</v>
      </c>
      <c r="F547" s="456">
        <f>VLOOKUP($B546,'Diversion Data'!$B$3:$O$227,4,FALSE)</f>
        <v>0</v>
      </c>
      <c r="G547" s="456">
        <f>VLOOKUP($B546,'Diversion Data'!$B$3:$O$227,5,FALSE)</f>
        <v>0</v>
      </c>
      <c r="H547" s="456">
        <f>VLOOKUP($B546,'Diversion Data'!$B$3:$O$227,6,FALSE)</f>
        <v>0</v>
      </c>
      <c r="I547" s="456">
        <f>VLOOKUP($B546,'Diversion Data'!$B$3:$O$227,7,FALSE)</f>
        <v>798.12374999999986</v>
      </c>
      <c r="J547" s="456">
        <f>VLOOKUP($B546,'Diversion Data'!$B$3:$O$227,8,FALSE)</f>
        <v>2750.2599999999998</v>
      </c>
      <c r="K547" s="456">
        <f>VLOOKUP($B546,'Diversion Data'!$B$3:$O$227,9,FALSE)</f>
        <v>2405.3837499999995</v>
      </c>
      <c r="L547" s="456">
        <f>VLOOKUP($B546,'Diversion Data'!$B$3:$O$227,10,FALSE)</f>
        <v>1054.1775</v>
      </c>
      <c r="M547" s="456">
        <f>VLOOKUP($B546,'Diversion Data'!$B$3:$O$227,11,FALSE)</f>
        <v>348.11</v>
      </c>
      <c r="N547" s="456">
        <f>VLOOKUP($B546,'Diversion Data'!$B$3:$O$227,12,FALSE)</f>
        <v>0</v>
      </c>
      <c r="O547" s="456">
        <f>VLOOKUP($B546,'Diversion Data'!$B$3:$O$227,13,FALSE)</f>
        <v>0</v>
      </c>
      <c r="P547" s="457">
        <f>VLOOKUP($B546,'Diversion Data'!$B$3:$O$227,14,FALSE)</f>
        <v>0</v>
      </c>
    </row>
    <row r="548" spans="1:18" ht="15.75" customHeight="1">
      <c r="B548" s="95"/>
      <c r="C548" s="72" t="s">
        <v>56</v>
      </c>
      <c r="D548" s="70"/>
      <c r="E548" s="458">
        <f>VLOOKUP($I546,'Option Tables'!$B$3:$N$19,2,FALSE)*E547</f>
        <v>0</v>
      </c>
      <c r="F548" s="458">
        <f>VLOOKUP($I546,'Option Tables'!$B$3:$N$19,3,FALSE)*F547</f>
        <v>0</v>
      </c>
      <c r="G548" s="458">
        <f>VLOOKUP($I546,'Option Tables'!$B$3:$N$19,4,FALSE)*G547</f>
        <v>0</v>
      </c>
      <c r="H548" s="458">
        <f>VLOOKUP($I546,'Option Tables'!$B$3:$N$19,5,FALSE)*H547</f>
        <v>0</v>
      </c>
      <c r="I548" s="458">
        <f>VLOOKUP($I546,'Option Tables'!$B$3:$N$19,6,FALSE)*I547</f>
        <v>462.91177499999986</v>
      </c>
      <c r="J548" s="458">
        <f>VLOOKUP($I546,'Option Tables'!$B$3:$N$19,7,FALSE)*J547</f>
        <v>1595.1507999999997</v>
      </c>
      <c r="K548" s="458">
        <f>VLOOKUP($I546,'Option Tables'!$B$3:$N$19,8,FALSE)*K547</f>
        <v>1395.1225749999996</v>
      </c>
      <c r="L548" s="458">
        <f>VLOOKUP($I546,'Option Tables'!$B$3:$N$19,9,FALSE)*L547</f>
        <v>611.42295000000001</v>
      </c>
      <c r="M548" s="458">
        <f>VLOOKUP($I546,'Option Tables'!$B$3:$N$19,10,FALSE)*M547</f>
        <v>201.90379999999999</v>
      </c>
      <c r="N548" s="458">
        <f>VLOOKUP($I546,'Option Tables'!$B$3:$N$19,11,FALSE)*N547</f>
        <v>0</v>
      </c>
      <c r="O548" s="458">
        <f>VLOOKUP($I546,'Option Tables'!$B$3:$N$19,12,FALSE)*O547</f>
        <v>0</v>
      </c>
      <c r="P548" s="459">
        <f>VLOOKUP($I546,'Option Tables'!$B$3:$N$19,13,FALSE)*P547</f>
        <v>0</v>
      </c>
    </row>
    <row r="549" spans="1:18" ht="15.75" customHeight="1" thickBot="1">
      <c r="B549" s="95"/>
      <c r="C549" s="66"/>
      <c r="D549" s="62"/>
      <c r="E549" s="355"/>
      <c r="F549" s="355"/>
      <c r="G549" s="355"/>
      <c r="H549" s="355"/>
      <c r="I549" s="355"/>
      <c r="J549" s="355"/>
      <c r="K549" s="355"/>
      <c r="L549" s="355"/>
      <c r="M549" s="460"/>
      <c r="N549" s="460"/>
      <c r="O549" s="460"/>
      <c r="P549" s="461"/>
    </row>
    <row r="550" spans="1:18" ht="15.75" customHeight="1" thickBot="1">
      <c r="B550" s="254" t="s">
        <v>73</v>
      </c>
      <c r="C550" s="105" t="s">
        <v>73</v>
      </c>
      <c r="D550" s="105" t="s">
        <v>74</v>
      </c>
      <c r="E550" s="462"/>
      <c r="F550" s="463"/>
      <c r="G550" s="464"/>
      <c r="H550" s="464" t="s">
        <v>55</v>
      </c>
      <c r="I550" s="68">
        <v>2</v>
      </c>
      <c r="J550" s="460"/>
      <c r="K550" s="460"/>
      <c r="L550" s="460"/>
      <c r="M550" s="460"/>
      <c r="N550" s="460"/>
      <c r="O550" s="460"/>
      <c r="P550" s="461"/>
    </row>
    <row r="551" spans="1:18" ht="15.75" customHeight="1">
      <c r="B551" s="255" t="str">
        <f>"("&amp;VLOOKUP(C551,NodeList!$D$5:$E$68,2,FALSE)&amp;")"</f>
        <v>(Confluence Smiths Fork / Bear)</v>
      </c>
      <c r="C551" s="256" t="s">
        <v>166</v>
      </c>
      <c r="D551" s="388">
        <v>1</v>
      </c>
      <c r="E551" s="355">
        <f>$D551*((E548*(VLOOKUP(I550,'Option Tables'!$B$23:$F$26,2)))+(P548*(VLOOKUP(I550,'Option Tables'!$B$23:$F$26,3)))+(O548*(VLOOKUP(I550,'Option Tables'!$B$23:$F$26,4))+(N548*(VLOOKUP(I550,'Option Tables'!$B$23:$F$26,5)))))</f>
        <v>0</v>
      </c>
      <c r="F551" s="355">
        <f>$D551*((F548*(VLOOKUP(I550,'Option Tables'!$B$23:$F$26,2)))+(E548*(VLOOKUP(I550,'Option Tables'!$B$23:$F$26,3)))+(P548*(VLOOKUP(I550,'Option Tables'!$B$23:$F$26,4))+(O548*(VLOOKUP(I550,'Option Tables'!$B$23:$F$26,5)))))</f>
        <v>0</v>
      </c>
      <c r="G551" s="355">
        <f>$D551*((G548*(VLOOKUP(I550,'Option Tables'!$B$23:$F$26,2)))+(F548*(VLOOKUP(I550,'Option Tables'!$B$23:$F$26,3)))+(E548*(VLOOKUP(I550,'Option Tables'!$B$23:$F$26,4))+(P548*(VLOOKUP(I550,'Option Tables'!$B$23:$F$26,5)))))</f>
        <v>0</v>
      </c>
      <c r="H551" s="355">
        <f>$D551*((H548*(VLOOKUP(I550,'Option Tables'!$B$23:$F$26,2)))+(G548*(VLOOKUP(I550,'Option Tables'!$B$23:$F$26,3)))+(F548*(VLOOKUP(I550,'Option Tables'!$B$23:$F$26,4))+(E548*(VLOOKUP(I550,'Option Tables'!$B$23:$F$26,5)))))</f>
        <v>0</v>
      </c>
      <c r="I551" s="355">
        <f>$D551*((I548*(VLOOKUP(I550,'Option Tables'!$B$23:$F$26,2)))+(H548*(VLOOKUP(I550,'Option Tables'!$B$23:$F$26,3)))+(G548*(VLOOKUP(I550,'Option Tables'!$B$23:$F$26,4))+(F548*(VLOOKUP(I550,'Option Tables'!$B$23:$F$26,5)))))</f>
        <v>324.03824249999991</v>
      </c>
      <c r="J551" s="355">
        <f>$D551*((J548*(VLOOKUP(I550,'Option Tables'!$B$23:$F$26,2)))+(I548*(VLOOKUP(I550,'Option Tables'!$B$23:$F$26,3)))+(H548*(VLOOKUP(I550,'Option Tables'!$B$23:$F$26,4))+(G548*(VLOOKUP(I550,'Option Tables'!$B$23:$F$26,5)))))</f>
        <v>1209.1879149999997</v>
      </c>
      <c r="K551" s="355">
        <f>$D551*((K548*(VLOOKUP(I550,'Option Tables'!$B$23:$F$26,2)))+(J548*(VLOOKUP(I550,'Option Tables'!$B$23:$F$26,3)))+(I548*(VLOOKUP(I550,'Option Tables'!$B$23:$F$26,4))+(H548*(VLOOKUP(I550,'Option Tables'!$B$23:$F$26,5)))))</f>
        <v>1341.9071399999996</v>
      </c>
      <c r="L551" s="355">
        <f>$D551*((L548*(VLOOKUP(I550,'Option Tables'!$B$23:$F$26,2)))+(K548*(VLOOKUP(I550,'Option Tables'!$B$23:$F$26,3)))+(J548*(VLOOKUP(I550,'Option Tables'!$B$23:$F$26,4))+(I548*(VLOOKUP(I550,'Option Tables'!$B$23:$F$26,5)))))</f>
        <v>866.53565999999989</v>
      </c>
      <c r="M551" s="355">
        <f>$D551*((M548*(VLOOKUP(I550,'Option Tables'!$B$23:$F$26,2)))+(L548*(VLOOKUP(I550,'Option Tables'!$B$23:$F$26,3)))+(K548*(VLOOKUP(I550,'Option Tables'!$B$23:$F$26,4))+(J548*(VLOOKUP(I550,'Option Tables'!$B$23:$F$26,5)))))</f>
        <v>403.12950749999999</v>
      </c>
      <c r="N551" s="355">
        <f>$D551*((N548*(VLOOKUP(I550,'Option Tables'!$B$23:$F$26,2)))+(M548*(VLOOKUP(I550,'Option Tables'!$B$23:$F$26,3)))+(L548*(VLOOKUP(I550,'Option Tables'!$B$23:$F$26,4))+(K548*(VLOOKUP(I550,'Option Tables'!$B$23:$F$26,5)))))</f>
        <v>101.523055</v>
      </c>
      <c r="O551" s="355">
        <f>$D551*((O548*(VLOOKUP(I550,'Option Tables'!$B$23:$F$26,2)))+(N548*(VLOOKUP(I550,'Option Tables'!$B$23:$F$26,3)))+(M548*(VLOOKUP(I550,'Option Tables'!$B$23:$F$26,4))+(L548*(VLOOKUP(I550,'Option Tables'!$B$23:$F$26,5)))))</f>
        <v>20.190380000000001</v>
      </c>
      <c r="P551" s="465">
        <f>$D551*((P548*(VLOOKUP(I550,'Option Tables'!$B$23:$F$26,2)))+(O548*(VLOOKUP(I550,'Option Tables'!$B$23:$F$26,3)))+(N548*(VLOOKUP(I550,'Option Tables'!$B$23:$F$26,4))+(M548*(VLOOKUP(I550,'Option Tables'!$B$23:$F$26,5)))))</f>
        <v>0</v>
      </c>
    </row>
    <row r="552" spans="1:18" ht="15.75" customHeight="1">
      <c r="B552" s="95"/>
      <c r="C552" s="256"/>
      <c r="D552" s="388">
        <v>0</v>
      </c>
      <c r="E552" s="355">
        <f>$D552*((E548*(VLOOKUP(I550,'Option Tables'!$B$23:$F$26,2)))+(P548*(VLOOKUP(I550,'Option Tables'!$B$23:$F$26,3)))+(O548*(VLOOKUP(I550,'Option Tables'!$B$23:$F$26,4))+(N548*(VLOOKUP(I550,'Option Tables'!$B$23:$F$26,5)))))</f>
        <v>0</v>
      </c>
      <c r="F552" s="355">
        <f>$D552*((F548*(VLOOKUP(I550,'Option Tables'!$B$23:$F$26,2)))+(E548*(VLOOKUP(I550,'Option Tables'!$B$23:$F$26,3)))+(P548*(VLOOKUP(I550,'Option Tables'!$B$23:$F$26,4))+(O548*(VLOOKUP(I550,'Option Tables'!$B$23:$F$26,5)))))</f>
        <v>0</v>
      </c>
      <c r="G552" s="355">
        <f>$D552*((G548*(VLOOKUP(I550,'Option Tables'!$B$23:$F$26,2)))+(F548*(VLOOKUP(I550,'Option Tables'!$B$23:$F$26,3)))+(E548*(VLOOKUP(I550,'Option Tables'!$B$23:$F$26,4))+(P548*(VLOOKUP(I550,'Option Tables'!$B$23:$F$26,5)))))</f>
        <v>0</v>
      </c>
      <c r="H552" s="355">
        <f>$D552*((H548*(VLOOKUP(I550,'Option Tables'!$B$23:$F$26,2)))+(G548*(VLOOKUP(I550,'Option Tables'!$B$23:$F$26,3)))+(F548*(VLOOKUP(I550,'Option Tables'!$B$23:$F$26,4))+(E548*(VLOOKUP(I550,'Option Tables'!$B$23:$F$26,5)))))</f>
        <v>0</v>
      </c>
      <c r="I552" s="355">
        <f>$D552*((I548*(VLOOKUP(I550,'Option Tables'!$B$23:$F$26,2)))+(H548*(VLOOKUP(I550,'Option Tables'!$B$23:$F$26,3)))+(G548*(VLOOKUP(I550,'Option Tables'!$B$23:$F$26,4))+(F548*(VLOOKUP(I550,'Option Tables'!$B$23:$F$26,5)))))</f>
        <v>0</v>
      </c>
      <c r="J552" s="355">
        <f>$D552*((J548*(VLOOKUP(I550,'Option Tables'!$B$23:$F$26,2)))+(I548*(VLOOKUP(I550,'Option Tables'!$B$23:$F$26,3)))+(H548*(VLOOKUP(I550,'Option Tables'!$B$23:$F$26,4))+(G548*(VLOOKUP(I550,'Option Tables'!$B$23:$F$26,5)))))</f>
        <v>0</v>
      </c>
      <c r="K552" s="355">
        <f>$D552*((K548*(VLOOKUP(I550,'Option Tables'!$B$23:$F$26,2)))+(J548*(VLOOKUP(I550,'Option Tables'!$B$23:$F$26,3)))+(I548*(VLOOKUP(I550,'Option Tables'!$B$23:$F$26,4))+(H548*(VLOOKUP(I550,'Option Tables'!$B$23:$F$26,5)))))</f>
        <v>0</v>
      </c>
      <c r="L552" s="355">
        <f>$D552*((L548*(VLOOKUP(I550,'Option Tables'!$B$23:$F$26,2)))+(K548*(VLOOKUP(I550,'Option Tables'!$B$23:$F$26,3)))+(J548*(VLOOKUP(I550,'Option Tables'!$B$23:$F$26,4))+(I548*(VLOOKUP(I550,'Option Tables'!$B$23:$F$26,5)))))</f>
        <v>0</v>
      </c>
      <c r="M552" s="355">
        <f>$D552*((M548*(VLOOKUP(I550,'Option Tables'!$B$23:$F$26,2)))+(L548*(VLOOKUP(I550,'Option Tables'!$B$23:$F$26,3)))+(K548*(VLOOKUP(I550,'Option Tables'!$B$23:$F$26,4))+(J548*(VLOOKUP(I550,'Option Tables'!$B$23:$F$26,5)))))</f>
        <v>0</v>
      </c>
      <c r="N552" s="355">
        <f>$D552*((N548*(VLOOKUP(I550,'Option Tables'!$B$23:$F$26,2)))+(M548*(VLOOKUP(I550,'Option Tables'!$B$23:$F$26,3)))+(L548*(VLOOKUP(I550,'Option Tables'!$B$23:$F$26,4))+(K548*(VLOOKUP(I550,'Option Tables'!$B$23:$F$26,5)))))</f>
        <v>0</v>
      </c>
      <c r="O552" s="355">
        <f>$D552*((O548*(VLOOKUP(I550,'Option Tables'!$B$23:$F$26,2)))+(N548*(VLOOKUP(I550,'Option Tables'!$B$23:$F$26,3)))+(M548*(VLOOKUP(I550,'Option Tables'!$B$23:$F$26,4))+(L548*(VLOOKUP(I550,'Option Tables'!$B$23:$F$26,5)))))</f>
        <v>0</v>
      </c>
      <c r="P552" s="465">
        <f>$D552*((P548*(VLOOKUP(I550,'Option Tables'!$B$23:$F$26,2)))+(O548*(VLOOKUP(I550,'Option Tables'!$B$23:$F$26,3)))+(N548*(VLOOKUP(I550,'Option Tables'!$B$23:$F$26,4))+(M548*(VLOOKUP(I550,'Option Tables'!$B$23:$F$26,5)))))</f>
        <v>0</v>
      </c>
    </row>
    <row r="553" spans="1:18" ht="15.75" customHeight="1">
      <c r="B553" s="95"/>
      <c r="C553" s="256"/>
      <c r="D553" s="388">
        <v>0</v>
      </c>
      <c r="E553" s="355">
        <f>$D553*((E548*(VLOOKUP(I550,'Option Tables'!$B$23:$F$26,2)))+(P548*(VLOOKUP(I550,'Option Tables'!$B$23:$F$26,3)))+(O548*(VLOOKUP(I550,'Option Tables'!$B$23:$F$26,4))+(N548*(VLOOKUP(I550,'Option Tables'!$B$23:$F$26,5)))))</f>
        <v>0</v>
      </c>
      <c r="F553" s="355">
        <f>$D553*((F548*(VLOOKUP(I550,'Option Tables'!$B$23:$F$26,2)))+(E548*(VLOOKUP(I550,'Option Tables'!$B$23:$F$26,3)))+(P548*(VLOOKUP(I550,'Option Tables'!$B$23:$F$26,4))+(O548*(VLOOKUP(I550,'Option Tables'!$B$23:$F$26,5)))))</f>
        <v>0</v>
      </c>
      <c r="G553" s="355">
        <f>$D553*((G548*(VLOOKUP(I550,'Option Tables'!$B$23:$F$26,2)))+(F548*(VLOOKUP(I550,'Option Tables'!$B$23:$F$26,3)))+(E548*(VLOOKUP(I550,'Option Tables'!$B$23:$F$26,4))+(P548*(VLOOKUP(I550,'Option Tables'!$B$23:$F$26,5)))))</f>
        <v>0</v>
      </c>
      <c r="H553" s="355">
        <f>$D553*((H548*(VLOOKUP(I550,'Option Tables'!$B$23:$F$26,2)))+(G548*(VLOOKUP(I550,'Option Tables'!$B$23:$F$26,3)))+(F548*(VLOOKUP(I550,'Option Tables'!$B$23:$F$26,4))+(E548*(VLOOKUP(I550,'Option Tables'!$B$23:$F$26,5)))))</f>
        <v>0</v>
      </c>
      <c r="I553" s="355">
        <f>$D553*((I548*(VLOOKUP(I550,'Option Tables'!$B$23:$F$26,2)))+(H548*(VLOOKUP(I550,'Option Tables'!$B$23:$F$26,3)))+(G548*(VLOOKUP(I550,'Option Tables'!$B$23:$F$26,4))+(F548*(VLOOKUP(I550,'Option Tables'!$B$23:$F$26,5)))))</f>
        <v>0</v>
      </c>
      <c r="J553" s="355">
        <f>$D553*((J548*(VLOOKUP(I550,'Option Tables'!$B$23:$F$26,2)))+(I548*(VLOOKUP(I550,'Option Tables'!$B$23:$F$26,3)))+(H548*(VLOOKUP(I550,'Option Tables'!$B$23:$F$26,4))+(G548*(VLOOKUP(I550,'Option Tables'!$B$23:$F$26,5)))))</f>
        <v>0</v>
      </c>
      <c r="K553" s="355">
        <f>$D553*((K548*(VLOOKUP(I550,'Option Tables'!$B$23:$F$26,2)))+(J548*(VLOOKUP(I550,'Option Tables'!$B$23:$F$26,3)))+(I548*(VLOOKUP(I550,'Option Tables'!$B$23:$F$26,4))+(H548*(VLOOKUP(I550,'Option Tables'!$B$23:$F$26,5)))))</f>
        <v>0</v>
      </c>
      <c r="L553" s="355">
        <f>$D553*((L548*(VLOOKUP(I550,'Option Tables'!$B$23:$F$26,2)))+(K548*(VLOOKUP(I550,'Option Tables'!$B$23:$F$26,3)))+(J548*(VLOOKUP(I550,'Option Tables'!$B$23:$F$26,4))+(I548*(VLOOKUP(I550,'Option Tables'!$B$23:$F$26,5)))))</f>
        <v>0</v>
      </c>
      <c r="M553" s="355">
        <f>$D553*((M548*(VLOOKUP(I550,'Option Tables'!$B$23:$F$26,2)))+(L548*(VLOOKUP(I550,'Option Tables'!$B$23:$F$26,3)))+(K548*(VLOOKUP(I550,'Option Tables'!$B$23:$F$26,4))+(J548*(VLOOKUP(I550,'Option Tables'!$B$23:$F$26,5)))))</f>
        <v>0</v>
      </c>
      <c r="N553" s="355">
        <f>$D553*((N548*(VLOOKUP(I550,'Option Tables'!$B$23:$F$26,2)))+(M548*(VLOOKUP(I550,'Option Tables'!$B$23:$F$26,3)))+(L548*(VLOOKUP(I550,'Option Tables'!$B$23:$F$26,4))+(K548*(VLOOKUP(I550,'Option Tables'!$B$23:$F$26,5)))))</f>
        <v>0</v>
      </c>
      <c r="O553" s="355">
        <f>$D553*((O548*(VLOOKUP(I550,'Option Tables'!$B$23:$F$26,2)))+(N548*(VLOOKUP(I550,'Option Tables'!$B$23:$F$26,3)))+(M548*(VLOOKUP(I550,'Option Tables'!$B$23:$F$26,4))+(L548*(VLOOKUP(I550,'Option Tables'!$B$23:$F$26,5)))))</f>
        <v>0</v>
      </c>
      <c r="P553" s="465">
        <f>$D553*((P548*(VLOOKUP(I550,'Option Tables'!$B$23:$F$26,2)))+(O548*(VLOOKUP(I550,'Option Tables'!$B$23:$F$26,3)))+(N548*(VLOOKUP(I550,'Option Tables'!$B$23:$F$26,4))+(M548*(VLOOKUP(I550,'Option Tables'!$B$23:$F$26,5)))))</f>
        <v>0</v>
      </c>
    </row>
    <row r="554" spans="1:18" ht="15.75" customHeight="1">
      <c r="B554" s="95"/>
      <c r="C554" s="256"/>
      <c r="D554" s="388">
        <v>0</v>
      </c>
      <c r="E554" s="355">
        <f>$D554*((E548*(VLOOKUP(I550,'Option Tables'!$B$23:$F$26,2)))+(P548*(VLOOKUP(I550,'Option Tables'!$B$23:$F$26,3)))+(O548*(VLOOKUP(I550,'Option Tables'!$B$23:$F$26,4))+(N548*(VLOOKUP(I550,'Option Tables'!$B$23:$F$26,5)))))</f>
        <v>0</v>
      </c>
      <c r="F554" s="355">
        <f>$D554*((F548*(VLOOKUP(I550,'Option Tables'!$B$23:$F$26,2)))+(E548*(VLOOKUP(I550,'Option Tables'!$B$23:$F$26,3)))+(P548*(VLOOKUP(I550,'Option Tables'!$B$23:$F$26,4))+(O548*(VLOOKUP(I550,'Option Tables'!$B$23:$F$26,5)))))</f>
        <v>0</v>
      </c>
      <c r="G554" s="355">
        <f>$D554*((G548*(VLOOKUP(I550,'Option Tables'!$B$23:$F$26,2)))+(F548*(VLOOKUP(I550,'Option Tables'!$B$23:$F$26,3)))+(E548*(VLOOKUP(I550,'Option Tables'!$B$23:$F$26,4))+(P548*(VLOOKUP(I550,'Option Tables'!$B$23:$F$26,5)))))</f>
        <v>0</v>
      </c>
      <c r="H554" s="355">
        <f>$D554*((H548*(VLOOKUP(I550,'Option Tables'!$B$23:$F$26,2)))+(G548*(VLOOKUP(I550,'Option Tables'!$B$23:$F$26,3)))+(F548*(VLOOKUP(I550,'Option Tables'!$B$23:$F$26,4))+(E548*(VLOOKUP(I550,'Option Tables'!$B$23:$F$26,5)))))</f>
        <v>0</v>
      </c>
      <c r="I554" s="355">
        <f>$D554*((I548*(VLOOKUP(I550,'Option Tables'!$B$23:$F$26,2)))+(H548*(VLOOKUP(I550,'Option Tables'!$B$23:$F$26,3)))+(G548*(VLOOKUP(I550,'Option Tables'!$B$23:$F$26,4))+(F548*(VLOOKUP(I550,'Option Tables'!$B$23:$F$26,5)))))</f>
        <v>0</v>
      </c>
      <c r="J554" s="355">
        <f>$D554*((J548*(VLOOKUP(I550,'Option Tables'!$B$23:$F$26,2)))+(I548*(VLOOKUP(I550,'Option Tables'!$B$23:$F$26,3)))+(H548*(VLOOKUP(I550,'Option Tables'!$B$23:$F$26,4))+(G548*(VLOOKUP(I550,'Option Tables'!$B$23:$F$26,5)))))</f>
        <v>0</v>
      </c>
      <c r="K554" s="355">
        <f>$D554*((K548*(VLOOKUP(I550,'Option Tables'!$B$23:$F$26,2)))+(J548*(VLOOKUP(I550,'Option Tables'!$B$23:$F$26,3)))+(I548*(VLOOKUP(I550,'Option Tables'!$B$23:$F$26,4))+(H548*(VLOOKUP(I550,'Option Tables'!$B$23:$F$26,5)))))</f>
        <v>0</v>
      </c>
      <c r="L554" s="355">
        <f>$D554*((L548*(VLOOKUP(I550,'Option Tables'!$B$23:$F$26,2)))+(K548*(VLOOKUP(I550,'Option Tables'!$B$23:$F$26,3)))+(J548*(VLOOKUP(I550,'Option Tables'!$B$23:$F$26,4))+(I548*(VLOOKUP(I550,'Option Tables'!$B$23:$F$26,5)))))</f>
        <v>0</v>
      </c>
      <c r="M554" s="355">
        <f>$D554*((M548*(VLOOKUP(I550,'Option Tables'!$B$23:$F$26,2)))+(L548*(VLOOKUP(I550,'Option Tables'!$B$23:$F$26,3)))+(K548*(VLOOKUP(I550,'Option Tables'!$B$23:$F$26,4))+(J548*(VLOOKUP(I550,'Option Tables'!$B$23:$F$26,5)))))</f>
        <v>0</v>
      </c>
      <c r="N554" s="355">
        <f>$D554*((N548*(VLOOKUP(I550,'Option Tables'!$B$23:$F$26,2)))+(M548*(VLOOKUP(I550,'Option Tables'!$B$23:$F$26,3)))+(L548*(VLOOKUP(I550,'Option Tables'!$B$23:$F$26,4))+(K548*(VLOOKUP(I550,'Option Tables'!$B$23:$F$26,5)))))</f>
        <v>0</v>
      </c>
      <c r="O554" s="355">
        <f>$D554*((O548*(VLOOKUP(I550,'Option Tables'!$B$23:$F$26,2)))+(N548*(VLOOKUP(I550,'Option Tables'!$B$23:$F$26,3)))+(M548*(VLOOKUP(I550,'Option Tables'!$B$23:$F$26,4))+(L548*(VLOOKUP(I550,'Option Tables'!$B$23:$F$26,5)))))</f>
        <v>0</v>
      </c>
      <c r="P554" s="465">
        <f>$D554*((P548*(VLOOKUP(I550,'Option Tables'!$B$23:$F$26,2)))+(O548*(VLOOKUP(I550,'Option Tables'!$B$23:$F$26,3)))+(N548*(VLOOKUP(I550,'Option Tables'!$B$23:$F$26,4))+(M548*(VLOOKUP(I550,'Option Tables'!$B$23:$F$26,5)))))</f>
        <v>0</v>
      </c>
    </row>
    <row r="555" spans="1:18" ht="15.75" customHeight="1" thickBot="1">
      <c r="B555" s="97"/>
      <c r="C555" s="144" t="str">
        <f>IF(D555&lt;&gt;1,"Must equal %100","")</f>
        <v/>
      </c>
      <c r="D555" s="71">
        <f t="shared" ref="D555:P555" si="53">SUM(D551:D554)</f>
        <v>1</v>
      </c>
      <c r="E555" s="466">
        <f t="shared" si="53"/>
        <v>0</v>
      </c>
      <c r="F555" s="466">
        <f t="shared" si="53"/>
        <v>0</v>
      </c>
      <c r="G555" s="466">
        <f t="shared" si="53"/>
        <v>0</v>
      </c>
      <c r="H555" s="466">
        <f t="shared" si="53"/>
        <v>0</v>
      </c>
      <c r="I555" s="466">
        <f t="shared" si="53"/>
        <v>324.03824249999991</v>
      </c>
      <c r="J555" s="466">
        <f t="shared" si="53"/>
        <v>1209.1879149999997</v>
      </c>
      <c r="K555" s="466">
        <f t="shared" si="53"/>
        <v>1341.9071399999996</v>
      </c>
      <c r="L555" s="466">
        <f t="shared" si="53"/>
        <v>866.53565999999989</v>
      </c>
      <c r="M555" s="466">
        <f t="shared" si="53"/>
        <v>403.12950749999999</v>
      </c>
      <c r="N555" s="466">
        <f t="shared" si="53"/>
        <v>101.523055</v>
      </c>
      <c r="O555" s="466">
        <f t="shared" si="53"/>
        <v>20.190380000000001</v>
      </c>
      <c r="P555" s="467">
        <f t="shared" si="53"/>
        <v>0</v>
      </c>
      <c r="R555" s="140"/>
    </row>
    <row r="556" spans="1:18" ht="15.75" customHeight="1" thickBot="1">
      <c r="A556" s="142" t="s">
        <v>276</v>
      </c>
      <c r="B556" s="95"/>
      <c r="C556" s="205"/>
      <c r="D556" s="98"/>
      <c r="E556" s="355"/>
      <c r="F556" s="358"/>
      <c r="G556" s="358"/>
      <c r="H556" s="358"/>
      <c r="I556" s="358"/>
      <c r="J556" s="355"/>
      <c r="K556" s="355"/>
      <c r="L556" s="355"/>
      <c r="M556" s="355"/>
      <c r="N556" s="355"/>
      <c r="O556" s="355"/>
      <c r="P556" s="465"/>
    </row>
    <row r="557" spans="1:18" ht="15.75" customHeight="1" thickBot="1">
      <c r="B557" s="85" t="s">
        <v>127</v>
      </c>
      <c r="C557" s="284" t="str">
        <f>VLOOKUP(B557,NodeList!$D$5:$E$73,2,FALSE)</f>
        <v>AggDiv BR-5</v>
      </c>
      <c r="D557" s="91"/>
      <c r="E557" s="450"/>
      <c r="F557" s="451"/>
      <c r="G557" s="452"/>
      <c r="H557" s="453" t="s">
        <v>54</v>
      </c>
      <c r="I557" s="68">
        <v>42</v>
      </c>
      <c r="J557" s="454"/>
      <c r="K557" s="454"/>
      <c r="L557" s="454"/>
      <c r="M557" s="454"/>
      <c r="N557" s="454"/>
      <c r="O557" s="454"/>
      <c r="P557" s="455"/>
    </row>
    <row r="558" spans="1:18" ht="15.75" customHeight="1">
      <c r="A558" s="172"/>
      <c r="B558" s="94"/>
      <c r="C558" s="66" t="s">
        <v>57</v>
      </c>
      <c r="D558" s="69"/>
      <c r="E558" s="456">
        <f>VLOOKUP($B557,'Diversion Data'!$B$3:$O$227,3,FALSE)</f>
        <v>0</v>
      </c>
      <c r="F558" s="456">
        <f>VLOOKUP($B557,'Diversion Data'!$B$3:$O$227,4,FALSE)</f>
        <v>0</v>
      </c>
      <c r="G558" s="456">
        <f>VLOOKUP($B557,'Diversion Data'!$B$3:$O$227,5,FALSE)</f>
        <v>0</v>
      </c>
      <c r="H558" s="456">
        <f>VLOOKUP($B557,'Diversion Data'!$B$3:$O$227,6,FALSE)</f>
        <v>0</v>
      </c>
      <c r="I558" s="456">
        <f>VLOOKUP($B557,'Diversion Data'!$B$3:$O$227,7,FALSE)</f>
        <v>591.31499999999994</v>
      </c>
      <c r="J558" s="456">
        <f>VLOOKUP($B557,'Diversion Data'!$B$3:$O$227,8,FALSE)</f>
        <v>1934.4162500000002</v>
      </c>
      <c r="K558" s="456">
        <f>VLOOKUP($B557,'Diversion Data'!$B$3:$O$227,9,FALSE)</f>
        <v>1898.6212500000001</v>
      </c>
      <c r="L558" s="456">
        <f>VLOOKUP($B557,'Diversion Data'!$B$3:$O$227,10,FALSE)</f>
        <v>924.26</v>
      </c>
      <c r="M558" s="456">
        <f>VLOOKUP($B557,'Diversion Data'!$B$3:$O$227,11,FALSE)</f>
        <v>278.42124999999999</v>
      </c>
      <c r="N558" s="456">
        <f>VLOOKUP($B557,'Diversion Data'!$B$3:$O$227,12,FALSE)</f>
        <v>0</v>
      </c>
      <c r="O558" s="456">
        <f>VLOOKUP($B557,'Diversion Data'!$B$3:$O$227,13,FALSE)</f>
        <v>0</v>
      </c>
      <c r="P558" s="457">
        <f>VLOOKUP($B557,'Diversion Data'!$B$3:$O$227,14,FALSE)</f>
        <v>0</v>
      </c>
    </row>
    <row r="559" spans="1:18" ht="15.75" customHeight="1">
      <c r="A559" s="172"/>
      <c r="B559" s="95"/>
      <c r="C559" s="72" t="s">
        <v>56</v>
      </c>
      <c r="D559" s="70"/>
      <c r="E559" s="458">
        <f>VLOOKUP($I557,'Option Tables'!$B$3:$N$19,2,FALSE)*E558</f>
        <v>0</v>
      </c>
      <c r="F559" s="458">
        <f>VLOOKUP($I557,'Option Tables'!$B$3:$N$19,3,FALSE)*F558</f>
        <v>0</v>
      </c>
      <c r="G559" s="458">
        <f>VLOOKUP($I557,'Option Tables'!$B$3:$N$19,4,FALSE)*G558</f>
        <v>0</v>
      </c>
      <c r="H559" s="458">
        <f>VLOOKUP($I557,'Option Tables'!$B$3:$N$19,5,FALSE)*H558</f>
        <v>0</v>
      </c>
      <c r="I559" s="458">
        <f>VLOOKUP($I557,'Option Tables'!$B$3:$N$19,6,FALSE)*I558</f>
        <v>342.96269999999993</v>
      </c>
      <c r="J559" s="458">
        <f>VLOOKUP($I557,'Option Tables'!$B$3:$N$19,7,FALSE)*J558</f>
        <v>1121.961425</v>
      </c>
      <c r="K559" s="458">
        <f>VLOOKUP($I557,'Option Tables'!$B$3:$N$19,8,FALSE)*K558</f>
        <v>1101.200325</v>
      </c>
      <c r="L559" s="458">
        <f>VLOOKUP($I557,'Option Tables'!$B$3:$N$19,9,FALSE)*L558</f>
        <v>536.07079999999996</v>
      </c>
      <c r="M559" s="458">
        <f>VLOOKUP($I557,'Option Tables'!$B$3:$N$19,10,FALSE)*M558</f>
        <v>161.48432499999998</v>
      </c>
      <c r="N559" s="458">
        <f>VLOOKUP($I557,'Option Tables'!$B$3:$N$19,11,FALSE)*N558</f>
        <v>0</v>
      </c>
      <c r="O559" s="458">
        <f>VLOOKUP($I557,'Option Tables'!$B$3:$N$19,12,FALSE)*O558</f>
        <v>0</v>
      </c>
      <c r="P559" s="459">
        <f>VLOOKUP($I557,'Option Tables'!$B$3:$N$19,13,FALSE)*P558</f>
        <v>0</v>
      </c>
    </row>
    <row r="560" spans="1:18" ht="15.75" customHeight="1" thickBot="1">
      <c r="A560" s="172"/>
      <c r="B560" s="95"/>
      <c r="C560" s="66"/>
      <c r="D560" s="62"/>
      <c r="E560" s="355"/>
      <c r="F560" s="355"/>
      <c r="G560" s="355"/>
      <c r="H560" s="355"/>
      <c r="I560" s="355"/>
      <c r="J560" s="355"/>
      <c r="K560" s="355"/>
      <c r="L560" s="355"/>
      <c r="M560" s="460"/>
      <c r="N560" s="460"/>
      <c r="O560" s="460"/>
      <c r="P560" s="461"/>
    </row>
    <row r="561" spans="1:18" ht="15.75" customHeight="1" thickBot="1">
      <c r="A561" s="172"/>
      <c r="B561" s="254" t="s">
        <v>73</v>
      </c>
      <c r="C561" s="105" t="s">
        <v>73</v>
      </c>
      <c r="D561" s="105" t="s">
        <v>74</v>
      </c>
      <c r="E561" s="462"/>
      <c r="F561" s="463"/>
      <c r="G561" s="464"/>
      <c r="H561" s="464" t="s">
        <v>55</v>
      </c>
      <c r="I561" s="68">
        <v>2</v>
      </c>
      <c r="J561" s="460"/>
      <c r="K561" s="460"/>
      <c r="L561" s="460"/>
      <c r="M561" s="460"/>
      <c r="N561" s="460"/>
      <c r="O561" s="460"/>
      <c r="P561" s="461"/>
    </row>
    <row r="562" spans="1:18" ht="15.75" customHeight="1">
      <c r="A562" s="172"/>
      <c r="B562" s="255" t="str">
        <f>"("&amp;VLOOKUP(C562,NodeList!$D$5:$E$68,2,FALSE)&amp;")"</f>
        <v>(Alonzo F. Sights)</v>
      </c>
      <c r="C562" s="256" t="s">
        <v>145</v>
      </c>
      <c r="D562" s="388">
        <v>0.4</v>
      </c>
      <c r="E562" s="355">
        <f>$D562*((E559*(VLOOKUP(I561,'Option Tables'!$B$23:$F$26,2)))+(P559*(VLOOKUP(I561,'Option Tables'!$B$23:$F$26,3)))+(O559*(VLOOKUP(I561,'Option Tables'!$B$23:$F$26,4))+(N559*(VLOOKUP(I561,'Option Tables'!$B$23:$F$26,5)))))</f>
        <v>0</v>
      </c>
      <c r="F562" s="355">
        <f>$D562*((F559*(VLOOKUP(I561,'Option Tables'!$B$23:$F$26,2)))+(E559*(VLOOKUP(I561,'Option Tables'!$B$23:$F$26,3)))+(P559*(VLOOKUP(I561,'Option Tables'!$B$23:$F$26,4))+(O559*(VLOOKUP(I561,'Option Tables'!$B$23:$F$26,5)))))</f>
        <v>0</v>
      </c>
      <c r="G562" s="355">
        <f>$D562*((G559*(VLOOKUP(I561,'Option Tables'!$B$23:$F$26,2)))+(F559*(VLOOKUP(I561,'Option Tables'!$B$23:$F$26,3)))+(E559*(VLOOKUP(I561,'Option Tables'!$B$23:$F$26,4))+(P559*(VLOOKUP(I561,'Option Tables'!$B$23:$F$26,5)))))</f>
        <v>0</v>
      </c>
      <c r="H562" s="355">
        <f>$D562*((H559*(VLOOKUP(I561,'Option Tables'!$B$23:$F$26,2)))+(G559*(VLOOKUP(I561,'Option Tables'!$B$23:$F$26,3)))+(F559*(VLOOKUP(I561,'Option Tables'!$B$23:$F$26,4))+(E559*(VLOOKUP(I561,'Option Tables'!$B$23:$F$26,5)))))</f>
        <v>0</v>
      </c>
      <c r="I562" s="355">
        <f>$D562*((I559*(VLOOKUP(I561,'Option Tables'!$B$23:$F$26,2)))+(H559*(VLOOKUP(I561,'Option Tables'!$B$23:$F$26,3)))+(G559*(VLOOKUP(I561,'Option Tables'!$B$23:$F$26,4))+(F559*(VLOOKUP(I561,'Option Tables'!$B$23:$F$26,5)))))</f>
        <v>96.029555999999971</v>
      </c>
      <c r="J562" s="355">
        <f>$D562*((J559*(VLOOKUP(I561,'Option Tables'!$B$23:$F$26,2)))+(I559*(VLOOKUP(I561,'Option Tables'!$B$23:$F$26,3)))+(H559*(VLOOKUP(I561,'Option Tables'!$B$23:$F$26,4))+(G559*(VLOOKUP(I561,'Option Tables'!$B$23:$F$26,5)))))</f>
        <v>341.58621499999998</v>
      </c>
      <c r="K562" s="355">
        <f>$D562*((K559*(VLOOKUP(I561,'Option Tables'!$B$23:$F$26,2)))+(J559*(VLOOKUP(I561,'Option Tables'!$B$23:$F$26,3)))+(I559*(VLOOKUP(I561,'Option Tables'!$B$23:$F$26,4))+(H559*(VLOOKUP(I561,'Option Tables'!$B$23:$F$26,5)))))</f>
        <v>411.81151300000005</v>
      </c>
      <c r="L562" s="355">
        <f>$D562*((L559*(VLOOKUP(I561,'Option Tables'!$B$23:$F$26,2)))+(K559*(VLOOKUP(I561,'Option Tables'!$B$23:$F$26,3)))+(J559*(VLOOKUP(I561,'Option Tables'!$B$23:$F$26,4))+(I559*(VLOOKUP(I561,'Option Tables'!$B$23:$F$26,5)))))</f>
        <v>283.07430699999998</v>
      </c>
      <c r="M562" s="355">
        <f>$D562*((M559*(VLOOKUP(I561,'Option Tables'!$B$23:$F$26,2)))+(L559*(VLOOKUP(I561,'Option Tables'!$B$23:$F$26,3)))+(K559*(VLOOKUP(I561,'Option Tables'!$B$23:$F$26,4))+(J559*(VLOOKUP(I561,'Option Tables'!$B$23:$F$26,5)))))</f>
        <v>132.14928799999998</v>
      </c>
      <c r="N562" s="355">
        <f>$D562*((N559*(VLOOKUP(I561,'Option Tables'!$B$23:$F$26,2)))+(M559*(VLOOKUP(I561,'Option Tables'!$B$23:$F$26,3)))+(L559*(VLOOKUP(I561,'Option Tables'!$B$23:$F$26,4))+(K559*(VLOOKUP(I561,'Option Tables'!$B$23:$F$26,5)))))</f>
        <v>34.361578000000002</v>
      </c>
      <c r="O562" s="355">
        <f>$D562*((O559*(VLOOKUP(I561,'Option Tables'!$B$23:$F$26,2)))+(N559*(VLOOKUP(I561,'Option Tables'!$B$23:$F$26,3)))+(M559*(VLOOKUP(I561,'Option Tables'!$B$23:$F$26,4))+(L559*(VLOOKUP(I561,'Option Tables'!$B$23:$F$26,5)))))</f>
        <v>6.4593729999999994</v>
      </c>
      <c r="P562" s="465">
        <f>$D562*((P559*(VLOOKUP(I561,'Option Tables'!$B$23:$F$26,2)))+(O559*(VLOOKUP(I561,'Option Tables'!$B$23:$F$26,3)))+(N559*(VLOOKUP(I561,'Option Tables'!$B$23:$F$26,4))+(M559*(VLOOKUP(I561,'Option Tables'!$B$23:$F$26,5)))))</f>
        <v>0</v>
      </c>
    </row>
    <row r="563" spans="1:18" ht="15.75" customHeight="1">
      <c r="A563" s="172"/>
      <c r="B563" s="255" t="str">
        <f>"("&amp;VLOOKUP(C563,NodeList!$D$5:$E$68,2,FALSE)&amp;")"</f>
        <v>(Oscar E. Snyder)</v>
      </c>
      <c r="C563" s="256" t="s">
        <v>135</v>
      </c>
      <c r="D563" s="388">
        <v>0.4</v>
      </c>
      <c r="E563" s="355">
        <f>$D563*((E559*(VLOOKUP(I561,'Option Tables'!$B$23:$F$26,2)))+(P559*(VLOOKUP(I561,'Option Tables'!$B$23:$F$26,3)))+(O559*(VLOOKUP(I561,'Option Tables'!$B$23:$F$26,4))+(N559*(VLOOKUP(I561,'Option Tables'!$B$23:$F$26,5)))))</f>
        <v>0</v>
      </c>
      <c r="F563" s="355">
        <f>$D563*((F559*(VLOOKUP(I561,'Option Tables'!$B$23:$F$26,2)))+(E559*(VLOOKUP(I561,'Option Tables'!$B$23:$F$26,3)))+(P559*(VLOOKUP(I561,'Option Tables'!$B$23:$F$26,4))+(O559*(VLOOKUP(I561,'Option Tables'!$B$23:$F$26,5)))))</f>
        <v>0</v>
      </c>
      <c r="G563" s="355">
        <f>$D563*((G559*(VLOOKUP(I561,'Option Tables'!$B$23:$F$26,2)))+(F559*(VLOOKUP(I561,'Option Tables'!$B$23:$F$26,3)))+(E559*(VLOOKUP(I561,'Option Tables'!$B$23:$F$26,4))+(P559*(VLOOKUP(I561,'Option Tables'!$B$23:$F$26,5)))))</f>
        <v>0</v>
      </c>
      <c r="H563" s="355">
        <f>$D563*((H559*(VLOOKUP(I561,'Option Tables'!$B$23:$F$26,2)))+(G559*(VLOOKUP(I561,'Option Tables'!$B$23:$F$26,3)))+(F559*(VLOOKUP(I561,'Option Tables'!$B$23:$F$26,4))+(E559*(VLOOKUP(I561,'Option Tables'!$B$23:$F$26,5)))))</f>
        <v>0</v>
      </c>
      <c r="I563" s="355">
        <f>$D563*((I559*(VLOOKUP(I561,'Option Tables'!$B$23:$F$26,2)))+(H559*(VLOOKUP(I561,'Option Tables'!$B$23:$F$26,3)))+(G559*(VLOOKUP(I561,'Option Tables'!$B$23:$F$26,4))+(F559*(VLOOKUP(I561,'Option Tables'!$B$23:$F$26,5)))))</f>
        <v>96.029555999999971</v>
      </c>
      <c r="J563" s="355">
        <f>$D563*((J559*(VLOOKUP(I561,'Option Tables'!$B$23:$F$26,2)))+(I559*(VLOOKUP(I561,'Option Tables'!$B$23:$F$26,3)))+(H559*(VLOOKUP(I561,'Option Tables'!$B$23:$F$26,4))+(G559*(VLOOKUP(I561,'Option Tables'!$B$23:$F$26,5)))))</f>
        <v>341.58621499999998</v>
      </c>
      <c r="K563" s="355">
        <f>$D563*((K559*(VLOOKUP(I561,'Option Tables'!$B$23:$F$26,2)))+(J559*(VLOOKUP(I561,'Option Tables'!$B$23:$F$26,3)))+(I559*(VLOOKUP(I561,'Option Tables'!$B$23:$F$26,4))+(H559*(VLOOKUP(I561,'Option Tables'!$B$23:$F$26,5)))))</f>
        <v>411.81151300000005</v>
      </c>
      <c r="L563" s="355">
        <f>$D563*((L559*(VLOOKUP(I561,'Option Tables'!$B$23:$F$26,2)))+(K559*(VLOOKUP(I561,'Option Tables'!$B$23:$F$26,3)))+(J559*(VLOOKUP(I561,'Option Tables'!$B$23:$F$26,4))+(I559*(VLOOKUP(I561,'Option Tables'!$B$23:$F$26,5)))))</f>
        <v>283.07430699999998</v>
      </c>
      <c r="M563" s="355">
        <f>$D563*((M559*(VLOOKUP(I561,'Option Tables'!$B$23:$F$26,2)))+(L559*(VLOOKUP(I561,'Option Tables'!$B$23:$F$26,3)))+(K559*(VLOOKUP(I561,'Option Tables'!$B$23:$F$26,4))+(J559*(VLOOKUP(I561,'Option Tables'!$B$23:$F$26,5)))))</f>
        <v>132.14928799999998</v>
      </c>
      <c r="N563" s="355">
        <f>$D563*((N559*(VLOOKUP(I561,'Option Tables'!$B$23:$F$26,2)))+(M559*(VLOOKUP(I561,'Option Tables'!$B$23:$F$26,3)))+(L559*(VLOOKUP(I561,'Option Tables'!$B$23:$F$26,4))+(K559*(VLOOKUP(I561,'Option Tables'!$B$23:$F$26,5)))))</f>
        <v>34.361578000000002</v>
      </c>
      <c r="O563" s="355">
        <f>$D563*((O559*(VLOOKUP(I561,'Option Tables'!$B$23:$F$26,2)))+(N559*(VLOOKUP(I561,'Option Tables'!$B$23:$F$26,3)))+(M559*(VLOOKUP(I561,'Option Tables'!$B$23:$F$26,4))+(L559*(VLOOKUP(I561,'Option Tables'!$B$23:$F$26,5)))))</f>
        <v>6.4593729999999994</v>
      </c>
      <c r="P563" s="465">
        <f>$D563*((P559*(VLOOKUP(I561,'Option Tables'!$B$23:$F$26,2)))+(O559*(VLOOKUP(I561,'Option Tables'!$B$23:$F$26,3)))+(N559*(VLOOKUP(I561,'Option Tables'!$B$23:$F$26,4))+(M559*(VLOOKUP(I561,'Option Tables'!$B$23:$F$26,5)))))</f>
        <v>0</v>
      </c>
    </row>
    <row r="564" spans="1:18" ht="15.75" customHeight="1">
      <c r="A564" s="172"/>
      <c r="B564" s="255" t="str">
        <f>"("&amp;VLOOKUP(C564,NodeList!$D$5:$E$68,2,FALSE)&amp;")"</f>
        <v>(Cook Brothers)</v>
      </c>
      <c r="C564" s="256" t="s">
        <v>274</v>
      </c>
      <c r="D564" s="388">
        <v>0.2</v>
      </c>
      <c r="E564" s="355">
        <f>$D564*((E559*(VLOOKUP(I561,'Option Tables'!$B$23:$F$26,2)))+(P559*(VLOOKUP(I561,'Option Tables'!$B$23:$F$26,3)))+(O559*(VLOOKUP(I561,'Option Tables'!$B$23:$F$26,4))+(N559*(VLOOKUP(I561,'Option Tables'!$B$23:$F$26,5)))))</f>
        <v>0</v>
      </c>
      <c r="F564" s="355">
        <f>$D564*((F559*(VLOOKUP(I561,'Option Tables'!$B$23:$F$26,2)))+(E559*(VLOOKUP(I561,'Option Tables'!$B$23:$F$26,3)))+(P559*(VLOOKUP(I561,'Option Tables'!$B$23:$F$26,4))+(O559*(VLOOKUP(I561,'Option Tables'!$B$23:$F$26,5)))))</f>
        <v>0</v>
      </c>
      <c r="G564" s="355">
        <f>$D564*((G559*(VLOOKUP(I561,'Option Tables'!$B$23:$F$26,2)))+(F559*(VLOOKUP(I561,'Option Tables'!$B$23:$F$26,3)))+(E559*(VLOOKUP(I561,'Option Tables'!$B$23:$F$26,4))+(P559*(VLOOKUP(I561,'Option Tables'!$B$23:$F$26,5)))))</f>
        <v>0</v>
      </c>
      <c r="H564" s="355">
        <f>$D564*((H559*(VLOOKUP(I561,'Option Tables'!$B$23:$F$26,2)))+(G559*(VLOOKUP(I561,'Option Tables'!$B$23:$F$26,3)))+(F559*(VLOOKUP(I561,'Option Tables'!$B$23:$F$26,4))+(E559*(VLOOKUP(I561,'Option Tables'!$B$23:$F$26,5)))))</f>
        <v>0</v>
      </c>
      <c r="I564" s="355">
        <f>$D564*((I559*(VLOOKUP(I561,'Option Tables'!$B$23:$F$26,2)))+(H559*(VLOOKUP(I561,'Option Tables'!$B$23:$F$26,3)))+(G559*(VLOOKUP(I561,'Option Tables'!$B$23:$F$26,4))+(F559*(VLOOKUP(I561,'Option Tables'!$B$23:$F$26,5)))))</f>
        <v>48.014777999999986</v>
      </c>
      <c r="J564" s="355">
        <f>$D564*((J559*(VLOOKUP(I561,'Option Tables'!$B$23:$F$26,2)))+(I559*(VLOOKUP(I561,'Option Tables'!$B$23:$F$26,3)))+(H559*(VLOOKUP(I561,'Option Tables'!$B$23:$F$26,4))+(G559*(VLOOKUP(I561,'Option Tables'!$B$23:$F$26,5)))))</f>
        <v>170.79310749999999</v>
      </c>
      <c r="K564" s="355">
        <f>$D564*((K559*(VLOOKUP(I561,'Option Tables'!$B$23:$F$26,2)))+(J559*(VLOOKUP(I561,'Option Tables'!$B$23:$F$26,3)))+(I559*(VLOOKUP(I561,'Option Tables'!$B$23:$F$26,4))+(H559*(VLOOKUP(I561,'Option Tables'!$B$23:$F$26,5)))))</f>
        <v>205.90575650000002</v>
      </c>
      <c r="L564" s="355">
        <f>$D564*((L559*(VLOOKUP(I561,'Option Tables'!$B$23:$F$26,2)))+(K559*(VLOOKUP(I561,'Option Tables'!$B$23:$F$26,3)))+(J559*(VLOOKUP(I561,'Option Tables'!$B$23:$F$26,4))+(I559*(VLOOKUP(I561,'Option Tables'!$B$23:$F$26,5)))))</f>
        <v>141.53715349999999</v>
      </c>
      <c r="M564" s="355">
        <f>$D564*((M559*(VLOOKUP(I561,'Option Tables'!$B$23:$F$26,2)))+(L559*(VLOOKUP(I561,'Option Tables'!$B$23:$F$26,3)))+(K559*(VLOOKUP(I561,'Option Tables'!$B$23:$F$26,4))+(J559*(VLOOKUP(I561,'Option Tables'!$B$23:$F$26,5)))))</f>
        <v>66.074643999999992</v>
      </c>
      <c r="N564" s="355">
        <f>$D564*((N559*(VLOOKUP(I561,'Option Tables'!$B$23:$F$26,2)))+(M559*(VLOOKUP(I561,'Option Tables'!$B$23:$F$26,3)))+(L559*(VLOOKUP(I561,'Option Tables'!$B$23:$F$26,4))+(K559*(VLOOKUP(I561,'Option Tables'!$B$23:$F$26,5)))))</f>
        <v>17.180789000000001</v>
      </c>
      <c r="O564" s="355">
        <f>$D564*((O559*(VLOOKUP(I561,'Option Tables'!$B$23:$F$26,2)))+(N559*(VLOOKUP(I561,'Option Tables'!$B$23:$F$26,3)))+(M559*(VLOOKUP(I561,'Option Tables'!$B$23:$F$26,4))+(L559*(VLOOKUP(I561,'Option Tables'!$B$23:$F$26,5)))))</f>
        <v>3.2296864999999997</v>
      </c>
      <c r="P564" s="465">
        <f>$D564*((P559*(VLOOKUP(I561,'Option Tables'!$B$23:$F$26,2)))+(O559*(VLOOKUP(I561,'Option Tables'!$B$23:$F$26,3)))+(N559*(VLOOKUP(I561,'Option Tables'!$B$23:$F$26,4))+(M559*(VLOOKUP(I561,'Option Tables'!$B$23:$F$26,5)))))</f>
        <v>0</v>
      </c>
    </row>
    <row r="565" spans="1:18" ht="15.75" customHeight="1">
      <c r="A565" s="172"/>
      <c r="B565" s="95"/>
      <c r="C565" s="256"/>
      <c r="D565" s="388">
        <v>0</v>
      </c>
      <c r="E565" s="355">
        <f>$D565*((E559*(VLOOKUP(I561,'Option Tables'!$B$23:$F$26,2)))+(P559*(VLOOKUP(I561,'Option Tables'!$B$23:$F$26,3)))+(O559*(VLOOKUP(I561,'Option Tables'!$B$23:$F$26,4))+(N559*(VLOOKUP(I561,'Option Tables'!$B$23:$F$26,5)))))</f>
        <v>0</v>
      </c>
      <c r="F565" s="355">
        <f>$D565*((F559*(VLOOKUP(I561,'Option Tables'!$B$23:$F$26,2)))+(E559*(VLOOKUP(I561,'Option Tables'!$B$23:$F$26,3)))+(P559*(VLOOKUP(I561,'Option Tables'!$B$23:$F$26,4))+(O559*(VLOOKUP(I561,'Option Tables'!$B$23:$F$26,5)))))</f>
        <v>0</v>
      </c>
      <c r="G565" s="355">
        <f>$D565*((G559*(VLOOKUP(I561,'Option Tables'!$B$23:$F$26,2)))+(F559*(VLOOKUP(I561,'Option Tables'!$B$23:$F$26,3)))+(E559*(VLOOKUP(I561,'Option Tables'!$B$23:$F$26,4))+(P559*(VLOOKUP(I561,'Option Tables'!$B$23:$F$26,5)))))</f>
        <v>0</v>
      </c>
      <c r="H565" s="355">
        <f>$D565*((H559*(VLOOKUP(I561,'Option Tables'!$B$23:$F$26,2)))+(G559*(VLOOKUP(I561,'Option Tables'!$B$23:$F$26,3)))+(F559*(VLOOKUP(I561,'Option Tables'!$B$23:$F$26,4))+(E559*(VLOOKUP(I561,'Option Tables'!$B$23:$F$26,5)))))</f>
        <v>0</v>
      </c>
      <c r="I565" s="355">
        <f>$D565*((I559*(VLOOKUP(I561,'Option Tables'!$B$23:$F$26,2)))+(H559*(VLOOKUP(I561,'Option Tables'!$B$23:$F$26,3)))+(G559*(VLOOKUP(I561,'Option Tables'!$B$23:$F$26,4))+(F559*(VLOOKUP(I561,'Option Tables'!$B$23:$F$26,5)))))</f>
        <v>0</v>
      </c>
      <c r="J565" s="355">
        <f>$D565*((J559*(VLOOKUP(I561,'Option Tables'!$B$23:$F$26,2)))+(I559*(VLOOKUP(I561,'Option Tables'!$B$23:$F$26,3)))+(H559*(VLOOKUP(I561,'Option Tables'!$B$23:$F$26,4))+(G559*(VLOOKUP(I561,'Option Tables'!$B$23:$F$26,5)))))</f>
        <v>0</v>
      </c>
      <c r="K565" s="355">
        <f>$D565*((K559*(VLOOKUP(I561,'Option Tables'!$B$23:$F$26,2)))+(J559*(VLOOKUP(I561,'Option Tables'!$B$23:$F$26,3)))+(I559*(VLOOKUP(I561,'Option Tables'!$B$23:$F$26,4))+(H559*(VLOOKUP(I561,'Option Tables'!$B$23:$F$26,5)))))</f>
        <v>0</v>
      </c>
      <c r="L565" s="355">
        <f>$D565*((L559*(VLOOKUP(I561,'Option Tables'!$B$23:$F$26,2)))+(K559*(VLOOKUP(I561,'Option Tables'!$B$23:$F$26,3)))+(J559*(VLOOKUP(I561,'Option Tables'!$B$23:$F$26,4))+(I559*(VLOOKUP(I561,'Option Tables'!$B$23:$F$26,5)))))</f>
        <v>0</v>
      </c>
      <c r="M565" s="355">
        <f>$D565*((M559*(VLOOKUP(I561,'Option Tables'!$B$23:$F$26,2)))+(L559*(VLOOKUP(I561,'Option Tables'!$B$23:$F$26,3)))+(K559*(VLOOKUP(I561,'Option Tables'!$B$23:$F$26,4))+(J559*(VLOOKUP(I561,'Option Tables'!$B$23:$F$26,5)))))</f>
        <v>0</v>
      </c>
      <c r="N565" s="355">
        <f>$D565*((N559*(VLOOKUP(I561,'Option Tables'!$B$23:$F$26,2)))+(M559*(VLOOKUP(I561,'Option Tables'!$B$23:$F$26,3)))+(L559*(VLOOKUP(I561,'Option Tables'!$B$23:$F$26,4))+(K559*(VLOOKUP(I561,'Option Tables'!$B$23:$F$26,5)))))</f>
        <v>0</v>
      </c>
      <c r="O565" s="355">
        <f>$D565*((O559*(VLOOKUP(I561,'Option Tables'!$B$23:$F$26,2)))+(N559*(VLOOKUP(I561,'Option Tables'!$B$23:$F$26,3)))+(M559*(VLOOKUP(I561,'Option Tables'!$B$23:$F$26,4))+(L559*(VLOOKUP(I561,'Option Tables'!$B$23:$F$26,5)))))</f>
        <v>0</v>
      </c>
      <c r="P565" s="465">
        <f>$D565*((P559*(VLOOKUP(I561,'Option Tables'!$B$23:$F$26,2)))+(O559*(VLOOKUP(I561,'Option Tables'!$B$23:$F$26,3)))+(N559*(VLOOKUP(I561,'Option Tables'!$B$23:$F$26,4))+(M559*(VLOOKUP(I561,'Option Tables'!$B$23:$F$26,5)))))</f>
        <v>0</v>
      </c>
      <c r="R565" s="140"/>
    </row>
    <row r="566" spans="1:18" ht="15.75" customHeight="1" thickBot="1">
      <c r="A566" s="172"/>
      <c r="B566" s="97"/>
      <c r="C566" s="144" t="str">
        <f>IF(D566&lt;&gt;1,"Must equal %100","")</f>
        <v/>
      </c>
      <c r="D566" s="71">
        <f t="shared" ref="D566:P566" si="54">SUM(D562:D565)</f>
        <v>1</v>
      </c>
      <c r="E566" s="466">
        <f t="shared" si="54"/>
        <v>0</v>
      </c>
      <c r="F566" s="466">
        <f t="shared" si="54"/>
        <v>0</v>
      </c>
      <c r="G566" s="466">
        <f t="shared" si="54"/>
        <v>0</v>
      </c>
      <c r="H566" s="466">
        <f t="shared" si="54"/>
        <v>0</v>
      </c>
      <c r="I566" s="466">
        <f t="shared" si="54"/>
        <v>240.07388999999992</v>
      </c>
      <c r="J566" s="466">
        <f t="shared" si="54"/>
        <v>853.96553749999998</v>
      </c>
      <c r="K566" s="466">
        <f t="shared" si="54"/>
        <v>1029.5287825</v>
      </c>
      <c r="L566" s="466">
        <f t="shared" si="54"/>
        <v>707.68576749999988</v>
      </c>
      <c r="M566" s="466">
        <f t="shared" si="54"/>
        <v>330.37321999999995</v>
      </c>
      <c r="N566" s="466">
        <f t="shared" si="54"/>
        <v>85.903945000000007</v>
      </c>
      <c r="O566" s="466">
        <f t="shared" si="54"/>
        <v>16.148432499999998</v>
      </c>
      <c r="P566" s="467">
        <f t="shared" si="54"/>
        <v>0</v>
      </c>
      <c r="R566" s="140"/>
    </row>
    <row r="567" spans="1:18" ht="15.75" customHeight="1" thickBot="1">
      <c r="B567" s="85" t="s">
        <v>145</v>
      </c>
      <c r="C567" s="284" t="str">
        <f>VLOOKUP(B567,NodeList!$D$5:$E$73,2,FALSE)</f>
        <v>Alonzo F. Sights</v>
      </c>
      <c r="D567" s="91"/>
      <c r="E567" s="450"/>
      <c r="F567" s="451"/>
      <c r="G567" s="452"/>
      <c r="H567" s="453" t="s">
        <v>54</v>
      </c>
      <c r="I567" s="68">
        <v>40</v>
      </c>
      <c r="J567" s="454"/>
      <c r="K567" s="454"/>
      <c r="L567" s="454"/>
      <c r="M567" s="454"/>
      <c r="N567" s="454"/>
      <c r="O567" s="454"/>
      <c r="P567" s="455"/>
    </row>
    <row r="568" spans="1:18" ht="15.75" customHeight="1">
      <c r="B568" s="94"/>
      <c r="C568" s="66" t="s">
        <v>57</v>
      </c>
      <c r="D568" s="69"/>
      <c r="E568" s="456">
        <f>VLOOKUP($B567,'Diversion Data'!$B$3:$O$227,3,FALSE)</f>
        <v>0</v>
      </c>
      <c r="F568" s="456">
        <f>VLOOKUP($B567,'Diversion Data'!$B$3:$O$227,4,FALSE)</f>
        <v>0</v>
      </c>
      <c r="G568" s="456">
        <f>VLOOKUP($B567,'Diversion Data'!$B$3:$O$227,5,FALSE)</f>
        <v>0</v>
      </c>
      <c r="H568" s="456">
        <f>VLOOKUP($B567,'Diversion Data'!$B$3:$O$227,6,FALSE)</f>
        <v>0</v>
      </c>
      <c r="I568" s="456">
        <f>VLOOKUP($B567,'Diversion Data'!$B$3:$O$227,7,FALSE)</f>
        <v>373.45537190082649</v>
      </c>
      <c r="J568" s="456">
        <f>VLOOKUP($B567,'Diversion Data'!$B$3:$O$227,8,FALSE)</f>
        <v>422.62222107438015</v>
      </c>
      <c r="K568" s="456">
        <f>VLOOKUP($B567,'Diversion Data'!$B$3:$O$227,9,FALSE)</f>
        <v>408.8325309917355</v>
      </c>
      <c r="L568" s="456">
        <f>VLOOKUP($B567,'Diversion Data'!$B$3:$O$227,10,FALSE)</f>
        <v>143.18528925619836</v>
      </c>
      <c r="M568" s="456">
        <f>VLOOKUP($B567,'Diversion Data'!$B$3:$O$227,11,FALSE)</f>
        <v>10.165289256198347</v>
      </c>
      <c r="N568" s="456">
        <f>VLOOKUP($B567,'Diversion Data'!$B$3:$O$227,12,FALSE)</f>
        <v>0</v>
      </c>
      <c r="O568" s="456">
        <f>VLOOKUP($B567,'Diversion Data'!$B$3:$O$227,13,FALSE)</f>
        <v>0</v>
      </c>
      <c r="P568" s="457">
        <f>VLOOKUP($B567,'Diversion Data'!$B$3:$O$227,14,FALSE)</f>
        <v>0</v>
      </c>
    </row>
    <row r="569" spans="1:18" ht="15.75" customHeight="1">
      <c r="B569" s="95"/>
      <c r="C569" s="72" t="s">
        <v>56</v>
      </c>
      <c r="D569" s="70"/>
      <c r="E569" s="458">
        <f>VLOOKUP($I567,'Option Tables'!$B$3:$N$19,2,FALSE)*E568</f>
        <v>0</v>
      </c>
      <c r="F569" s="458">
        <f>VLOOKUP($I567,'Option Tables'!$B$3:$N$19,3,FALSE)*F568</f>
        <v>0</v>
      </c>
      <c r="G569" s="458">
        <f>VLOOKUP($I567,'Option Tables'!$B$3:$N$19,4,FALSE)*G568</f>
        <v>0</v>
      </c>
      <c r="H569" s="458">
        <f>VLOOKUP($I567,'Option Tables'!$B$3:$N$19,5,FALSE)*H568</f>
        <v>0</v>
      </c>
      <c r="I569" s="458">
        <f>VLOOKUP($I567,'Option Tables'!$B$3:$N$19,6,FALSE)*I568</f>
        <v>224.07322314049588</v>
      </c>
      <c r="J569" s="458">
        <f>VLOOKUP($I567,'Option Tables'!$B$3:$N$19,7,FALSE)*J568</f>
        <v>253.57333264462807</v>
      </c>
      <c r="K569" s="458">
        <f>VLOOKUP($I567,'Option Tables'!$B$3:$N$19,8,FALSE)*K568</f>
        <v>245.29951859504129</v>
      </c>
      <c r="L569" s="458">
        <f>VLOOKUP($I567,'Option Tables'!$B$3:$N$19,9,FALSE)*L568</f>
        <v>85.91117355371901</v>
      </c>
      <c r="M569" s="458">
        <f>VLOOKUP($I567,'Option Tables'!$B$3:$N$19,10,FALSE)*M568</f>
        <v>6.0991735537190079</v>
      </c>
      <c r="N569" s="458">
        <f>VLOOKUP($I567,'Option Tables'!$B$3:$N$19,11,FALSE)*N568</f>
        <v>0</v>
      </c>
      <c r="O569" s="458">
        <f>VLOOKUP($I567,'Option Tables'!$B$3:$N$19,12,FALSE)*O568</f>
        <v>0</v>
      </c>
      <c r="P569" s="459">
        <f>VLOOKUP($I567,'Option Tables'!$B$3:$N$19,13,FALSE)*P568</f>
        <v>0</v>
      </c>
    </row>
    <row r="570" spans="1:18" ht="15.75" customHeight="1" thickBot="1">
      <c r="B570" s="95"/>
      <c r="C570" s="66"/>
      <c r="D570" s="62"/>
      <c r="E570" s="355"/>
      <c r="F570" s="355"/>
      <c r="G570" s="355"/>
      <c r="H570" s="355"/>
      <c r="I570" s="355"/>
      <c r="J570" s="355"/>
      <c r="K570" s="355"/>
      <c r="L570" s="355"/>
      <c r="M570" s="460"/>
      <c r="N570" s="460"/>
      <c r="O570" s="460"/>
      <c r="P570" s="461"/>
    </row>
    <row r="571" spans="1:18" ht="15.75" customHeight="1" thickBot="1">
      <c r="B571" s="254" t="s">
        <v>73</v>
      </c>
      <c r="C571" s="105" t="s">
        <v>73</v>
      </c>
      <c r="D571" s="105" t="s">
        <v>74</v>
      </c>
      <c r="E571" s="462"/>
      <c r="F571" s="463"/>
      <c r="G571" s="464"/>
      <c r="H571" s="464" t="s">
        <v>55</v>
      </c>
      <c r="I571" s="68">
        <v>2</v>
      </c>
      <c r="J571" s="460"/>
      <c r="K571" s="460"/>
      <c r="L571" s="460"/>
      <c r="M571" s="460"/>
      <c r="N571" s="460"/>
      <c r="O571" s="460"/>
      <c r="P571" s="461"/>
    </row>
    <row r="572" spans="1:18" ht="15.75" customHeight="1">
      <c r="B572" s="255" t="str">
        <f>"("&amp;VLOOKUP(C572,NodeList!$D$5:$E$68,2,FALSE)&amp;")"</f>
        <v>(Oscar E. Snyder)</v>
      </c>
      <c r="C572" s="256" t="s">
        <v>135</v>
      </c>
      <c r="D572" s="388">
        <v>0.5</v>
      </c>
      <c r="E572" s="355">
        <f>$D572*((E569*(VLOOKUP(I571,'Option Tables'!$B$23:$F$26,2)))+(P569*(VLOOKUP(I571,'Option Tables'!$B$23:$F$26,3)))+(O569*(VLOOKUP(I571,'Option Tables'!$B$23:$F$26,4))+(N569*(VLOOKUP(I571,'Option Tables'!$B$23:$F$26,5)))))</f>
        <v>0</v>
      </c>
      <c r="F572" s="355">
        <f>$D572*((F569*(VLOOKUP(I571,'Option Tables'!$B$23:$F$26,2)))+(E569*(VLOOKUP(I571,'Option Tables'!$B$23:$F$26,3)))+(P569*(VLOOKUP(I571,'Option Tables'!$B$23:$F$26,4))+(O569*(VLOOKUP(I571,'Option Tables'!$B$23:$F$26,5)))))</f>
        <v>0</v>
      </c>
      <c r="G572" s="355">
        <f>$D572*((G569*(VLOOKUP(I571,'Option Tables'!$B$23:$F$26,2)))+(F569*(VLOOKUP(I571,'Option Tables'!$B$23:$F$26,3)))+(E569*(VLOOKUP(I571,'Option Tables'!$B$23:$F$26,4))+(P569*(VLOOKUP(I571,'Option Tables'!$B$23:$F$26,5)))))</f>
        <v>0</v>
      </c>
      <c r="H572" s="355">
        <f>$D572*((H569*(VLOOKUP(I571,'Option Tables'!$B$23:$F$26,2)))+(G569*(VLOOKUP(I571,'Option Tables'!$B$23:$F$26,3)))+(F569*(VLOOKUP(I571,'Option Tables'!$B$23:$F$26,4))+(E569*(VLOOKUP(I571,'Option Tables'!$B$23:$F$26,5)))))</f>
        <v>0</v>
      </c>
      <c r="I572" s="355">
        <f>$D572*((I569*(VLOOKUP(I571,'Option Tables'!$B$23:$F$26,2)))+(H569*(VLOOKUP(I571,'Option Tables'!$B$23:$F$26,3)))+(G569*(VLOOKUP(I571,'Option Tables'!$B$23:$F$26,4))+(F569*(VLOOKUP(I571,'Option Tables'!$B$23:$F$26,5)))))</f>
        <v>78.425628099173551</v>
      </c>
      <c r="J572" s="355">
        <f>$D572*((J569*(VLOOKUP(I571,'Option Tables'!$B$23:$F$26,2)))+(I569*(VLOOKUP(I571,'Option Tables'!$B$23:$F$26,3)))+(H569*(VLOOKUP(I571,'Option Tables'!$B$23:$F$26,4))+(G569*(VLOOKUP(I571,'Option Tables'!$B$23:$F$26,5)))))</f>
        <v>111.15798873966941</v>
      </c>
      <c r="K572" s="355">
        <f>$D572*((K569*(VLOOKUP(I571,'Option Tables'!$B$23:$F$26,2)))+(J569*(VLOOKUP(I571,'Option Tables'!$B$23:$F$26,3)))+(I569*(VLOOKUP(I571,'Option Tables'!$B$23:$F$26,4))+(H569*(VLOOKUP(I571,'Option Tables'!$B$23:$F$26,5)))))</f>
        <v>122.41582592975206</v>
      </c>
      <c r="L572" s="355">
        <f>$D572*((L569*(VLOOKUP(I571,'Option Tables'!$B$23:$F$26,2)))+(K569*(VLOOKUP(I571,'Option Tables'!$B$23:$F$26,3)))+(J569*(VLOOKUP(I571,'Option Tables'!$B$23:$F$26,4))+(I569*(VLOOKUP(I571,'Option Tables'!$B$23:$F$26,5)))))</f>
        <v>67.277529235537187</v>
      </c>
      <c r="M572" s="355">
        <f>$D572*((M569*(VLOOKUP(I571,'Option Tables'!$B$23:$F$26,2)))+(L569*(VLOOKUP(I571,'Option Tables'!$B$23:$F$26,3)))+(K569*(VLOOKUP(I571,'Option Tables'!$B$23:$F$26,4))+(J569*(VLOOKUP(I571,'Option Tables'!$B$23:$F$26,5)))))</f>
        <v>22.99080402892562</v>
      </c>
      <c r="N572" s="355">
        <f>$D572*((N569*(VLOOKUP(I571,'Option Tables'!$B$23:$F$26,2)))+(M569*(VLOOKUP(I571,'Option Tables'!$B$23:$F$26,3)))+(L569*(VLOOKUP(I571,'Option Tables'!$B$23:$F$26,4))+(K569*(VLOOKUP(I571,'Option Tables'!$B$23:$F$26,5)))))</f>
        <v>4.9054760330578517</v>
      </c>
      <c r="O572" s="355">
        <f>$D572*((O569*(VLOOKUP(I571,'Option Tables'!$B$23:$F$26,2)))+(N569*(VLOOKUP(I571,'Option Tables'!$B$23:$F$26,3)))+(M569*(VLOOKUP(I571,'Option Tables'!$B$23:$F$26,4))+(L569*(VLOOKUP(I571,'Option Tables'!$B$23:$F$26,5)))))</f>
        <v>0.30495867768595042</v>
      </c>
      <c r="P572" s="465">
        <f>$D572*((P569*(VLOOKUP(I571,'Option Tables'!$B$23:$F$26,2)))+(O569*(VLOOKUP(I571,'Option Tables'!$B$23:$F$26,3)))+(N569*(VLOOKUP(I571,'Option Tables'!$B$23:$F$26,4))+(M569*(VLOOKUP(I571,'Option Tables'!$B$23:$F$26,5)))))</f>
        <v>0</v>
      </c>
    </row>
    <row r="573" spans="1:18" ht="15.75" customHeight="1">
      <c r="B573" s="255" t="str">
        <f>"("&amp;VLOOKUP(C573,NodeList!$D$5:$E$68,2,FALSE)&amp;")"</f>
        <v>(Cook Brothers)</v>
      </c>
      <c r="C573" s="256" t="s">
        <v>274</v>
      </c>
      <c r="D573" s="388">
        <v>0.5</v>
      </c>
      <c r="E573" s="355">
        <f>$D573*((E569*(VLOOKUP(I571,'Option Tables'!$B$23:$F$26,2)))+(P569*(VLOOKUP(I571,'Option Tables'!$B$23:$F$26,3)))+(O569*(VLOOKUP(I571,'Option Tables'!$B$23:$F$26,4))+(N569*(VLOOKUP(I571,'Option Tables'!$B$23:$F$26,5)))))</f>
        <v>0</v>
      </c>
      <c r="F573" s="355">
        <f>$D573*((F569*(VLOOKUP(I571,'Option Tables'!$B$23:$F$26,2)))+(E569*(VLOOKUP(I571,'Option Tables'!$B$23:$F$26,3)))+(P569*(VLOOKUP(I571,'Option Tables'!$B$23:$F$26,4))+(O569*(VLOOKUP(I571,'Option Tables'!$B$23:$F$26,5)))))</f>
        <v>0</v>
      </c>
      <c r="G573" s="355">
        <f>$D573*((G569*(VLOOKUP(I571,'Option Tables'!$B$23:$F$26,2)))+(F569*(VLOOKUP(I571,'Option Tables'!$B$23:$F$26,3)))+(E569*(VLOOKUP(I571,'Option Tables'!$B$23:$F$26,4))+(P569*(VLOOKUP(I571,'Option Tables'!$B$23:$F$26,5)))))</f>
        <v>0</v>
      </c>
      <c r="H573" s="355">
        <f>$D573*((H569*(VLOOKUP(I571,'Option Tables'!$B$23:$F$26,2)))+(G569*(VLOOKUP(I571,'Option Tables'!$B$23:$F$26,3)))+(F569*(VLOOKUP(I571,'Option Tables'!$B$23:$F$26,4))+(E569*(VLOOKUP(I571,'Option Tables'!$B$23:$F$26,5)))))</f>
        <v>0</v>
      </c>
      <c r="I573" s="355">
        <f>$D573*((I569*(VLOOKUP(I571,'Option Tables'!$B$23:$F$26,2)))+(H569*(VLOOKUP(I571,'Option Tables'!$B$23:$F$26,3)))+(G569*(VLOOKUP(I571,'Option Tables'!$B$23:$F$26,4))+(F569*(VLOOKUP(I571,'Option Tables'!$B$23:$F$26,5)))))</f>
        <v>78.425628099173551</v>
      </c>
      <c r="J573" s="355">
        <f>$D573*((J569*(VLOOKUP(I571,'Option Tables'!$B$23:$F$26,2)))+(I569*(VLOOKUP(I571,'Option Tables'!$B$23:$F$26,3)))+(H569*(VLOOKUP(I571,'Option Tables'!$B$23:$F$26,4))+(G569*(VLOOKUP(I571,'Option Tables'!$B$23:$F$26,5)))))</f>
        <v>111.15798873966941</v>
      </c>
      <c r="K573" s="355">
        <f>$D573*((K569*(VLOOKUP(I571,'Option Tables'!$B$23:$F$26,2)))+(J569*(VLOOKUP(I571,'Option Tables'!$B$23:$F$26,3)))+(I569*(VLOOKUP(I571,'Option Tables'!$B$23:$F$26,4))+(H569*(VLOOKUP(I571,'Option Tables'!$B$23:$F$26,5)))))</f>
        <v>122.41582592975206</v>
      </c>
      <c r="L573" s="355">
        <f>$D573*((L569*(VLOOKUP(I571,'Option Tables'!$B$23:$F$26,2)))+(K569*(VLOOKUP(I571,'Option Tables'!$B$23:$F$26,3)))+(J569*(VLOOKUP(I571,'Option Tables'!$B$23:$F$26,4))+(I569*(VLOOKUP(I571,'Option Tables'!$B$23:$F$26,5)))))</f>
        <v>67.277529235537187</v>
      </c>
      <c r="M573" s="355">
        <f>$D573*((M569*(VLOOKUP(I571,'Option Tables'!$B$23:$F$26,2)))+(L569*(VLOOKUP(I571,'Option Tables'!$B$23:$F$26,3)))+(K569*(VLOOKUP(I571,'Option Tables'!$B$23:$F$26,4))+(J569*(VLOOKUP(I571,'Option Tables'!$B$23:$F$26,5)))))</f>
        <v>22.99080402892562</v>
      </c>
      <c r="N573" s="355">
        <f>$D573*((N569*(VLOOKUP(I571,'Option Tables'!$B$23:$F$26,2)))+(M569*(VLOOKUP(I571,'Option Tables'!$B$23:$F$26,3)))+(L569*(VLOOKUP(I571,'Option Tables'!$B$23:$F$26,4))+(K569*(VLOOKUP(I571,'Option Tables'!$B$23:$F$26,5)))))</f>
        <v>4.9054760330578517</v>
      </c>
      <c r="O573" s="355">
        <f>$D573*((O569*(VLOOKUP(I571,'Option Tables'!$B$23:$F$26,2)))+(N569*(VLOOKUP(I571,'Option Tables'!$B$23:$F$26,3)))+(M569*(VLOOKUP(I571,'Option Tables'!$B$23:$F$26,4))+(L569*(VLOOKUP(I571,'Option Tables'!$B$23:$F$26,5)))))</f>
        <v>0.30495867768595042</v>
      </c>
      <c r="P573" s="465">
        <f>$D573*((P569*(VLOOKUP(I571,'Option Tables'!$B$23:$F$26,2)))+(O569*(VLOOKUP(I571,'Option Tables'!$B$23:$F$26,3)))+(N569*(VLOOKUP(I571,'Option Tables'!$B$23:$F$26,4))+(M569*(VLOOKUP(I571,'Option Tables'!$B$23:$F$26,5)))))</f>
        <v>0</v>
      </c>
    </row>
    <row r="574" spans="1:18" ht="15.75" customHeight="1">
      <c r="B574" s="95"/>
      <c r="C574" s="256"/>
      <c r="D574" s="388">
        <v>0</v>
      </c>
      <c r="E574" s="355">
        <f>$D574*((E569*(VLOOKUP(I571,'Option Tables'!$B$23:$F$26,2)))+(P569*(VLOOKUP(I571,'Option Tables'!$B$23:$F$26,3)))+(O569*(VLOOKUP(I571,'Option Tables'!$B$23:$F$26,4))+(N569*(VLOOKUP(I571,'Option Tables'!$B$23:$F$26,5)))))</f>
        <v>0</v>
      </c>
      <c r="F574" s="355">
        <f>$D574*((F569*(VLOOKUP(I571,'Option Tables'!$B$23:$F$26,2)))+(E569*(VLOOKUP(I571,'Option Tables'!$B$23:$F$26,3)))+(P569*(VLOOKUP(I571,'Option Tables'!$B$23:$F$26,4))+(O569*(VLOOKUP(I571,'Option Tables'!$B$23:$F$26,5)))))</f>
        <v>0</v>
      </c>
      <c r="G574" s="355">
        <f>$D574*((G569*(VLOOKUP(I571,'Option Tables'!$B$23:$F$26,2)))+(F569*(VLOOKUP(I571,'Option Tables'!$B$23:$F$26,3)))+(E569*(VLOOKUP(I571,'Option Tables'!$B$23:$F$26,4))+(P569*(VLOOKUP(I571,'Option Tables'!$B$23:$F$26,5)))))</f>
        <v>0</v>
      </c>
      <c r="H574" s="355">
        <f>$D574*((H569*(VLOOKUP(I571,'Option Tables'!$B$23:$F$26,2)))+(G569*(VLOOKUP(I571,'Option Tables'!$B$23:$F$26,3)))+(F569*(VLOOKUP(I571,'Option Tables'!$B$23:$F$26,4))+(E569*(VLOOKUP(I571,'Option Tables'!$B$23:$F$26,5)))))</f>
        <v>0</v>
      </c>
      <c r="I574" s="355">
        <f>$D574*((I569*(VLOOKUP(I571,'Option Tables'!$B$23:$F$26,2)))+(H569*(VLOOKUP(I571,'Option Tables'!$B$23:$F$26,3)))+(G569*(VLOOKUP(I571,'Option Tables'!$B$23:$F$26,4))+(F569*(VLOOKUP(I571,'Option Tables'!$B$23:$F$26,5)))))</f>
        <v>0</v>
      </c>
      <c r="J574" s="355">
        <f>$D574*((J569*(VLOOKUP(I571,'Option Tables'!$B$23:$F$26,2)))+(I569*(VLOOKUP(I571,'Option Tables'!$B$23:$F$26,3)))+(H569*(VLOOKUP(I571,'Option Tables'!$B$23:$F$26,4))+(G569*(VLOOKUP(I571,'Option Tables'!$B$23:$F$26,5)))))</f>
        <v>0</v>
      </c>
      <c r="K574" s="355">
        <f>$D574*((K569*(VLOOKUP(I571,'Option Tables'!$B$23:$F$26,2)))+(J569*(VLOOKUP(I571,'Option Tables'!$B$23:$F$26,3)))+(I569*(VLOOKUP(I571,'Option Tables'!$B$23:$F$26,4))+(H569*(VLOOKUP(I571,'Option Tables'!$B$23:$F$26,5)))))</f>
        <v>0</v>
      </c>
      <c r="L574" s="355">
        <f>$D574*((L569*(VLOOKUP(I571,'Option Tables'!$B$23:$F$26,2)))+(K569*(VLOOKUP(I571,'Option Tables'!$B$23:$F$26,3)))+(J569*(VLOOKUP(I571,'Option Tables'!$B$23:$F$26,4))+(I569*(VLOOKUP(I571,'Option Tables'!$B$23:$F$26,5)))))</f>
        <v>0</v>
      </c>
      <c r="M574" s="355">
        <f>$D574*((M569*(VLOOKUP(I571,'Option Tables'!$B$23:$F$26,2)))+(L569*(VLOOKUP(I571,'Option Tables'!$B$23:$F$26,3)))+(K569*(VLOOKUP(I571,'Option Tables'!$B$23:$F$26,4))+(J569*(VLOOKUP(I571,'Option Tables'!$B$23:$F$26,5)))))</f>
        <v>0</v>
      </c>
      <c r="N574" s="355">
        <f>$D574*((N569*(VLOOKUP(I571,'Option Tables'!$B$23:$F$26,2)))+(M569*(VLOOKUP(I571,'Option Tables'!$B$23:$F$26,3)))+(L569*(VLOOKUP(I571,'Option Tables'!$B$23:$F$26,4))+(K569*(VLOOKUP(I571,'Option Tables'!$B$23:$F$26,5)))))</f>
        <v>0</v>
      </c>
      <c r="O574" s="355">
        <f>$D574*((O569*(VLOOKUP(I571,'Option Tables'!$B$23:$F$26,2)))+(N569*(VLOOKUP(I571,'Option Tables'!$B$23:$F$26,3)))+(M569*(VLOOKUP(I571,'Option Tables'!$B$23:$F$26,4))+(L569*(VLOOKUP(I571,'Option Tables'!$B$23:$F$26,5)))))</f>
        <v>0</v>
      </c>
      <c r="P574" s="465">
        <f>$D574*((P569*(VLOOKUP(I571,'Option Tables'!$B$23:$F$26,2)))+(O569*(VLOOKUP(I571,'Option Tables'!$B$23:$F$26,3)))+(N569*(VLOOKUP(I571,'Option Tables'!$B$23:$F$26,4))+(M569*(VLOOKUP(I571,'Option Tables'!$B$23:$F$26,5)))))</f>
        <v>0</v>
      </c>
    </row>
    <row r="575" spans="1:18" ht="15.75" customHeight="1">
      <c r="B575" s="95"/>
      <c r="C575" s="256"/>
      <c r="D575" s="388">
        <v>0</v>
      </c>
      <c r="E575" s="355">
        <f>$D575*((E569*(VLOOKUP(I571,'Option Tables'!$B$23:$F$26,2)))+(P569*(VLOOKUP(I571,'Option Tables'!$B$23:$F$26,3)))+(O569*(VLOOKUP(I571,'Option Tables'!$B$23:$F$26,4))+(N569*(VLOOKUP(I571,'Option Tables'!$B$23:$F$26,5)))))</f>
        <v>0</v>
      </c>
      <c r="F575" s="355">
        <f>$D575*((F569*(VLOOKUP(I571,'Option Tables'!$B$23:$F$26,2)))+(E569*(VLOOKUP(I571,'Option Tables'!$B$23:$F$26,3)))+(P569*(VLOOKUP(I571,'Option Tables'!$B$23:$F$26,4))+(O569*(VLOOKUP(I571,'Option Tables'!$B$23:$F$26,5)))))</f>
        <v>0</v>
      </c>
      <c r="G575" s="355">
        <f>$D575*((G569*(VLOOKUP(I571,'Option Tables'!$B$23:$F$26,2)))+(F569*(VLOOKUP(I571,'Option Tables'!$B$23:$F$26,3)))+(E569*(VLOOKUP(I571,'Option Tables'!$B$23:$F$26,4))+(P569*(VLOOKUP(I571,'Option Tables'!$B$23:$F$26,5)))))</f>
        <v>0</v>
      </c>
      <c r="H575" s="355">
        <f>$D575*((H569*(VLOOKUP(I571,'Option Tables'!$B$23:$F$26,2)))+(G569*(VLOOKUP(I571,'Option Tables'!$B$23:$F$26,3)))+(F569*(VLOOKUP(I571,'Option Tables'!$B$23:$F$26,4))+(E569*(VLOOKUP(I571,'Option Tables'!$B$23:$F$26,5)))))</f>
        <v>0</v>
      </c>
      <c r="I575" s="355">
        <f>$D575*((I569*(VLOOKUP(I571,'Option Tables'!$B$23:$F$26,2)))+(H569*(VLOOKUP(I571,'Option Tables'!$B$23:$F$26,3)))+(G569*(VLOOKUP(I571,'Option Tables'!$B$23:$F$26,4))+(F569*(VLOOKUP(I571,'Option Tables'!$B$23:$F$26,5)))))</f>
        <v>0</v>
      </c>
      <c r="J575" s="355">
        <f>$D575*((J569*(VLOOKUP(I571,'Option Tables'!$B$23:$F$26,2)))+(I569*(VLOOKUP(I571,'Option Tables'!$B$23:$F$26,3)))+(H569*(VLOOKUP(I571,'Option Tables'!$B$23:$F$26,4))+(G569*(VLOOKUP(I571,'Option Tables'!$B$23:$F$26,5)))))</f>
        <v>0</v>
      </c>
      <c r="K575" s="355">
        <f>$D575*((K569*(VLOOKUP(I571,'Option Tables'!$B$23:$F$26,2)))+(J569*(VLOOKUP(I571,'Option Tables'!$B$23:$F$26,3)))+(I569*(VLOOKUP(I571,'Option Tables'!$B$23:$F$26,4))+(H569*(VLOOKUP(I571,'Option Tables'!$B$23:$F$26,5)))))</f>
        <v>0</v>
      </c>
      <c r="L575" s="355">
        <f>$D575*((L569*(VLOOKUP(I571,'Option Tables'!$B$23:$F$26,2)))+(K569*(VLOOKUP(I571,'Option Tables'!$B$23:$F$26,3)))+(J569*(VLOOKUP(I571,'Option Tables'!$B$23:$F$26,4))+(I569*(VLOOKUP(I571,'Option Tables'!$B$23:$F$26,5)))))</f>
        <v>0</v>
      </c>
      <c r="M575" s="355">
        <f>$D575*((M569*(VLOOKUP(I571,'Option Tables'!$B$23:$F$26,2)))+(L569*(VLOOKUP(I571,'Option Tables'!$B$23:$F$26,3)))+(K569*(VLOOKUP(I571,'Option Tables'!$B$23:$F$26,4))+(J569*(VLOOKUP(I571,'Option Tables'!$B$23:$F$26,5)))))</f>
        <v>0</v>
      </c>
      <c r="N575" s="355">
        <f>$D575*((N569*(VLOOKUP(I571,'Option Tables'!$B$23:$F$26,2)))+(M569*(VLOOKUP(I571,'Option Tables'!$B$23:$F$26,3)))+(L569*(VLOOKUP(I571,'Option Tables'!$B$23:$F$26,4))+(K569*(VLOOKUP(I571,'Option Tables'!$B$23:$F$26,5)))))</f>
        <v>0</v>
      </c>
      <c r="O575" s="355">
        <f>$D575*((O569*(VLOOKUP(I571,'Option Tables'!$B$23:$F$26,2)))+(N569*(VLOOKUP(I571,'Option Tables'!$B$23:$F$26,3)))+(M569*(VLOOKUP(I571,'Option Tables'!$B$23:$F$26,4))+(L569*(VLOOKUP(I571,'Option Tables'!$B$23:$F$26,5)))))</f>
        <v>0</v>
      </c>
      <c r="P575" s="465">
        <f>$D575*((P569*(VLOOKUP(I571,'Option Tables'!$B$23:$F$26,2)))+(O569*(VLOOKUP(I571,'Option Tables'!$B$23:$F$26,3)))+(N569*(VLOOKUP(I571,'Option Tables'!$B$23:$F$26,4))+(M569*(VLOOKUP(I571,'Option Tables'!$B$23:$F$26,5)))))</f>
        <v>0</v>
      </c>
    </row>
    <row r="576" spans="1:18" ht="15.75" customHeight="1" thickBot="1">
      <c r="B576" s="97"/>
      <c r="C576" s="144" t="str">
        <f>IF(D576&lt;&gt;1,"Must equal %100","")</f>
        <v/>
      </c>
      <c r="D576" s="71">
        <f t="shared" ref="D576:P576" si="55">SUM(D572:D575)</f>
        <v>1</v>
      </c>
      <c r="E576" s="466">
        <f t="shared" si="55"/>
        <v>0</v>
      </c>
      <c r="F576" s="466">
        <f t="shared" si="55"/>
        <v>0</v>
      </c>
      <c r="G576" s="466">
        <f t="shared" si="55"/>
        <v>0</v>
      </c>
      <c r="H576" s="466">
        <f t="shared" si="55"/>
        <v>0</v>
      </c>
      <c r="I576" s="466">
        <f t="shared" si="55"/>
        <v>156.8512561983471</v>
      </c>
      <c r="J576" s="466">
        <f t="shared" si="55"/>
        <v>222.31597747933881</v>
      </c>
      <c r="K576" s="466">
        <f t="shared" si="55"/>
        <v>244.83165185950412</v>
      </c>
      <c r="L576" s="466">
        <f t="shared" si="55"/>
        <v>134.55505847107437</v>
      </c>
      <c r="M576" s="466">
        <f t="shared" si="55"/>
        <v>45.98160805785124</v>
      </c>
      <c r="N576" s="466">
        <f t="shared" si="55"/>
        <v>9.8109520661157035</v>
      </c>
      <c r="O576" s="466">
        <f t="shared" si="55"/>
        <v>0.60991735537190084</v>
      </c>
      <c r="P576" s="467">
        <f t="shared" si="55"/>
        <v>0</v>
      </c>
      <c r="R576" s="140"/>
    </row>
    <row r="577" spans="2:18" ht="15.75" customHeight="1" thickBot="1">
      <c r="B577" s="85" t="s">
        <v>135</v>
      </c>
      <c r="C577" s="257" t="str">
        <f>VLOOKUP(B577,NodeList!$D$5:$E$73,2,FALSE)</f>
        <v>Oscar E. Snyder</v>
      </c>
      <c r="D577" s="91"/>
      <c r="E577" s="450"/>
      <c r="F577" s="451"/>
      <c r="G577" s="452"/>
      <c r="H577" s="453" t="s">
        <v>54</v>
      </c>
      <c r="I577" s="68">
        <v>40</v>
      </c>
      <c r="J577" s="454"/>
      <c r="K577" s="454"/>
      <c r="L577" s="454"/>
      <c r="M577" s="454"/>
      <c r="N577" s="454"/>
      <c r="O577" s="454"/>
      <c r="P577" s="455"/>
    </row>
    <row r="578" spans="2:18" ht="15.75" customHeight="1">
      <c r="B578" s="94"/>
      <c r="C578" s="66" t="s">
        <v>57</v>
      </c>
      <c r="D578" s="69"/>
      <c r="E578" s="456">
        <f>VLOOKUP($B577,'Diversion Data'!$B$3:$O$227,3,FALSE)</f>
        <v>0</v>
      </c>
      <c r="F578" s="456">
        <f>VLOOKUP($B577,'Diversion Data'!$B$3:$O$227,4,FALSE)</f>
        <v>0</v>
      </c>
      <c r="G578" s="456">
        <f>VLOOKUP($B577,'Diversion Data'!$B$3:$O$227,5,FALSE)</f>
        <v>0</v>
      </c>
      <c r="H578" s="456">
        <f>VLOOKUP($B577,'Diversion Data'!$B$3:$O$227,6,FALSE)</f>
        <v>0</v>
      </c>
      <c r="I578" s="456">
        <f>VLOOKUP($B577,'Diversion Data'!$B$3:$O$227,7,FALSE)</f>
        <v>408.77384297520661</v>
      </c>
      <c r="J578" s="456">
        <f>VLOOKUP($B577,'Diversion Data'!$B$3:$O$227,8,FALSE)</f>
        <v>446.34246900826452</v>
      </c>
      <c r="K578" s="456">
        <f>VLOOKUP($B577,'Diversion Data'!$B$3:$O$227,9,FALSE)</f>
        <v>390.40165289256197</v>
      </c>
      <c r="L578" s="456">
        <f>VLOOKUP($B577,'Diversion Data'!$B$3:$O$227,10,FALSE)</f>
        <v>311.95551652892561</v>
      </c>
      <c r="M578" s="456">
        <f>VLOOKUP($B577,'Diversion Data'!$B$3:$O$227,11,FALSE)</f>
        <v>187.42029958677685</v>
      </c>
      <c r="N578" s="456">
        <f>VLOOKUP($B577,'Diversion Data'!$B$3:$O$227,12,FALSE)</f>
        <v>0</v>
      </c>
      <c r="O578" s="456">
        <f>VLOOKUP($B577,'Diversion Data'!$B$3:$O$227,13,FALSE)</f>
        <v>0</v>
      </c>
      <c r="P578" s="457">
        <f>VLOOKUP($B577,'Diversion Data'!$B$3:$O$227,14,FALSE)</f>
        <v>0</v>
      </c>
    </row>
    <row r="579" spans="2:18" ht="15.75" customHeight="1">
      <c r="B579" s="95"/>
      <c r="C579" s="72" t="s">
        <v>56</v>
      </c>
      <c r="D579" s="70"/>
      <c r="E579" s="458">
        <f>VLOOKUP($I577,'Option Tables'!$B$3:$N$19,2,FALSE)*E578</f>
        <v>0</v>
      </c>
      <c r="F579" s="458">
        <f>VLOOKUP($I577,'Option Tables'!$B$3:$N$19,3,FALSE)*F578</f>
        <v>0</v>
      </c>
      <c r="G579" s="458">
        <f>VLOOKUP($I577,'Option Tables'!$B$3:$N$19,4,FALSE)*G578</f>
        <v>0</v>
      </c>
      <c r="H579" s="458">
        <f>VLOOKUP($I577,'Option Tables'!$B$3:$N$19,5,FALSE)*H578</f>
        <v>0</v>
      </c>
      <c r="I579" s="458">
        <f>VLOOKUP($I577,'Option Tables'!$B$3:$N$19,6,FALSE)*I578</f>
        <v>245.26430578512395</v>
      </c>
      <c r="J579" s="458">
        <f>VLOOKUP($I577,'Option Tables'!$B$3:$N$19,7,FALSE)*J578</f>
        <v>267.8054814049587</v>
      </c>
      <c r="K579" s="458">
        <f>VLOOKUP($I577,'Option Tables'!$B$3:$N$19,8,FALSE)*K578</f>
        <v>234.24099173553716</v>
      </c>
      <c r="L579" s="458">
        <f>VLOOKUP($I577,'Option Tables'!$B$3:$N$19,9,FALSE)*L578</f>
        <v>187.17330991735537</v>
      </c>
      <c r="M579" s="458">
        <f>VLOOKUP($I577,'Option Tables'!$B$3:$N$19,10,FALSE)*M578</f>
        <v>112.4521797520661</v>
      </c>
      <c r="N579" s="458">
        <f>VLOOKUP($I577,'Option Tables'!$B$3:$N$19,11,FALSE)*N578</f>
        <v>0</v>
      </c>
      <c r="O579" s="458">
        <f>VLOOKUP($I577,'Option Tables'!$B$3:$N$19,12,FALSE)*O578</f>
        <v>0</v>
      </c>
      <c r="P579" s="459">
        <f>VLOOKUP($I577,'Option Tables'!$B$3:$N$19,13,FALSE)*P578</f>
        <v>0</v>
      </c>
    </row>
    <row r="580" spans="2:18" ht="15.75" customHeight="1" thickBot="1">
      <c r="B580" s="95"/>
      <c r="C580" s="66"/>
      <c r="D580" s="62"/>
      <c r="E580" s="355"/>
      <c r="F580" s="355"/>
      <c r="G580" s="355"/>
      <c r="H580" s="355"/>
      <c r="I580" s="355"/>
      <c r="J580" s="355"/>
      <c r="K580" s="355"/>
      <c r="L580" s="355"/>
      <c r="M580" s="460"/>
      <c r="N580" s="460"/>
      <c r="O580" s="460"/>
      <c r="P580" s="461"/>
    </row>
    <row r="581" spans="2:18" ht="15.75" customHeight="1" thickBot="1">
      <c r="B581" s="254" t="s">
        <v>73</v>
      </c>
      <c r="C581" s="105" t="s">
        <v>73</v>
      </c>
      <c r="D581" s="105" t="s">
        <v>74</v>
      </c>
      <c r="E581" s="462"/>
      <c r="F581" s="463"/>
      <c r="G581" s="464"/>
      <c r="H581" s="464" t="s">
        <v>55</v>
      </c>
      <c r="I581" s="68">
        <v>2</v>
      </c>
      <c r="J581" s="460"/>
      <c r="K581" s="460"/>
      <c r="L581" s="460"/>
      <c r="M581" s="460"/>
      <c r="N581" s="460"/>
      <c r="O581" s="460"/>
      <c r="P581" s="461"/>
    </row>
    <row r="582" spans="2:18" ht="15.75" customHeight="1">
      <c r="B582" s="255" t="str">
        <f>"("&amp;VLOOKUP(C582,NodeList!$D$5:$E$68,2,FALSE)&amp;")"</f>
        <v>(Cook Brothers)</v>
      </c>
      <c r="C582" s="256" t="s">
        <v>274</v>
      </c>
      <c r="D582" s="388">
        <v>0.5</v>
      </c>
      <c r="E582" s="355">
        <f>$D582*((E579*(VLOOKUP(I581,'Option Tables'!$B$23:$F$26,2)))+(P579*(VLOOKUP(I581,'Option Tables'!$B$23:$F$26,3)))+(O579*(VLOOKUP(I581,'Option Tables'!$B$23:$F$26,4))+(N579*(VLOOKUP(I581,'Option Tables'!$B$23:$F$26,5)))))</f>
        <v>0</v>
      </c>
      <c r="F582" s="355">
        <f>$D582*((F579*(VLOOKUP(I581,'Option Tables'!$B$23:$F$26,2)))+(E579*(VLOOKUP(I581,'Option Tables'!$B$23:$F$26,3)))+(P579*(VLOOKUP(I581,'Option Tables'!$B$23:$F$26,4))+(O579*(VLOOKUP(I581,'Option Tables'!$B$23:$F$26,5)))))</f>
        <v>0</v>
      </c>
      <c r="G582" s="355">
        <f>$D582*((G579*(VLOOKUP(I581,'Option Tables'!$B$23:$F$26,2)))+(F579*(VLOOKUP(I581,'Option Tables'!$B$23:$F$26,3)))+(E579*(VLOOKUP(I581,'Option Tables'!$B$23:$F$26,4))+(P579*(VLOOKUP(I581,'Option Tables'!$B$23:$F$26,5)))))</f>
        <v>0</v>
      </c>
      <c r="H582" s="355">
        <f>$D582*((H579*(VLOOKUP(I581,'Option Tables'!$B$23:$F$26,2)))+(G579*(VLOOKUP(I581,'Option Tables'!$B$23:$F$26,3)))+(F579*(VLOOKUP(I581,'Option Tables'!$B$23:$F$26,4))+(E579*(VLOOKUP(I581,'Option Tables'!$B$23:$F$26,5)))))</f>
        <v>0</v>
      </c>
      <c r="I582" s="355">
        <f>$D582*((I579*(VLOOKUP(I581,'Option Tables'!$B$23:$F$26,2)))+(H579*(VLOOKUP(I581,'Option Tables'!$B$23:$F$26,3)))+(G579*(VLOOKUP(I581,'Option Tables'!$B$23:$F$26,4))+(F579*(VLOOKUP(I581,'Option Tables'!$B$23:$F$26,5)))))</f>
        <v>85.842507024793377</v>
      </c>
      <c r="J582" s="355">
        <f>$D582*((J579*(VLOOKUP(I581,'Option Tables'!$B$23:$F$26,2)))+(I579*(VLOOKUP(I581,'Option Tables'!$B$23:$F$26,3)))+(H579*(VLOOKUP(I581,'Option Tables'!$B$23:$F$26,4))+(G579*(VLOOKUP(I581,'Option Tables'!$B$23:$F$26,5)))))</f>
        <v>118.25834907024793</v>
      </c>
      <c r="K582" s="355">
        <f>$D582*((K579*(VLOOKUP(I581,'Option Tables'!$B$23:$F$26,2)))+(J579*(VLOOKUP(I581,'Option Tables'!$B$23:$F$26,3)))+(I579*(VLOOKUP(I581,'Option Tables'!$B$23:$F$26,4))+(H579*(VLOOKUP(I581,'Option Tables'!$B$23:$F$26,5)))))</f>
        <v>121.02811053719006</v>
      </c>
      <c r="L582" s="355">
        <f>$D582*((L579*(VLOOKUP(I581,'Option Tables'!$B$23:$F$26,2)))+(K579*(VLOOKUP(I581,'Option Tables'!$B$23:$F$26,3)))+(J579*(VLOOKUP(I581,'Option Tables'!$B$23:$F$26,4))+(I579*(VLOOKUP(I581,'Option Tables'!$B$23:$F$26,5)))))</f>
        <v>102.32503171487603</v>
      </c>
      <c r="M582" s="355">
        <f>$D582*((M579*(VLOOKUP(I581,'Option Tables'!$B$23:$F$26,2)))+(L579*(VLOOKUP(I581,'Option Tables'!$B$23:$F$26,3)))+(K579*(VLOOKUP(I581,'Option Tables'!$B$23:$F$26,4))+(J579*(VLOOKUP(I581,'Option Tables'!$B$23:$F$26,5)))))</f>
        <v>69.787643491735537</v>
      </c>
      <c r="N582" s="355">
        <f>$D582*((N579*(VLOOKUP(I581,'Option Tables'!$B$23:$F$26,2)))+(M579*(VLOOKUP(I581,'Option Tables'!$B$23:$F$26,3)))+(L579*(VLOOKUP(I581,'Option Tables'!$B$23:$F$26,4))+(K579*(VLOOKUP(I581,'Option Tables'!$B$23:$F$26,5)))))</f>
        <v>20.603883471074379</v>
      </c>
      <c r="O582" s="355">
        <f>$D582*((O579*(VLOOKUP(I581,'Option Tables'!$B$23:$F$26,2)))+(N579*(VLOOKUP(I581,'Option Tables'!$B$23:$F$26,3)))+(M579*(VLOOKUP(I581,'Option Tables'!$B$23:$F$26,4))+(L579*(VLOOKUP(I581,'Option Tables'!$B$23:$F$26,5)))))</f>
        <v>5.6226089876033054</v>
      </c>
      <c r="P582" s="465">
        <f>$D582*((P579*(VLOOKUP(I581,'Option Tables'!$B$23:$F$26,2)))+(O579*(VLOOKUP(I581,'Option Tables'!$B$23:$F$26,3)))+(N579*(VLOOKUP(I581,'Option Tables'!$B$23:$F$26,4))+(M579*(VLOOKUP(I581,'Option Tables'!$B$23:$F$26,5)))))</f>
        <v>0</v>
      </c>
    </row>
    <row r="583" spans="2:18" ht="15.75" customHeight="1">
      <c r="B583" s="255" t="str">
        <f>"("&amp;VLOOKUP(C583,NodeList!$D$5:$E$68,2,FALSE)&amp;")"</f>
        <v>(USGS 10039500:  Bear R. at Border, WY)</v>
      </c>
      <c r="C583" s="256" t="s">
        <v>125</v>
      </c>
      <c r="D583" s="388">
        <v>0.5</v>
      </c>
      <c r="E583" s="355">
        <f>$D583*((E579*(VLOOKUP(I581,'Option Tables'!$B$23:$F$26,2)))+(P579*(VLOOKUP(I581,'Option Tables'!$B$23:$F$26,3)))+(O579*(VLOOKUP(I581,'Option Tables'!$B$23:$F$26,4))+(N579*(VLOOKUP(I581,'Option Tables'!$B$23:$F$26,5)))))</f>
        <v>0</v>
      </c>
      <c r="F583" s="355">
        <f>$D583*((F579*(VLOOKUP(I581,'Option Tables'!$B$23:$F$26,2)))+(E579*(VLOOKUP(I581,'Option Tables'!$B$23:$F$26,3)))+(P579*(VLOOKUP(I581,'Option Tables'!$B$23:$F$26,4))+(O579*(VLOOKUP(I581,'Option Tables'!$B$23:$F$26,5)))))</f>
        <v>0</v>
      </c>
      <c r="G583" s="355">
        <f>$D583*((G579*(VLOOKUP(I581,'Option Tables'!$B$23:$F$26,2)))+(F579*(VLOOKUP(I581,'Option Tables'!$B$23:$F$26,3)))+(E579*(VLOOKUP(I581,'Option Tables'!$B$23:$F$26,4))+(P579*(VLOOKUP(I581,'Option Tables'!$B$23:$F$26,5)))))</f>
        <v>0</v>
      </c>
      <c r="H583" s="355">
        <f>$D583*((H579*(VLOOKUP(I581,'Option Tables'!$B$23:$F$26,2)))+(G579*(VLOOKUP(I581,'Option Tables'!$B$23:$F$26,3)))+(F579*(VLOOKUP(I581,'Option Tables'!$B$23:$F$26,4))+(E579*(VLOOKUP(I581,'Option Tables'!$B$23:$F$26,5)))))</f>
        <v>0</v>
      </c>
      <c r="I583" s="355">
        <f>$D583*((I579*(VLOOKUP(I581,'Option Tables'!$B$23:$F$26,2)))+(H579*(VLOOKUP(I581,'Option Tables'!$B$23:$F$26,3)))+(G579*(VLOOKUP(I581,'Option Tables'!$B$23:$F$26,4))+(F579*(VLOOKUP(I581,'Option Tables'!$B$23:$F$26,5)))))</f>
        <v>85.842507024793377</v>
      </c>
      <c r="J583" s="355">
        <f>$D583*((J579*(VLOOKUP(I581,'Option Tables'!$B$23:$F$26,2)))+(I579*(VLOOKUP(I581,'Option Tables'!$B$23:$F$26,3)))+(H579*(VLOOKUP(I581,'Option Tables'!$B$23:$F$26,4))+(G579*(VLOOKUP(I581,'Option Tables'!$B$23:$F$26,5)))))</f>
        <v>118.25834907024793</v>
      </c>
      <c r="K583" s="355">
        <f>$D583*((K579*(VLOOKUP(I581,'Option Tables'!$B$23:$F$26,2)))+(J579*(VLOOKUP(I581,'Option Tables'!$B$23:$F$26,3)))+(I579*(VLOOKUP(I581,'Option Tables'!$B$23:$F$26,4))+(H579*(VLOOKUP(I581,'Option Tables'!$B$23:$F$26,5)))))</f>
        <v>121.02811053719006</v>
      </c>
      <c r="L583" s="355">
        <f>$D583*((L579*(VLOOKUP(I581,'Option Tables'!$B$23:$F$26,2)))+(K579*(VLOOKUP(I581,'Option Tables'!$B$23:$F$26,3)))+(J579*(VLOOKUP(I581,'Option Tables'!$B$23:$F$26,4))+(I579*(VLOOKUP(I581,'Option Tables'!$B$23:$F$26,5)))))</f>
        <v>102.32503171487603</v>
      </c>
      <c r="M583" s="355">
        <f>$D583*((M579*(VLOOKUP(I581,'Option Tables'!$B$23:$F$26,2)))+(L579*(VLOOKUP(I581,'Option Tables'!$B$23:$F$26,3)))+(K579*(VLOOKUP(I581,'Option Tables'!$B$23:$F$26,4))+(J579*(VLOOKUP(I581,'Option Tables'!$B$23:$F$26,5)))))</f>
        <v>69.787643491735537</v>
      </c>
      <c r="N583" s="355">
        <f>$D583*((N579*(VLOOKUP(I581,'Option Tables'!$B$23:$F$26,2)))+(M579*(VLOOKUP(I581,'Option Tables'!$B$23:$F$26,3)))+(L579*(VLOOKUP(I581,'Option Tables'!$B$23:$F$26,4))+(K579*(VLOOKUP(I581,'Option Tables'!$B$23:$F$26,5)))))</f>
        <v>20.603883471074379</v>
      </c>
      <c r="O583" s="355">
        <f>$D583*((O579*(VLOOKUP(I581,'Option Tables'!$B$23:$F$26,2)))+(N579*(VLOOKUP(I581,'Option Tables'!$B$23:$F$26,3)))+(M579*(VLOOKUP(I581,'Option Tables'!$B$23:$F$26,4))+(L579*(VLOOKUP(I581,'Option Tables'!$B$23:$F$26,5)))))</f>
        <v>5.6226089876033054</v>
      </c>
      <c r="P583" s="465">
        <f>$D583*((P579*(VLOOKUP(I581,'Option Tables'!$B$23:$F$26,2)))+(O579*(VLOOKUP(I581,'Option Tables'!$B$23:$F$26,3)))+(N579*(VLOOKUP(I581,'Option Tables'!$B$23:$F$26,4))+(M579*(VLOOKUP(I581,'Option Tables'!$B$23:$F$26,5)))))</f>
        <v>0</v>
      </c>
    </row>
    <row r="584" spans="2:18" ht="15.75" customHeight="1">
      <c r="B584" s="95"/>
      <c r="C584" s="256"/>
      <c r="D584" s="388">
        <v>0</v>
      </c>
      <c r="E584" s="355">
        <f>$D584*((E579*(VLOOKUP(I581,'Option Tables'!$B$23:$F$26,2)))+(P579*(VLOOKUP(I581,'Option Tables'!$B$23:$F$26,3)))+(O579*(VLOOKUP(I581,'Option Tables'!$B$23:$F$26,4))+(N579*(VLOOKUP(I581,'Option Tables'!$B$23:$F$26,5)))))</f>
        <v>0</v>
      </c>
      <c r="F584" s="355">
        <f>$D584*((F579*(VLOOKUP(I581,'Option Tables'!$B$23:$F$26,2)))+(E579*(VLOOKUP(I581,'Option Tables'!$B$23:$F$26,3)))+(P579*(VLOOKUP(I581,'Option Tables'!$B$23:$F$26,4))+(O579*(VLOOKUP(I581,'Option Tables'!$B$23:$F$26,5)))))</f>
        <v>0</v>
      </c>
      <c r="G584" s="355">
        <f>$D584*((G579*(VLOOKUP(I581,'Option Tables'!$B$23:$F$26,2)))+(F579*(VLOOKUP(I581,'Option Tables'!$B$23:$F$26,3)))+(E579*(VLOOKUP(I581,'Option Tables'!$B$23:$F$26,4))+(P579*(VLOOKUP(I581,'Option Tables'!$B$23:$F$26,5)))))</f>
        <v>0</v>
      </c>
      <c r="H584" s="355">
        <f>$D584*((H579*(VLOOKUP(I581,'Option Tables'!$B$23:$F$26,2)))+(G579*(VLOOKUP(I581,'Option Tables'!$B$23:$F$26,3)))+(F579*(VLOOKUP(I581,'Option Tables'!$B$23:$F$26,4))+(E579*(VLOOKUP(I581,'Option Tables'!$B$23:$F$26,5)))))</f>
        <v>0</v>
      </c>
      <c r="I584" s="355">
        <f>$D584*((I579*(VLOOKUP(I581,'Option Tables'!$B$23:$F$26,2)))+(H579*(VLOOKUP(I581,'Option Tables'!$B$23:$F$26,3)))+(G579*(VLOOKUP(I581,'Option Tables'!$B$23:$F$26,4))+(F579*(VLOOKUP(I581,'Option Tables'!$B$23:$F$26,5)))))</f>
        <v>0</v>
      </c>
      <c r="J584" s="355">
        <f>$D584*((J579*(VLOOKUP(I581,'Option Tables'!$B$23:$F$26,2)))+(I579*(VLOOKUP(I581,'Option Tables'!$B$23:$F$26,3)))+(H579*(VLOOKUP(I581,'Option Tables'!$B$23:$F$26,4))+(G579*(VLOOKUP(I581,'Option Tables'!$B$23:$F$26,5)))))</f>
        <v>0</v>
      </c>
      <c r="K584" s="355">
        <f>$D584*((K579*(VLOOKUP(I581,'Option Tables'!$B$23:$F$26,2)))+(J579*(VLOOKUP(I581,'Option Tables'!$B$23:$F$26,3)))+(I579*(VLOOKUP(I581,'Option Tables'!$B$23:$F$26,4))+(H579*(VLOOKUP(I581,'Option Tables'!$B$23:$F$26,5)))))</f>
        <v>0</v>
      </c>
      <c r="L584" s="355">
        <f>$D584*((L579*(VLOOKUP(I581,'Option Tables'!$B$23:$F$26,2)))+(K579*(VLOOKUP(I581,'Option Tables'!$B$23:$F$26,3)))+(J579*(VLOOKUP(I581,'Option Tables'!$B$23:$F$26,4))+(I579*(VLOOKUP(I581,'Option Tables'!$B$23:$F$26,5)))))</f>
        <v>0</v>
      </c>
      <c r="M584" s="355">
        <f>$D584*((M579*(VLOOKUP(I581,'Option Tables'!$B$23:$F$26,2)))+(L579*(VLOOKUP(I581,'Option Tables'!$B$23:$F$26,3)))+(K579*(VLOOKUP(I581,'Option Tables'!$B$23:$F$26,4))+(J579*(VLOOKUP(I581,'Option Tables'!$B$23:$F$26,5)))))</f>
        <v>0</v>
      </c>
      <c r="N584" s="355">
        <f>$D584*((N579*(VLOOKUP(I581,'Option Tables'!$B$23:$F$26,2)))+(M579*(VLOOKUP(I581,'Option Tables'!$B$23:$F$26,3)))+(L579*(VLOOKUP(I581,'Option Tables'!$B$23:$F$26,4))+(K579*(VLOOKUP(I581,'Option Tables'!$B$23:$F$26,5)))))</f>
        <v>0</v>
      </c>
      <c r="O584" s="355">
        <f>$D584*((O579*(VLOOKUP(I581,'Option Tables'!$B$23:$F$26,2)))+(N579*(VLOOKUP(I581,'Option Tables'!$B$23:$F$26,3)))+(M579*(VLOOKUP(I581,'Option Tables'!$B$23:$F$26,4))+(L579*(VLOOKUP(I581,'Option Tables'!$B$23:$F$26,5)))))</f>
        <v>0</v>
      </c>
      <c r="P584" s="465">
        <f>$D584*((P579*(VLOOKUP(I581,'Option Tables'!$B$23:$F$26,2)))+(O579*(VLOOKUP(I581,'Option Tables'!$B$23:$F$26,3)))+(N579*(VLOOKUP(I581,'Option Tables'!$B$23:$F$26,4))+(M579*(VLOOKUP(I581,'Option Tables'!$B$23:$F$26,5)))))</f>
        <v>0</v>
      </c>
    </row>
    <row r="585" spans="2:18" ht="15.75" customHeight="1">
      <c r="B585" s="95"/>
      <c r="C585" s="256"/>
      <c r="D585" s="388">
        <v>0</v>
      </c>
      <c r="E585" s="355">
        <f>$D585*((E579*(VLOOKUP(I581,'Option Tables'!$B$23:$F$26,2)))+(P579*(VLOOKUP(I581,'Option Tables'!$B$23:$F$26,3)))+(O579*(VLOOKUP(I581,'Option Tables'!$B$23:$F$26,4))+(N579*(VLOOKUP(I581,'Option Tables'!$B$23:$F$26,5)))))</f>
        <v>0</v>
      </c>
      <c r="F585" s="355">
        <f>$D585*((F579*(VLOOKUP(I581,'Option Tables'!$B$23:$F$26,2)))+(E579*(VLOOKUP(I581,'Option Tables'!$B$23:$F$26,3)))+(P579*(VLOOKUP(I581,'Option Tables'!$B$23:$F$26,4))+(O579*(VLOOKUP(I581,'Option Tables'!$B$23:$F$26,5)))))</f>
        <v>0</v>
      </c>
      <c r="G585" s="355">
        <f>$D585*((G579*(VLOOKUP(I581,'Option Tables'!$B$23:$F$26,2)))+(F579*(VLOOKUP(I581,'Option Tables'!$B$23:$F$26,3)))+(E579*(VLOOKUP(I581,'Option Tables'!$B$23:$F$26,4))+(P579*(VLOOKUP(I581,'Option Tables'!$B$23:$F$26,5)))))</f>
        <v>0</v>
      </c>
      <c r="H585" s="355">
        <f>$D585*((H579*(VLOOKUP(I581,'Option Tables'!$B$23:$F$26,2)))+(G579*(VLOOKUP(I581,'Option Tables'!$B$23:$F$26,3)))+(F579*(VLOOKUP(I581,'Option Tables'!$B$23:$F$26,4))+(E579*(VLOOKUP(I581,'Option Tables'!$B$23:$F$26,5)))))</f>
        <v>0</v>
      </c>
      <c r="I585" s="355">
        <f>$D585*((I579*(VLOOKUP(I581,'Option Tables'!$B$23:$F$26,2)))+(H579*(VLOOKUP(I581,'Option Tables'!$B$23:$F$26,3)))+(G579*(VLOOKUP(I581,'Option Tables'!$B$23:$F$26,4))+(F579*(VLOOKUP(I581,'Option Tables'!$B$23:$F$26,5)))))</f>
        <v>0</v>
      </c>
      <c r="J585" s="355">
        <f>$D585*((J579*(VLOOKUP(I581,'Option Tables'!$B$23:$F$26,2)))+(I579*(VLOOKUP(I581,'Option Tables'!$B$23:$F$26,3)))+(H579*(VLOOKUP(I581,'Option Tables'!$B$23:$F$26,4))+(G579*(VLOOKUP(I581,'Option Tables'!$B$23:$F$26,5)))))</f>
        <v>0</v>
      </c>
      <c r="K585" s="355">
        <f>$D585*((K579*(VLOOKUP(I581,'Option Tables'!$B$23:$F$26,2)))+(J579*(VLOOKUP(I581,'Option Tables'!$B$23:$F$26,3)))+(I579*(VLOOKUP(I581,'Option Tables'!$B$23:$F$26,4))+(H579*(VLOOKUP(I581,'Option Tables'!$B$23:$F$26,5)))))</f>
        <v>0</v>
      </c>
      <c r="L585" s="355">
        <f>$D585*((L579*(VLOOKUP(I581,'Option Tables'!$B$23:$F$26,2)))+(K579*(VLOOKUP(I581,'Option Tables'!$B$23:$F$26,3)))+(J579*(VLOOKUP(I581,'Option Tables'!$B$23:$F$26,4))+(I579*(VLOOKUP(I581,'Option Tables'!$B$23:$F$26,5)))))</f>
        <v>0</v>
      </c>
      <c r="M585" s="355">
        <f>$D585*((M579*(VLOOKUP(I581,'Option Tables'!$B$23:$F$26,2)))+(L579*(VLOOKUP(I581,'Option Tables'!$B$23:$F$26,3)))+(K579*(VLOOKUP(I581,'Option Tables'!$B$23:$F$26,4))+(J579*(VLOOKUP(I581,'Option Tables'!$B$23:$F$26,5)))))</f>
        <v>0</v>
      </c>
      <c r="N585" s="355">
        <f>$D585*((N579*(VLOOKUP(I581,'Option Tables'!$B$23:$F$26,2)))+(M579*(VLOOKUP(I581,'Option Tables'!$B$23:$F$26,3)))+(L579*(VLOOKUP(I581,'Option Tables'!$B$23:$F$26,4))+(K579*(VLOOKUP(I581,'Option Tables'!$B$23:$F$26,5)))))</f>
        <v>0</v>
      </c>
      <c r="O585" s="355">
        <f>$D585*((O579*(VLOOKUP(I581,'Option Tables'!$B$23:$F$26,2)))+(N579*(VLOOKUP(I581,'Option Tables'!$B$23:$F$26,3)))+(M579*(VLOOKUP(I581,'Option Tables'!$B$23:$F$26,4))+(L579*(VLOOKUP(I581,'Option Tables'!$B$23:$F$26,5)))))</f>
        <v>0</v>
      </c>
      <c r="P585" s="465">
        <f>$D585*((P579*(VLOOKUP(I581,'Option Tables'!$B$23:$F$26,2)))+(O579*(VLOOKUP(I581,'Option Tables'!$B$23:$F$26,3)))+(N579*(VLOOKUP(I581,'Option Tables'!$B$23:$F$26,4))+(M579*(VLOOKUP(I581,'Option Tables'!$B$23:$F$26,5)))))</f>
        <v>0</v>
      </c>
    </row>
    <row r="586" spans="2:18" ht="15.75" customHeight="1" thickBot="1">
      <c r="B586" s="97"/>
      <c r="C586" s="144" t="str">
        <f>IF(D586&lt;&gt;1,"Must equal %100","")</f>
        <v/>
      </c>
      <c r="D586" s="71">
        <f t="shared" ref="D586:P586" si="56">SUM(D582:D585)</f>
        <v>1</v>
      </c>
      <c r="E586" s="466">
        <f t="shared" si="56"/>
        <v>0</v>
      </c>
      <c r="F586" s="466">
        <f t="shared" si="56"/>
        <v>0</v>
      </c>
      <c r="G586" s="466">
        <f t="shared" si="56"/>
        <v>0</v>
      </c>
      <c r="H586" s="466">
        <f t="shared" si="56"/>
        <v>0</v>
      </c>
      <c r="I586" s="466">
        <f t="shared" si="56"/>
        <v>171.68501404958675</v>
      </c>
      <c r="J586" s="466">
        <f t="shared" si="56"/>
        <v>236.51669814049586</v>
      </c>
      <c r="K586" s="466">
        <f t="shared" si="56"/>
        <v>242.05622107438012</v>
      </c>
      <c r="L586" s="466">
        <f t="shared" si="56"/>
        <v>204.65006342975207</v>
      </c>
      <c r="M586" s="466">
        <f t="shared" si="56"/>
        <v>139.57528698347107</v>
      </c>
      <c r="N586" s="466">
        <f t="shared" si="56"/>
        <v>41.207766942148758</v>
      </c>
      <c r="O586" s="466">
        <f t="shared" si="56"/>
        <v>11.245217975206611</v>
      </c>
      <c r="P586" s="467">
        <f t="shared" si="56"/>
        <v>0</v>
      </c>
      <c r="R586" s="140"/>
    </row>
    <row r="587" spans="2:18" ht="15.75" customHeight="1" thickBot="1">
      <c r="B587" s="85" t="s">
        <v>274</v>
      </c>
      <c r="C587" s="257" t="str">
        <f>VLOOKUP(B587,NodeList!$D$5:$E$73,2,FALSE)</f>
        <v>Cook Brothers</v>
      </c>
      <c r="D587" s="91"/>
      <c r="E587" s="450"/>
      <c r="F587" s="451"/>
      <c r="G587" s="452"/>
      <c r="H587" s="453" t="s">
        <v>54</v>
      </c>
      <c r="I587" s="68">
        <v>40</v>
      </c>
      <c r="J587" s="454"/>
      <c r="K587" s="454"/>
      <c r="L587" s="454"/>
      <c r="M587" s="454"/>
      <c r="N587" s="454"/>
      <c r="O587" s="454"/>
      <c r="P587" s="455"/>
    </row>
    <row r="588" spans="2:18" ht="15.75" customHeight="1">
      <c r="B588" s="94"/>
      <c r="C588" s="66" t="s">
        <v>57</v>
      </c>
      <c r="D588" s="69"/>
      <c r="E588" s="456">
        <f>VLOOKUP($B587,'Diversion Data'!$B$3:$O$227,3,FALSE)</f>
        <v>0</v>
      </c>
      <c r="F588" s="456">
        <f>VLOOKUP($B587,'Diversion Data'!$B$3:$O$227,4,FALSE)</f>
        <v>0</v>
      </c>
      <c r="G588" s="456">
        <f>VLOOKUP($B587,'Diversion Data'!$B$3:$O$227,5,FALSE)</f>
        <v>0</v>
      </c>
      <c r="H588" s="456">
        <f>VLOOKUP($B587,'Diversion Data'!$B$3:$O$227,6,FALSE)</f>
        <v>0</v>
      </c>
      <c r="I588" s="456">
        <f>VLOOKUP($B587,'Diversion Data'!$B$3:$O$227,7,FALSE)</f>
        <v>2435.9259504132233</v>
      </c>
      <c r="J588" s="456">
        <f>VLOOKUP($B587,'Diversion Data'!$B$3:$O$227,8,FALSE)</f>
        <v>2429.5657231404962</v>
      </c>
      <c r="K588" s="456">
        <f>VLOOKUP($B587,'Diversion Data'!$B$3:$O$227,9,FALSE)</f>
        <v>1870.6842045454546</v>
      </c>
      <c r="L588" s="456">
        <f>VLOOKUP($B587,'Diversion Data'!$B$3:$O$227,10,FALSE)</f>
        <v>1851.6399483471075</v>
      </c>
      <c r="M588" s="456">
        <f>VLOOKUP($B587,'Diversion Data'!$B$3:$O$227,11,FALSE)</f>
        <v>1589.912117768595</v>
      </c>
      <c r="N588" s="456">
        <f>VLOOKUP($B587,'Diversion Data'!$B$3:$O$227,12,FALSE)</f>
        <v>0</v>
      </c>
      <c r="O588" s="456">
        <f>VLOOKUP($B587,'Diversion Data'!$B$3:$O$227,13,FALSE)</f>
        <v>0</v>
      </c>
      <c r="P588" s="457">
        <f>VLOOKUP($B587,'Diversion Data'!$B$3:$O$227,14,FALSE)</f>
        <v>0</v>
      </c>
    </row>
    <row r="589" spans="2:18" ht="15.75" customHeight="1">
      <c r="B589" s="95"/>
      <c r="C589" s="72" t="s">
        <v>56</v>
      </c>
      <c r="D589" s="70"/>
      <c r="E589" s="458">
        <f>VLOOKUP($I587,'Option Tables'!$B$3:$N$19,2,FALSE)*E588</f>
        <v>0</v>
      </c>
      <c r="F589" s="458">
        <f>VLOOKUP($I587,'Option Tables'!$B$3:$N$19,3,FALSE)*F588</f>
        <v>0</v>
      </c>
      <c r="G589" s="458">
        <f>VLOOKUP($I587,'Option Tables'!$B$3:$N$19,4,FALSE)*G588</f>
        <v>0</v>
      </c>
      <c r="H589" s="458">
        <f>VLOOKUP($I587,'Option Tables'!$B$3:$N$19,5,FALSE)*H588</f>
        <v>0</v>
      </c>
      <c r="I589" s="458">
        <f>VLOOKUP($I587,'Option Tables'!$B$3:$N$19,6,FALSE)*I588</f>
        <v>1461.5555702479339</v>
      </c>
      <c r="J589" s="458">
        <f>VLOOKUP($I587,'Option Tables'!$B$3:$N$19,7,FALSE)*J588</f>
        <v>1457.7394338842976</v>
      </c>
      <c r="K589" s="458">
        <f>VLOOKUP($I587,'Option Tables'!$B$3:$N$19,8,FALSE)*K588</f>
        <v>1122.4105227272728</v>
      </c>
      <c r="L589" s="458">
        <f>VLOOKUP($I587,'Option Tables'!$B$3:$N$19,9,FALSE)*L588</f>
        <v>1110.9839690082645</v>
      </c>
      <c r="M589" s="458">
        <f>VLOOKUP($I587,'Option Tables'!$B$3:$N$19,10,FALSE)*M588</f>
        <v>953.94727066115695</v>
      </c>
      <c r="N589" s="458">
        <f>VLOOKUP($I587,'Option Tables'!$B$3:$N$19,11,FALSE)*N588</f>
        <v>0</v>
      </c>
      <c r="O589" s="458">
        <f>VLOOKUP($I587,'Option Tables'!$B$3:$N$19,12,FALSE)*O588</f>
        <v>0</v>
      </c>
      <c r="P589" s="459">
        <f>VLOOKUP($I587,'Option Tables'!$B$3:$N$19,13,FALSE)*P588</f>
        <v>0</v>
      </c>
    </row>
    <row r="590" spans="2:18" ht="15.75" customHeight="1" thickBot="1">
      <c r="B590" s="95"/>
      <c r="C590" s="66"/>
      <c r="D590" s="62"/>
      <c r="E590" s="355"/>
      <c r="F590" s="355"/>
      <c r="G590" s="355"/>
      <c r="H590" s="355"/>
      <c r="I590" s="355"/>
      <c r="J590" s="355"/>
      <c r="K590" s="355"/>
      <c r="L590" s="355"/>
      <c r="M590" s="460"/>
      <c r="N590" s="460"/>
      <c r="O590" s="460"/>
      <c r="P590" s="461"/>
    </row>
    <row r="591" spans="2:18" ht="15.75" customHeight="1" thickBot="1">
      <c r="B591" s="254" t="s">
        <v>73</v>
      </c>
      <c r="C591" s="105" t="s">
        <v>73</v>
      </c>
      <c r="D591" s="105" t="s">
        <v>74</v>
      </c>
      <c r="E591" s="462"/>
      <c r="F591" s="463"/>
      <c r="G591" s="464"/>
      <c r="H591" s="464" t="s">
        <v>55</v>
      </c>
      <c r="I591" s="68">
        <v>2</v>
      </c>
      <c r="J591" s="460"/>
      <c r="K591" s="460"/>
      <c r="L591" s="460"/>
      <c r="M591" s="460"/>
      <c r="N591" s="460"/>
      <c r="O591" s="460"/>
      <c r="P591" s="461"/>
    </row>
    <row r="592" spans="2:18" ht="15.75" customHeight="1">
      <c r="B592" s="255" t="str">
        <f>"("&amp;VLOOKUP(C592,NodeList!$D$5:$E$68,2,FALSE)&amp;")"</f>
        <v>(USGS 10039500:  Bear R. at Border, WY)</v>
      </c>
      <c r="C592" s="256" t="s">
        <v>125</v>
      </c>
      <c r="D592" s="388">
        <v>1</v>
      </c>
      <c r="E592" s="355">
        <f>$D592*((E589*(VLOOKUP(I591,'Option Tables'!$B$23:$F$26,2)))+(P589*(VLOOKUP(I591,'Option Tables'!$B$23:$F$26,3)))+(O589*(VLOOKUP(I591,'Option Tables'!$B$23:$F$26,4))+(N589*(VLOOKUP(I591,'Option Tables'!$B$23:$F$26,5)))))</f>
        <v>0</v>
      </c>
      <c r="F592" s="355">
        <f>$D592*((F589*(VLOOKUP(I591,'Option Tables'!$B$23:$F$26,2)))+(E589*(VLOOKUP(I591,'Option Tables'!$B$23:$F$26,3)))+(P589*(VLOOKUP(I591,'Option Tables'!$B$23:$F$26,4))+(O589*(VLOOKUP(I591,'Option Tables'!$B$23:$F$26,5)))))</f>
        <v>0</v>
      </c>
      <c r="G592" s="355">
        <f>$D592*((G589*(VLOOKUP(I591,'Option Tables'!$B$23:$F$26,2)))+(F589*(VLOOKUP(I591,'Option Tables'!$B$23:$F$26,3)))+(E589*(VLOOKUP(I591,'Option Tables'!$B$23:$F$26,4))+(P589*(VLOOKUP(I591,'Option Tables'!$B$23:$F$26,5)))))</f>
        <v>0</v>
      </c>
      <c r="H592" s="355">
        <f>$D592*((H589*(VLOOKUP(I591,'Option Tables'!$B$23:$F$26,2)))+(G589*(VLOOKUP(I591,'Option Tables'!$B$23:$F$26,3)))+(F589*(VLOOKUP(I591,'Option Tables'!$B$23:$F$26,4))+(E589*(VLOOKUP(I591,'Option Tables'!$B$23:$F$26,5)))))</f>
        <v>0</v>
      </c>
      <c r="I592" s="355">
        <f>$D592*((I589*(VLOOKUP(I591,'Option Tables'!$B$23:$F$26,2)))+(H589*(VLOOKUP(I591,'Option Tables'!$B$23:$F$26,3)))+(G589*(VLOOKUP(I591,'Option Tables'!$B$23:$F$26,4))+(F589*(VLOOKUP(I591,'Option Tables'!$B$23:$F$26,5)))))</f>
        <v>1023.0888991735537</v>
      </c>
      <c r="J592" s="355">
        <f>$D592*((J589*(VLOOKUP(I591,'Option Tables'!$B$23:$F$26,2)))+(I589*(VLOOKUP(I591,'Option Tables'!$B$23:$F$26,3)))+(H589*(VLOOKUP(I591,'Option Tables'!$B$23:$F$26,4))+(G589*(VLOOKUP(I591,'Option Tables'!$B$23:$F$26,5)))))</f>
        <v>1312.7287177685951</v>
      </c>
      <c r="K592" s="355">
        <f>$D592*((K589*(VLOOKUP(I591,'Option Tables'!$B$23:$F$26,2)))+(J589*(VLOOKUP(I591,'Option Tables'!$B$23:$F$26,3)))+(I589*(VLOOKUP(I591,'Option Tables'!$B$23:$F$26,4))+(H589*(VLOOKUP(I591,'Option Tables'!$B$23:$F$26,5)))))</f>
        <v>1223.3908097107437</v>
      </c>
      <c r="L592" s="355">
        <f>$D592*((L589*(VLOOKUP(I591,'Option Tables'!$B$23:$F$26,2)))+(K589*(VLOOKUP(I591,'Option Tables'!$B$23:$F$26,3)))+(J589*(VLOOKUP(I591,'Option Tables'!$B$23:$F$26,4))+(I589*(VLOOKUP(I591,'Option Tables'!$B$23:$F$26,5)))))</f>
        <v>1147.9448262396695</v>
      </c>
      <c r="M592" s="355">
        <f>$D592*((M589*(VLOOKUP(I591,'Option Tables'!$B$23:$F$26,2)))+(L589*(VLOOKUP(I591,'Option Tables'!$B$23:$F$26,3)))+(K589*(VLOOKUP(I591,'Option Tables'!$B$23:$F$26,4))+(J589*(VLOOKUP(I591,'Option Tables'!$B$23:$F$26,5)))))</f>
        <v>1002.20093553719</v>
      </c>
      <c r="N592" s="355">
        <f>$D592*((N589*(VLOOKUP(I591,'Option Tables'!$B$23:$F$26,2)))+(M589*(VLOOKUP(I591,'Option Tables'!$B$23:$F$26,3)))+(L589*(VLOOKUP(I591,'Option Tables'!$B$23:$F$26,4))+(K589*(VLOOKUP(I591,'Option Tables'!$B$23:$F$26,5)))))</f>
        <v>301.88785103305787</v>
      </c>
      <c r="O592" s="355">
        <f>$D592*((O589*(VLOOKUP(I591,'Option Tables'!$B$23:$F$26,2)))+(N589*(VLOOKUP(I591,'Option Tables'!$B$23:$F$26,3)))+(M589*(VLOOKUP(I591,'Option Tables'!$B$23:$F$26,4))+(L589*(VLOOKUP(I591,'Option Tables'!$B$23:$F$26,5)))))</f>
        <v>95.394727066115706</v>
      </c>
      <c r="P592" s="465">
        <f>$D592*((P589*(VLOOKUP(I591,'Option Tables'!$B$23:$F$26,2)))+(O589*(VLOOKUP(I591,'Option Tables'!$B$23:$F$26,3)))+(N589*(VLOOKUP(I591,'Option Tables'!$B$23:$F$26,4))+(M589*(VLOOKUP(I591,'Option Tables'!$B$23:$F$26,5)))))</f>
        <v>0</v>
      </c>
    </row>
    <row r="593" spans="1:18" ht="15.75" customHeight="1">
      <c r="B593" s="255" t="str">
        <f>"("&amp;VLOOKUP(C593,NodeList!$D$5:$E$68,2,FALSE)&amp;")"</f>
        <v>(Aggregate Idaho Diversions)</v>
      </c>
      <c r="C593" s="256" t="s">
        <v>239</v>
      </c>
      <c r="D593" s="388">
        <v>0</v>
      </c>
      <c r="E593" s="355">
        <f>$D593*((E589*(VLOOKUP(I591,'Option Tables'!$B$23:$F$26,2)))+(P589*(VLOOKUP(I591,'Option Tables'!$B$23:$F$26,3)))+(O589*(VLOOKUP(I591,'Option Tables'!$B$23:$F$26,4))+(N589*(VLOOKUP(I591,'Option Tables'!$B$23:$F$26,5)))))</f>
        <v>0</v>
      </c>
      <c r="F593" s="355">
        <f>$D593*((F589*(VLOOKUP(I591,'Option Tables'!$B$23:$F$26,2)))+(E589*(VLOOKUP(I591,'Option Tables'!$B$23:$F$26,3)))+(P589*(VLOOKUP(I591,'Option Tables'!$B$23:$F$26,4))+(O589*(VLOOKUP(I591,'Option Tables'!$B$23:$F$26,5)))))</f>
        <v>0</v>
      </c>
      <c r="G593" s="355">
        <f>$D593*((G589*(VLOOKUP(I591,'Option Tables'!$B$23:$F$26,2)))+(F589*(VLOOKUP(I591,'Option Tables'!$B$23:$F$26,3)))+(E589*(VLOOKUP(I591,'Option Tables'!$B$23:$F$26,4))+(P589*(VLOOKUP(I591,'Option Tables'!$B$23:$F$26,5)))))</f>
        <v>0</v>
      </c>
      <c r="H593" s="355">
        <f>$D593*((H589*(VLOOKUP(I591,'Option Tables'!$B$23:$F$26,2)))+(G589*(VLOOKUP(I591,'Option Tables'!$B$23:$F$26,3)))+(F589*(VLOOKUP(I591,'Option Tables'!$B$23:$F$26,4))+(E589*(VLOOKUP(I591,'Option Tables'!$B$23:$F$26,5)))))</f>
        <v>0</v>
      </c>
      <c r="I593" s="355">
        <f>$D593*((I589*(VLOOKUP(I591,'Option Tables'!$B$23:$F$26,2)))+(H589*(VLOOKUP(I591,'Option Tables'!$B$23:$F$26,3)))+(G589*(VLOOKUP(I591,'Option Tables'!$B$23:$F$26,4))+(F589*(VLOOKUP(I591,'Option Tables'!$B$23:$F$26,5)))))</f>
        <v>0</v>
      </c>
      <c r="J593" s="355">
        <f>$D593*((J589*(VLOOKUP(I591,'Option Tables'!$B$23:$F$26,2)))+(I589*(VLOOKUP(I591,'Option Tables'!$B$23:$F$26,3)))+(H589*(VLOOKUP(I591,'Option Tables'!$B$23:$F$26,4))+(G589*(VLOOKUP(I591,'Option Tables'!$B$23:$F$26,5)))))</f>
        <v>0</v>
      </c>
      <c r="K593" s="355">
        <f>$D593*((K589*(VLOOKUP(I591,'Option Tables'!$B$23:$F$26,2)))+(J589*(VLOOKUP(I591,'Option Tables'!$B$23:$F$26,3)))+(I589*(VLOOKUP(I591,'Option Tables'!$B$23:$F$26,4))+(H589*(VLOOKUP(I591,'Option Tables'!$B$23:$F$26,5)))))</f>
        <v>0</v>
      </c>
      <c r="L593" s="355">
        <f>$D593*((L589*(VLOOKUP(I591,'Option Tables'!$B$23:$F$26,2)))+(K589*(VLOOKUP(I591,'Option Tables'!$B$23:$F$26,3)))+(J589*(VLOOKUP(I591,'Option Tables'!$B$23:$F$26,4))+(I589*(VLOOKUP(I591,'Option Tables'!$B$23:$F$26,5)))))</f>
        <v>0</v>
      </c>
      <c r="M593" s="355">
        <f>$D593*((M589*(VLOOKUP(I591,'Option Tables'!$B$23:$F$26,2)))+(L589*(VLOOKUP(I591,'Option Tables'!$B$23:$F$26,3)))+(K589*(VLOOKUP(I591,'Option Tables'!$B$23:$F$26,4))+(J589*(VLOOKUP(I591,'Option Tables'!$B$23:$F$26,5)))))</f>
        <v>0</v>
      </c>
      <c r="N593" s="355">
        <f>$D593*((N589*(VLOOKUP(I591,'Option Tables'!$B$23:$F$26,2)))+(M589*(VLOOKUP(I591,'Option Tables'!$B$23:$F$26,3)))+(L589*(VLOOKUP(I591,'Option Tables'!$B$23:$F$26,4))+(K589*(VLOOKUP(I591,'Option Tables'!$B$23:$F$26,5)))))</f>
        <v>0</v>
      </c>
      <c r="O593" s="355">
        <f>$D593*((O589*(VLOOKUP(I591,'Option Tables'!$B$23:$F$26,2)))+(N589*(VLOOKUP(I591,'Option Tables'!$B$23:$F$26,3)))+(M589*(VLOOKUP(I591,'Option Tables'!$B$23:$F$26,4))+(L589*(VLOOKUP(I591,'Option Tables'!$B$23:$F$26,5)))))</f>
        <v>0</v>
      </c>
      <c r="P593" s="465">
        <f>$D593*((P589*(VLOOKUP(I591,'Option Tables'!$B$23:$F$26,2)))+(O589*(VLOOKUP(I591,'Option Tables'!$B$23:$F$26,3)))+(N589*(VLOOKUP(I591,'Option Tables'!$B$23:$F$26,4))+(M589*(VLOOKUP(I591,'Option Tables'!$B$23:$F$26,5)))))</f>
        <v>0</v>
      </c>
    </row>
    <row r="594" spans="1:18" ht="15.75" customHeight="1">
      <c r="B594" s="95"/>
      <c r="C594" s="256"/>
      <c r="D594" s="388">
        <v>0</v>
      </c>
      <c r="E594" s="355">
        <f>$D594*((E589*(VLOOKUP(I591,'Option Tables'!$B$23:$F$26,2)))+(P589*(VLOOKUP(I591,'Option Tables'!$B$23:$F$26,3)))+(O589*(VLOOKUP(I591,'Option Tables'!$B$23:$F$26,4))+(N589*(VLOOKUP(I591,'Option Tables'!$B$23:$F$26,5)))))</f>
        <v>0</v>
      </c>
      <c r="F594" s="355">
        <f>$D594*((F589*(VLOOKUP(I591,'Option Tables'!$B$23:$F$26,2)))+(E589*(VLOOKUP(I591,'Option Tables'!$B$23:$F$26,3)))+(P589*(VLOOKUP(I591,'Option Tables'!$B$23:$F$26,4))+(O589*(VLOOKUP(I591,'Option Tables'!$B$23:$F$26,5)))))</f>
        <v>0</v>
      </c>
      <c r="G594" s="355">
        <f>$D594*((G589*(VLOOKUP(I591,'Option Tables'!$B$23:$F$26,2)))+(F589*(VLOOKUP(I591,'Option Tables'!$B$23:$F$26,3)))+(E589*(VLOOKUP(I591,'Option Tables'!$B$23:$F$26,4))+(P589*(VLOOKUP(I591,'Option Tables'!$B$23:$F$26,5)))))</f>
        <v>0</v>
      </c>
      <c r="H594" s="355">
        <f>$D594*((H589*(VLOOKUP(I591,'Option Tables'!$B$23:$F$26,2)))+(G589*(VLOOKUP(I591,'Option Tables'!$B$23:$F$26,3)))+(F589*(VLOOKUP(I591,'Option Tables'!$B$23:$F$26,4))+(E589*(VLOOKUP(I591,'Option Tables'!$B$23:$F$26,5)))))</f>
        <v>0</v>
      </c>
      <c r="I594" s="355">
        <f>$D594*((I589*(VLOOKUP(I591,'Option Tables'!$B$23:$F$26,2)))+(H589*(VLOOKUP(I591,'Option Tables'!$B$23:$F$26,3)))+(G589*(VLOOKUP(I591,'Option Tables'!$B$23:$F$26,4))+(F589*(VLOOKUP(I591,'Option Tables'!$B$23:$F$26,5)))))</f>
        <v>0</v>
      </c>
      <c r="J594" s="355">
        <f>$D594*((J589*(VLOOKUP(I591,'Option Tables'!$B$23:$F$26,2)))+(I589*(VLOOKUP(I591,'Option Tables'!$B$23:$F$26,3)))+(H589*(VLOOKUP(I591,'Option Tables'!$B$23:$F$26,4))+(G589*(VLOOKUP(I591,'Option Tables'!$B$23:$F$26,5)))))</f>
        <v>0</v>
      </c>
      <c r="K594" s="355">
        <f>$D594*((K589*(VLOOKUP(I591,'Option Tables'!$B$23:$F$26,2)))+(J589*(VLOOKUP(I591,'Option Tables'!$B$23:$F$26,3)))+(I589*(VLOOKUP(I591,'Option Tables'!$B$23:$F$26,4))+(H589*(VLOOKUP(I591,'Option Tables'!$B$23:$F$26,5)))))</f>
        <v>0</v>
      </c>
      <c r="L594" s="355">
        <f>$D594*((L589*(VLOOKUP(I591,'Option Tables'!$B$23:$F$26,2)))+(K589*(VLOOKUP(I591,'Option Tables'!$B$23:$F$26,3)))+(J589*(VLOOKUP(I591,'Option Tables'!$B$23:$F$26,4))+(I589*(VLOOKUP(I591,'Option Tables'!$B$23:$F$26,5)))))</f>
        <v>0</v>
      </c>
      <c r="M594" s="355">
        <f>$D594*((M589*(VLOOKUP(I591,'Option Tables'!$B$23:$F$26,2)))+(L589*(VLOOKUP(I591,'Option Tables'!$B$23:$F$26,3)))+(K589*(VLOOKUP(I591,'Option Tables'!$B$23:$F$26,4))+(J589*(VLOOKUP(I591,'Option Tables'!$B$23:$F$26,5)))))</f>
        <v>0</v>
      </c>
      <c r="N594" s="355">
        <f>$D594*((N589*(VLOOKUP(I591,'Option Tables'!$B$23:$F$26,2)))+(M589*(VLOOKUP(I591,'Option Tables'!$B$23:$F$26,3)))+(L589*(VLOOKUP(I591,'Option Tables'!$B$23:$F$26,4))+(K589*(VLOOKUP(I591,'Option Tables'!$B$23:$F$26,5)))))</f>
        <v>0</v>
      </c>
      <c r="O594" s="355">
        <f>$D594*((O589*(VLOOKUP(I591,'Option Tables'!$B$23:$F$26,2)))+(N589*(VLOOKUP(I591,'Option Tables'!$B$23:$F$26,3)))+(M589*(VLOOKUP(I591,'Option Tables'!$B$23:$F$26,4))+(L589*(VLOOKUP(I591,'Option Tables'!$B$23:$F$26,5)))))</f>
        <v>0</v>
      </c>
      <c r="P594" s="465">
        <f>$D594*((P589*(VLOOKUP(I591,'Option Tables'!$B$23:$F$26,2)))+(O589*(VLOOKUP(I591,'Option Tables'!$B$23:$F$26,3)))+(N589*(VLOOKUP(I591,'Option Tables'!$B$23:$F$26,4))+(M589*(VLOOKUP(I591,'Option Tables'!$B$23:$F$26,5)))))</f>
        <v>0</v>
      </c>
    </row>
    <row r="595" spans="1:18" ht="15.75" customHeight="1">
      <c r="B595" s="95"/>
      <c r="C595" s="256"/>
      <c r="D595" s="388">
        <v>0</v>
      </c>
      <c r="E595" s="355">
        <f>$D595*((E589*(VLOOKUP(I591,'Option Tables'!$B$23:$F$26,2)))+(P589*(VLOOKUP(I591,'Option Tables'!$B$23:$F$26,3)))+(O589*(VLOOKUP(I591,'Option Tables'!$B$23:$F$26,4))+(N589*(VLOOKUP(I591,'Option Tables'!$B$23:$F$26,5)))))</f>
        <v>0</v>
      </c>
      <c r="F595" s="355">
        <f>$D595*((F589*(VLOOKUP(I591,'Option Tables'!$B$23:$F$26,2)))+(E589*(VLOOKUP(I591,'Option Tables'!$B$23:$F$26,3)))+(P589*(VLOOKUP(I591,'Option Tables'!$B$23:$F$26,4))+(O589*(VLOOKUP(I591,'Option Tables'!$B$23:$F$26,5)))))</f>
        <v>0</v>
      </c>
      <c r="G595" s="355">
        <f>$D595*((G589*(VLOOKUP(I591,'Option Tables'!$B$23:$F$26,2)))+(F589*(VLOOKUP(I591,'Option Tables'!$B$23:$F$26,3)))+(E589*(VLOOKUP(I591,'Option Tables'!$B$23:$F$26,4))+(P589*(VLOOKUP(I591,'Option Tables'!$B$23:$F$26,5)))))</f>
        <v>0</v>
      </c>
      <c r="H595" s="355">
        <f>$D595*((H589*(VLOOKUP(I591,'Option Tables'!$B$23:$F$26,2)))+(G589*(VLOOKUP(I591,'Option Tables'!$B$23:$F$26,3)))+(F589*(VLOOKUP(I591,'Option Tables'!$B$23:$F$26,4))+(E589*(VLOOKUP(I591,'Option Tables'!$B$23:$F$26,5)))))</f>
        <v>0</v>
      </c>
      <c r="I595" s="355">
        <f>$D595*((I589*(VLOOKUP(I591,'Option Tables'!$B$23:$F$26,2)))+(H589*(VLOOKUP(I591,'Option Tables'!$B$23:$F$26,3)))+(G589*(VLOOKUP(I591,'Option Tables'!$B$23:$F$26,4))+(F589*(VLOOKUP(I591,'Option Tables'!$B$23:$F$26,5)))))</f>
        <v>0</v>
      </c>
      <c r="J595" s="355">
        <f>$D595*((J589*(VLOOKUP(I591,'Option Tables'!$B$23:$F$26,2)))+(I589*(VLOOKUP(I591,'Option Tables'!$B$23:$F$26,3)))+(H589*(VLOOKUP(I591,'Option Tables'!$B$23:$F$26,4))+(G589*(VLOOKUP(I591,'Option Tables'!$B$23:$F$26,5)))))</f>
        <v>0</v>
      </c>
      <c r="K595" s="355">
        <f>$D595*((K589*(VLOOKUP(I591,'Option Tables'!$B$23:$F$26,2)))+(J589*(VLOOKUP(I591,'Option Tables'!$B$23:$F$26,3)))+(I589*(VLOOKUP(I591,'Option Tables'!$B$23:$F$26,4))+(H589*(VLOOKUP(I591,'Option Tables'!$B$23:$F$26,5)))))</f>
        <v>0</v>
      </c>
      <c r="L595" s="355">
        <f>$D595*((L589*(VLOOKUP(I591,'Option Tables'!$B$23:$F$26,2)))+(K589*(VLOOKUP(I591,'Option Tables'!$B$23:$F$26,3)))+(J589*(VLOOKUP(I591,'Option Tables'!$B$23:$F$26,4))+(I589*(VLOOKUP(I591,'Option Tables'!$B$23:$F$26,5)))))</f>
        <v>0</v>
      </c>
      <c r="M595" s="355">
        <f>$D595*((M589*(VLOOKUP(I591,'Option Tables'!$B$23:$F$26,2)))+(L589*(VLOOKUP(I591,'Option Tables'!$B$23:$F$26,3)))+(K589*(VLOOKUP(I591,'Option Tables'!$B$23:$F$26,4))+(J589*(VLOOKUP(I591,'Option Tables'!$B$23:$F$26,5)))))</f>
        <v>0</v>
      </c>
      <c r="N595" s="355">
        <f>$D595*((N589*(VLOOKUP(I591,'Option Tables'!$B$23:$F$26,2)))+(M589*(VLOOKUP(I591,'Option Tables'!$B$23:$F$26,3)))+(L589*(VLOOKUP(I591,'Option Tables'!$B$23:$F$26,4))+(K589*(VLOOKUP(I591,'Option Tables'!$B$23:$F$26,5)))))</f>
        <v>0</v>
      </c>
      <c r="O595" s="355">
        <f>$D595*((O589*(VLOOKUP(I591,'Option Tables'!$B$23:$F$26,2)))+(N589*(VLOOKUP(I591,'Option Tables'!$B$23:$F$26,3)))+(M589*(VLOOKUP(I591,'Option Tables'!$B$23:$F$26,4))+(L589*(VLOOKUP(I591,'Option Tables'!$B$23:$F$26,5)))))</f>
        <v>0</v>
      </c>
      <c r="P595" s="465">
        <f>$D595*((P589*(VLOOKUP(I591,'Option Tables'!$B$23:$F$26,2)))+(O589*(VLOOKUP(I591,'Option Tables'!$B$23:$F$26,3)))+(N589*(VLOOKUP(I591,'Option Tables'!$B$23:$F$26,4))+(M589*(VLOOKUP(I591,'Option Tables'!$B$23:$F$26,5)))))</f>
        <v>0</v>
      </c>
    </row>
    <row r="596" spans="1:18" ht="15.75" customHeight="1" thickBot="1">
      <c r="B596" s="97"/>
      <c r="C596" s="144" t="str">
        <f>IF(D596&lt;&gt;1,"Must equal %100","")</f>
        <v/>
      </c>
      <c r="D596" s="71">
        <f t="shared" ref="D596:P596" si="57">SUM(D592:D595)</f>
        <v>1</v>
      </c>
      <c r="E596" s="466">
        <f t="shared" si="57"/>
        <v>0</v>
      </c>
      <c r="F596" s="466">
        <f t="shared" si="57"/>
        <v>0</v>
      </c>
      <c r="G596" s="466">
        <f t="shared" si="57"/>
        <v>0</v>
      </c>
      <c r="H596" s="466">
        <f t="shared" si="57"/>
        <v>0</v>
      </c>
      <c r="I596" s="466">
        <f t="shared" si="57"/>
        <v>1023.0888991735537</v>
      </c>
      <c r="J596" s="466">
        <f t="shared" si="57"/>
        <v>1312.7287177685951</v>
      </c>
      <c r="K596" s="466">
        <f t="shared" si="57"/>
        <v>1223.3908097107437</v>
      </c>
      <c r="L596" s="466">
        <f t="shared" si="57"/>
        <v>1147.9448262396695</v>
      </c>
      <c r="M596" s="466">
        <f t="shared" si="57"/>
        <v>1002.20093553719</v>
      </c>
      <c r="N596" s="466">
        <f t="shared" si="57"/>
        <v>301.88785103305787</v>
      </c>
      <c r="O596" s="466">
        <f t="shared" si="57"/>
        <v>95.394727066115706</v>
      </c>
      <c r="P596" s="467">
        <f t="shared" si="57"/>
        <v>0</v>
      </c>
      <c r="R596" s="140"/>
    </row>
    <row r="597" spans="1:18" ht="15.75" customHeight="1" thickBot="1">
      <c r="A597" s="142" t="s">
        <v>277</v>
      </c>
      <c r="B597" s="95"/>
      <c r="C597" s="205"/>
      <c r="D597" s="98"/>
      <c r="E597" s="355"/>
      <c r="F597" s="358"/>
      <c r="G597" s="358"/>
      <c r="H597" s="358"/>
      <c r="I597" s="358"/>
      <c r="J597" s="355"/>
      <c r="K597" s="355"/>
      <c r="L597" s="355"/>
      <c r="M597" s="355"/>
      <c r="N597" s="355"/>
      <c r="O597" s="355"/>
      <c r="P597" s="465"/>
    </row>
    <row r="598" spans="1:18" ht="15.75" customHeight="1" thickBot="1">
      <c r="B598" s="85" t="s">
        <v>125</v>
      </c>
      <c r="C598" s="284" t="str">
        <f>VLOOKUP(B598,NodeList!$D$5:$E$73,2,FALSE)</f>
        <v>USGS 10039500:  Bear R. at Border, WY</v>
      </c>
      <c r="D598" s="91"/>
      <c r="E598" s="450"/>
      <c r="F598" s="451"/>
      <c r="G598" s="452"/>
      <c r="H598" s="453" t="s">
        <v>54</v>
      </c>
      <c r="I598" s="68">
        <v>40</v>
      </c>
      <c r="J598" s="454"/>
      <c r="K598" s="454"/>
      <c r="L598" s="454"/>
      <c r="M598" s="454"/>
      <c r="N598" s="454"/>
      <c r="O598" s="454"/>
      <c r="P598" s="455"/>
    </row>
    <row r="599" spans="1:18" ht="15.75" customHeight="1">
      <c r="B599" s="94"/>
      <c r="C599" s="66" t="s">
        <v>57</v>
      </c>
      <c r="D599" s="69"/>
      <c r="E599" s="456">
        <f>VLOOKUP($B598,'Diversion Data'!$B$3:$O$227,3,FALSE)</f>
        <v>0</v>
      </c>
      <c r="F599" s="456">
        <f>VLOOKUP($B598,'Diversion Data'!$B$3:$O$227,4,FALSE)</f>
        <v>0</v>
      </c>
      <c r="G599" s="456">
        <f>VLOOKUP($B598,'Diversion Data'!$B$3:$O$227,5,FALSE)</f>
        <v>0</v>
      </c>
      <c r="H599" s="456">
        <f>VLOOKUP($B598,'Diversion Data'!$B$3:$O$227,6,FALSE)</f>
        <v>0</v>
      </c>
      <c r="I599" s="456">
        <f>VLOOKUP($B598,'Diversion Data'!$B$3:$O$227,7,FALSE)</f>
        <v>0</v>
      </c>
      <c r="J599" s="456">
        <f>VLOOKUP($B598,'Diversion Data'!$B$3:$O$227,8,FALSE)</f>
        <v>0</v>
      </c>
      <c r="K599" s="456">
        <f>VLOOKUP($B598,'Diversion Data'!$B$3:$O$227,9,FALSE)</f>
        <v>0</v>
      </c>
      <c r="L599" s="456">
        <f>VLOOKUP($B598,'Diversion Data'!$B$3:$O$227,10,FALSE)</f>
        <v>0</v>
      </c>
      <c r="M599" s="456">
        <f>VLOOKUP($B598,'Diversion Data'!$B$3:$O$227,11,FALSE)</f>
        <v>0</v>
      </c>
      <c r="N599" s="456">
        <f>VLOOKUP($B598,'Diversion Data'!$B$3:$O$227,12,FALSE)</f>
        <v>0</v>
      </c>
      <c r="O599" s="456">
        <f>VLOOKUP($B598,'Diversion Data'!$B$3:$O$227,13,FALSE)</f>
        <v>0</v>
      </c>
      <c r="P599" s="457">
        <f>VLOOKUP($B598,'Diversion Data'!$B$3:$O$227,14,FALSE)</f>
        <v>0</v>
      </c>
    </row>
    <row r="600" spans="1:18" ht="15.75" customHeight="1">
      <c r="B600" s="95"/>
      <c r="C600" s="72" t="s">
        <v>56</v>
      </c>
      <c r="D600" s="70"/>
      <c r="E600" s="458">
        <f>VLOOKUP($I598,'Option Tables'!$B$3:$N$19,2,FALSE)*E599</f>
        <v>0</v>
      </c>
      <c r="F600" s="458">
        <f>VLOOKUP($I598,'Option Tables'!$B$3:$N$19,3,FALSE)*F599</f>
        <v>0</v>
      </c>
      <c r="G600" s="458">
        <f>VLOOKUP($I598,'Option Tables'!$B$3:$N$19,4,FALSE)*G599</f>
        <v>0</v>
      </c>
      <c r="H600" s="458">
        <f>VLOOKUP($I598,'Option Tables'!$B$3:$N$19,5,FALSE)*H599</f>
        <v>0</v>
      </c>
      <c r="I600" s="458">
        <f>VLOOKUP($I598,'Option Tables'!$B$3:$N$19,6,FALSE)*I599</f>
        <v>0</v>
      </c>
      <c r="J600" s="458">
        <f>VLOOKUP($I598,'Option Tables'!$B$3:$N$19,7,FALSE)*J599</f>
        <v>0</v>
      </c>
      <c r="K600" s="458">
        <f>VLOOKUP($I598,'Option Tables'!$B$3:$N$19,8,FALSE)*K599</f>
        <v>0</v>
      </c>
      <c r="L600" s="458">
        <f>VLOOKUP($I598,'Option Tables'!$B$3:$N$19,9,FALSE)*L599</f>
        <v>0</v>
      </c>
      <c r="M600" s="458">
        <f>VLOOKUP($I598,'Option Tables'!$B$3:$N$19,10,FALSE)*M599</f>
        <v>0</v>
      </c>
      <c r="N600" s="458">
        <f>VLOOKUP($I598,'Option Tables'!$B$3:$N$19,11,FALSE)*N599</f>
        <v>0</v>
      </c>
      <c r="O600" s="458">
        <f>VLOOKUP($I598,'Option Tables'!$B$3:$N$19,12,FALSE)*O599</f>
        <v>0</v>
      </c>
      <c r="P600" s="459">
        <f>VLOOKUP($I598,'Option Tables'!$B$3:$N$19,13,FALSE)*P599</f>
        <v>0</v>
      </c>
    </row>
    <row r="601" spans="1:18" ht="15.75" customHeight="1" thickBot="1">
      <c r="B601" s="95"/>
      <c r="C601" s="66"/>
      <c r="D601" s="62"/>
      <c r="E601" s="355"/>
      <c r="F601" s="355"/>
      <c r="G601" s="355"/>
      <c r="H601" s="355"/>
      <c r="I601" s="355"/>
      <c r="J601" s="355"/>
      <c r="K601" s="355"/>
      <c r="L601" s="355"/>
      <c r="M601" s="460"/>
      <c r="N601" s="460"/>
      <c r="O601" s="460"/>
      <c r="P601" s="461"/>
    </row>
    <row r="602" spans="1:18" ht="15.75" customHeight="1" thickBot="1">
      <c r="B602" s="254" t="s">
        <v>73</v>
      </c>
      <c r="C602" s="105" t="s">
        <v>73</v>
      </c>
      <c r="D602" s="105" t="s">
        <v>74</v>
      </c>
      <c r="E602" s="462"/>
      <c r="F602" s="463"/>
      <c r="G602" s="464"/>
      <c r="H602" s="464" t="s">
        <v>55</v>
      </c>
      <c r="I602" s="68">
        <v>2</v>
      </c>
      <c r="J602" s="460"/>
      <c r="K602" s="460"/>
      <c r="L602" s="460"/>
      <c r="M602" s="460"/>
      <c r="N602" s="460"/>
      <c r="O602" s="460"/>
      <c r="P602" s="461"/>
    </row>
    <row r="603" spans="1:18" ht="15.75" customHeight="1">
      <c r="B603" s="255" t="e">
        <f>"("&amp;VLOOKUP(C603,NodeList!$D$5:$E$70,2,FALSE)&amp;")"</f>
        <v>#N/A</v>
      </c>
      <c r="C603" s="256"/>
      <c r="D603" s="388">
        <v>1</v>
      </c>
      <c r="E603" s="355">
        <f>$D603*((E600*(VLOOKUP(I602,'Option Tables'!$B$23:$F$26,2)))+(P600*(VLOOKUP(I602,'Option Tables'!$B$23:$F$26,3)))+(O600*(VLOOKUP(I602,'Option Tables'!$B$23:$F$26,4))+(N600*(VLOOKUP(I602,'Option Tables'!$B$23:$F$26,5)))))</f>
        <v>0</v>
      </c>
      <c r="F603" s="355">
        <f>$D603*((F600*(VLOOKUP(I602,'Option Tables'!$B$23:$F$26,2)))+(E600*(VLOOKUP(I602,'Option Tables'!$B$23:$F$26,3)))+(P600*(VLOOKUP(I602,'Option Tables'!$B$23:$F$26,4))+(O600*(VLOOKUP(I602,'Option Tables'!$B$23:$F$26,5)))))</f>
        <v>0</v>
      </c>
      <c r="G603" s="355">
        <f>$D603*((G600*(VLOOKUP(I602,'Option Tables'!$B$23:$F$26,2)))+(F600*(VLOOKUP(I602,'Option Tables'!$B$23:$F$26,3)))+(E600*(VLOOKUP(I602,'Option Tables'!$B$23:$F$26,4))+(P600*(VLOOKUP(I602,'Option Tables'!$B$23:$F$26,5)))))</f>
        <v>0</v>
      </c>
      <c r="H603" s="355">
        <f>$D603*((H600*(VLOOKUP(I602,'Option Tables'!$B$23:$F$26,2)))+(G600*(VLOOKUP(I602,'Option Tables'!$B$23:$F$26,3)))+(F600*(VLOOKUP(I602,'Option Tables'!$B$23:$F$26,4))+(E600*(VLOOKUP(I602,'Option Tables'!$B$23:$F$26,5)))))</f>
        <v>0</v>
      </c>
      <c r="I603" s="355">
        <f>$D603*((I600*(VLOOKUP(I602,'Option Tables'!$B$23:$F$26,2)))+(H600*(VLOOKUP(I602,'Option Tables'!$B$23:$F$26,3)))+(G600*(VLOOKUP(I602,'Option Tables'!$B$23:$F$26,4))+(F600*(VLOOKUP(I602,'Option Tables'!$B$23:$F$26,5)))))</f>
        <v>0</v>
      </c>
      <c r="J603" s="355">
        <f>$D603*((J600*(VLOOKUP(I602,'Option Tables'!$B$23:$F$26,2)))+(I600*(VLOOKUP(I602,'Option Tables'!$B$23:$F$26,3)))+(H600*(VLOOKUP(I602,'Option Tables'!$B$23:$F$26,4))+(G600*(VLOOKUP(I602,'Option Tables'!$B$23:$F$26,5)))))</f>
        <v>0</v>
      </c>
      <c r="K603" s="355">
        <f>$D603*((K600*(VLOOKUP(I602,'Option Tables'!$B$23:$F$26,2)))+(J600*(VLOOKUP(I602,'Option Tables'!$B$23:$F$26,3)))+(I600*(VLOOKUP(I602,'Option Tables'!$B$23:$F$26,4))+(H600*(VLOOKUP(I602,'Option Tables'!$B$23:$F$26,5)))))</f>
        <v>0</v>
      </c>
      <c r="L603" s="355">
        <f>$D603*((L600*(VLOOKUP(I602,'Option Tables'!$B$23:$F$26,2)))+(K600*(VLOOKUP(I602,'Option Tables'!$B$23:$F$26,3)))+(J600*(VLOOKUP(I602,'Option Tables'!$B$23:$F$26,4))+(I600*(VLOOKUP(I602,'Option Tables'!$B$23:$F$26,5)))))</f>
        <v>0</v>
      </c>
      <c r="M603" s="355">
        <f>$D603*((M600*(VLOOKUP(I602,'Option Tables'!$B$23:$F$26,2)))+(L600*(VLOOKUP(I602,'Option Tables'!$B$23:$F$26,3)))+(K600*(VLOOKUP(I602,'Option Tables'!$B$23:$F$26,4))+(J600*(VLOOKUP(I602,'Option Tables'!$B$23:$F$26,5)))))</f>
        <v>0</v>
      </c>
      <c r="N603" s="355">
        <f>$D603*((N600*(VLOOKUP(I602,'Option Tables'!$B$23:$F$26,2)))+(M600*(VLOOKUP(I602,'Option Tables'!$B$23:$F$26,3)))+(L600*(VLOOKUP(I602,'Option Tables'!$B$23:$F$26,4))+(K600*(VLOOKUP(I602,'Option Tables'!$B$23:$F$26,5)))))</f>
        <v>0</v>
      </c>
      <c r="O603" s="355">
        <f>$D603*((O600*(VLOOKUP(I602,'Option Tables'!$B$23:$F$26,2)))+(N600*(VLOOKUP(I602,'Option Tables'!$B$23:$F$26,3)))+(M600*(VLOOKUP(I602,'Option Tables'!$B$23:$F$26,4))+(L600*(VLOOKUP(I602,'Option Tables'!$B$23:$F$26,5)))))</f>
        <v>0</v>
      </c>
      <c r="P603" s="465">
        <f>$D603*((P600*(VLOOKUP(I602,'Option Tables'!$B$23:$F$26,2)))+(O600*(VLOOKUP(I602,'Option Tables'!$B$23:$F$26,3)))+(N600*(VLOOKUP(I602,'Option Tables'!$B$23:$F$26,4))+(M600*(VLOOKUP(I602,'Option Tables'!$B$23:$F$26,5)))))</f>
        <v>0</v>
      </c>
    </row>
    <row r="604" spans="1:18" ht="15.75" customHeight="1">
      <c r="B604" s="95"/>
      <c r="C604" s="256"/>
      <c r="D604" s="388">
        <v>0</v>
      </c>
      <c r="E604" s="355">
        <f>$D604*((E600*(VLOOKUP(I602,'Option Tables'!$B$23:$F$26,2)))+(P600*(VLOOKUP(I602,'Option Tables'!$B$23:$F$26,3)))+(O600*(VLOOKUP(I602,'Option Tables'!$B$23:$F$26,4))+(N600*(VLOOKUP(I602,'Option Tables'!$B$23:$F$26,5)))))</f>
        <v>0</v>
      </c>
      <c r="F604" s="355">
        <f>$D604*((F600*(VLOOKUP(I602,'Option Tables'!$B$23:$F$26,2)))+(E600*(VLOOKUP(I602,'Option Tables'!$B$23:$F$26,3)))+(P600*(VLOOKUP(I602,'Option Tables'!$B$23:$F$26,4))+(O600*(VLOOKUP(I602,'Option Tables'!$B$23:$F$26,5)))))</f>
        <v>0</v>
      </c>
      <c r="G604" s="355">
        <f>$D604*((G600*(VLOOKUP(I602,'Option Tables'!$B$23:$F$26,2)))+(F600*(VLOOKUP(I602,'Option Tables'!$B$23:$F$26,3)))+(E600*(VLOOKUP(I602,'Option Tables'!$B$23:$F$26,4))+(P600*(VLOOKUP(I602,'Option Tables'!$B$23:$F$26,5)))))</f>
        <v>0</v>
      </c>
      <c r="H604" s="355">
        <f>$D604*((H600*(VLOOKUP(I602,'Option Tables'!$B$23:$F$26,2)))+(G600*(VLOOKUP(I602,'Option Tables'!$B$23:$F$26,3)))+(F600*(VLOOKUP(I602,'Option Tables'!$B$23:$F$26,4))+(E600*(VLOOKUP(I602,'Option Tables'!$B$23:$F$26,5)))))</f>
        <v>0</v>
      </c>
      <c r="I604" s="355">
        <f>$D604*((I600*(VLOOKUP(I602,'Option Tables'!$B$23:$F$26,2)))+(H600*(VLOOKUP(I602,'Option Tables'!$B$23:$F$26,3)))+(G600*(VLOOKUP(I602,'Option Tables'!$B$23:$F$26,4))+(F600*(VLOOKUP(I602,'Option Tables'!$B$23:$F$26,5)))))</f>
        <v>0</v>
      </c>
      <c r="J604" s="355">
        <f>$D604*((J600*(VLOOKUP(I602,'Option Tables'!$B$23:$F$26,2)))+(I600*(VLOOKUP(I602,'Option Tables'!$B$23:$F$26,3)))+(H600*(VLOOKUP(I602,'Option Tables'!$B$23:$F$26,4))+(G600*(VLOOKUP(I602,'Option Tables'!$B$23:$F$26,5)))))</f>
        <v>0</v>
      </c>
      <c r="K604" s="355">
        <f>$D604*((K600*(VLOOKUP(I602,'Option Tables'!$B$23:$F$26,2)))+(J600*(VLOOKUP(I602,'Option Tables'!$B$23:$F$26,3)))+(I600*(VLOOKUP(I602,'Option Tables'!$B$23:$F$26,4))+(H600*(VLOOKUP(I602,'Option Tables'!$B$23:$F$26,5)))))</f>
        <v>0</v>
      </c>
      <c r="L604" s="355">
        <f>$D604*((L600*(VLOOKUP(I602,'Option Tables'!$B$23:$F$26,2)))+(K600*(VLOOKUP(I602,'Option Tables'!$B$23:$F$26,3)))+(J600*(VLOOKUP(I602,'Option Tables'!$B$23:$F$26,4))+(I600*(VLOOKUP(I602,'Option Tables'!$B$23:$F$26,5)))))</f>
        <v>0</v>
      </c>
      <c r="M604" s="355">
        <f>$D604*((M600*(VLOOKUP(I602,'Option Tables'!$B$23:$F$26,2)))+(L600*(VLOOKUP(I602,'Option Tables'!$B$23:$F$26,3)))+(K600*(VLOOKUP(I602,'Option Tables'!$B$23:$F$26,4))+(J600*(VLOOKUP(I602,'Option Tables'!$B$23:$F$26,5)))))</f>
        <v>0</v>
      </c>
      <c r="N604" s="355">
        <f>$D604*((N600*(VLOOKUP(I602,'Option Tables'!$B$23:$F$26,2)))+(M600*(VLOOKUP(I602,'Option Tables'!$B$23:$F$26,3)))+(L600*(VLOOKUP(I602,'Option Tables'!$B$23:$F$26,4))+(K600*(VLOOKUP(I602,'Option Tables'!$B$23:$F$26,5)))))</f>
        <v>0</v>
      </c>
      <c r="O604" s="355">
        <f>$D604*((O600*(VLOOKUP(I602,'Option Tables'!$B$23:$F$26,2)))+(N600*(VLOOKUP(I602,'Option Tables'!$B$23:$F$26,3)))+(M600*(VLOOKUP(I602,'Option Tables'!$B$23:$F$26,4))+(L600*(VLOOKUP(I602,'Option Tables'!$B$23:$F$26,5)))))</f>
        <v>0</v>
      </c>
      <c r="P604" s="465">
        <f>$D604*((P600*(VLOOKUP(I602,'Option Tables'!$B$23:$F$26,2)))+(O600*(VLOOKUP(I602,'Option Tables'!$B$23:$F$26,3)))+(N600*(VLOOKUP(I602,'Option Tables'!$B$23:$F$26,4))+(M600*(VLOOKUP(I602,'Option Tables'!$B$23:$F$26,5)))))</f>
        <v>0</v>
      </c>
    </row>
    <row r="605" spans="1:18" ht="15.75" customHeight="1">
      <c r="B605" s="95"/>
      <c r="C605" s="256"/>
      <c r="D605" s="388">
        <v>0</v>
      </c>
      <c r="E605" s="355">
        <f>$D605*((E600*(VLOOKUP(I602,'Option Tables'!$B$23:$F$26,2)))+(P600*(VLOOKUP(I602,'Option Tables'!$B$23:$F$26,3)))+(O600*(VLOOKUP(I602,'Option Tables'!$B$23:$F$26,4))+(N600*(VLOOKUP(I602,'Option Tables'!$B$23:$F$26,5)))))</f>
        <v>0</v>
      </c>
      <c r="F605" s="355">
        <f>$D605*((F600*(VLOOKUP(I602,'Option Tables'!$B$23:$F$26,2)))+(E600*(VLOOKUP(I602,'Option Tables'!$B$23:$F$26,3)))+(P600*(VLOOKUP(I602,'Option Tables'!$B$23:$F$26,4))+(O600*(VLOOKUP(I602,'Option Tables'!$B$23:$F$26,5)))))</f>
        <v>0</v>
      </c>
      <c r="G605" s="355">
        <f>$D605*((G600*(VLOOKUP(I602,'Option Tables'!$B$23:$F$26,2)))+(F600*(VLOOKUP(I602,'Option Tables'!$B$23:$F$26,3)))+(E600*(VLOOKUP(I602,'Option Tables'!$B$23:$F$26,4))+(P600*(VLOOKUP(I602,'Option Tables'!$B$23:$F$26,5)))))</f>
        <v>0</v>
      </c>
      <c r="H605" s="355">
        <f>$D605*((H600*(VLOOKUP(I602,'Option Tables'!$B$23:$F$26,2)))+(G600*(VLOOKUP(I602,'Option Tables'!$B$23:$F$26,3)))+(F600*(VLOOKUP(I602,'Option Tables'!$B$23:$F$26,4))+(E600*(VLOOKUP(I602,'Option Tables'!$B$23:$F$26,5)))))</f>
        <v>0</v>
      </c>
      <c r="I605" s="355">
        <f>$D605*((I600*(VLOOKUP(I602,'Option Tables'!$B$23:$F$26,2)))+(H600*(VLOOKUP(I602,'Option Tables'!$B$23:$F$26,3)))+(G600*(VLOOKUP(I602,'Option Tables'!$B$23:$F$26,4))+(F600*(VLOOKUP(I602,'Option Tables'!$B$23:$F$26,5)))))</f>
        <v>0</v>
      </c>
      <c r="J605" s="355">
        <f>$D605*((J600*(VLOOKUP(I602,'Option Tables'!$B$23:$F$26,2)))+(I600*(VLOOKUP(I602,'Option Tables'!$B$23:$F$26,3)))+(H600*(VLOOKUP(I602,'Option Tables'!$B$23:$F$26,4))+(G600*(VLOOKUP(I602,'Option Tables'!$B$23:$F$26,5)))))</f>
        <v>0</v>
      </c>
      <c r="K605" s="355">
        <f>$D605*((K600*(VLOOKUP(I602,'Option Tables'!$B$23:$F$26,2)))+(J600*(VLOOKUP(I602,'Option Tables'!$B$23:$F$26,3)))+(I600*(VLOOKUP(I602,'Option Tables'!$B$23:$F$26,4))+(H600*(VLOOKUP(I602,'Option Tables'!$B$23:$F$26,5)))))</f>
        <v>0</v>
      </c>
      <c r="L605" s="355">
        <f>$D605*((L600*(VLOOKUP(I602,'Option Tables'!$B$23:$F$26,2)))+(K600*(VLOOKUP(I602,'Option Tables'!$B$23:$F$26,3)))+(J600*(VLOOKUP(I602,'Option Tables'!$B$23:$F$26,4))+(I600*(VLOOKUP(I602,'Option Tables'!$B$23:$F$26,5)))))</f>
        <v>0</v>
      </c>
      <c r="M605" s="355">
        <f>$D605*((M600*(VLOOKUP(I602,'Option Tables'!$B$23:$F$26,2)))+(L600*(VLOOKUP(I602,'Option Tables'!$B$23:$F$26,3)))+(K600*(VLOOKUP(I602,'Option Tables'!$B$23:$F$26,4))+(J600*(VLOOKUP(I602,'Option Tables'!$B$23:$F$26,5)))))</f>
        <v>0</v>
      </c>
      <c r="N605" s="355">
        <f>$D605*((N600*(VLOOKUP(I602,'Option Tables'!$B$23:$F$26,2)))+(M600*(VLOOKUP(I602,'Option Tables'!$B$23:$F$26,3)))+(L600*(VLOOKUP(I602,'Option Tables'!$B$23:$F$26,4))+(K600*(VLOOKUP(I602,'Option Tables'!$B$23:$F$26,5)))))</f>
        <v>0</v>
      </c>
      <c r="O605" s="355">
        <f>$D605*((O600*(VLOOKUP(I602,'Option Tables'!$B$23:$F$26,2)))+(N600*(VLOOKUP(I602,'Option Tables'!$B$23:$F$26,3)))+(M600*(VLOOKUP(I602,'Option Tables'!$B$23:$F$26,4))+(L600*(VLOOKUP(I602,'Option Tables'!$B$23:$F$26,5)))))</f>
        <v>0</v>
      </c>
      <c r="P605" s="465">
        <f>$D605*((P600*(VLOOKUP(I602,'Option Tables'!$B$23:$F$26,2)))+(O600*(VLOOKUP(I602,'Option Tables'!$B$23:$F$26,3)))+(N600*(VLOOKUP(I602,'Option Tables'!$B$23:$F$26,4))+(M600*(VLOOKUP(I602,'Option Tables'!$B$23:$F$26,5)))))</f>
        <v>0</v>
      </c>
    </row>
    <row r="606" spans="1:18" ht="15.75" customHeight="1">
      <c r="B606" s="95"/>
      <c r="C606" s="256"/>
      <c r="D606" s="388">
        <v>0</v>
      </c>
      <c r="E606" s="355">
        <f>$D606*((E600*(VLOOKUP(I602,'Option Tables'!$B$23:$F$26,2)))+(P600*(VLOOKUP(I602,'Option Tables'!$B$23:$F$26,3)))+(O600*(VLOOKUP(I602,'Option Tables'!$B$23:$F$26,4))+(N600*(VLOOKUP(I602,'Option Tables'!$B$23:$F$26,5)))))</f>
        <v>0</v>
      </c>
      <c r="F606" s="355">
        <f>$D606*((F600*(VLOOKUP(I602,'Option Tables'!$B$23:$F$26,2)))+(E600*(VLOOKUP(I602,'Option Tables'!$B$23:$F$26,3)))+(P600*(VLOOKUP(I602,'Option Tables'!$B$23:$F$26,4))+(O600*(VLOOKUP(I602,'Option Tables'!$B$23:$F$26,5)))))</f>
        <v>0</v>
      </c>
      <c r="G606" s="355">
        <f>$D606*((G600*(VLOOKUP(I602,'Option Tables'!$B$23:$F$26,2)))+(F600*(VLOOKUP(I602,'Option Tables'!$B$23:$F$26,3)))+(E600*(VLOOKUP(I602,'Option Tables'!$B$23:$F$26,4))+(P600*(VLOOKUP(I602,'Option Tables'!$B$23:$F$26,5)))))</f>
        <v>0</v>
      </c>
      <c r="H606" s="355">
        <f>$D606*((H600*(VLOOKUP(I602,'Option Tables'!$B$23:$F$26,2)))+(G600*(VLOOKUP(I602,'Option Tables'!$B$23:$F$26,3)))+(F600*(VLOOKUP(I602,'Option Tables'!$B$23:$F$26,4))+(E600*(VLOOKUP(I602,'Option Tables'!$B$23:$F$26,5)))))</f>
        <v>0</v>
      </c>
      <c r="I606" s="355">
        <f>$D606*((I600*(VLOOKUP(I602,'Option Tables'!$B$23:$F$26,2)))+(H600*(VLOOKUP(I602,'Option Tables'!$B$23:$F$26,3)))+(G600*(VLOOKUP(I602,'Option Tables'!$B$23:$F$26,4))+(F600*(VLOOKUP(I602,'Option Tables'!$B$23:$F$26,5)))))</f>
        <v>0</v>
      </c>
      <c r="J606" s="355">
        <f>$D606*((J600*(VLOOKUP(I602,'Option Tables'!$B$23:$F$26,2)))+(I600*(VLOOKUP(I602,'Option Tables'!$B$23:$F$26,3)))+(H600*(VLOOKUP(I602,'Option Tables'!$B$23:$F$26,4))+(G600*(VLOOKUP(I602,'Option Tables'!$B$23:$F$26,5)))))</f>
        <v>0</v>
      </c>
      <c r="K606" s="355">
        <f>$D606*((K600*(VLOOKUP(I602,'Option Tables'!$B$23:$F$26,2)))+(J600*(VLOOKUP(I602,'Option Tables'!$B$23:$F$26,3)))+(I600*(VLOOKUP(I602,'Option Tables'!$B$23:$F$26,4))+(H600*(VLOOKUP(I602,'Option Tables'!$B$23:$F$26,5)))))</f>
        <v>0</v>
      </c>
      <c r="L606" s="355">
        <f>$D606*((L600*(VLOOKUP(I602,'Option Tables'!$B$23:$F$26,2)))+(K600*(VLOOKUP(I602,'Option Tables'!$B$23:$F$26,3)))+(J600*(VLOOKUP(I602,'Option Tables'!$B$23:$F$26,4))+(I600*(VLOOKUP(I602,'Option Tables'!$B$23:$F$26,5)))))</f>
        <v>0</v>
      </c>
      <c r="M606" s="355">
        <f>$D606*((M600*(VLOOKUP(I602,'Option Tables'!$B$23:$F$26,2)))+(L600*(VLOOKUP(I602,'Option Tables'!$B$23:$F$26,3)))+(K600*(VLOOKUP(I602,'Option Tables'!$B$23:$F$26,4))+(J600*(VLOOKUP(I602,'Option Tables'!$B$23:$F$26,5)))))</f>
        <v>0</v>
      </c>
      <c r="N606" s="355">
        <f>$D606*((N600*(VLOOKUP(I602,'Option Tables'!$B$23:$F$26,2)))+(M600*(VLOOKUP(I602,'Option Tables'!$B$23:$F$26,3)))+(L600*(VLOOKUP(I602,'Option Tables'!$B$23:$F$26,4))+(K600*(VLOOKUP(I602,'Option Tables'!$B$23:$F$26,5)))))</f>
        <v>0</v>
      </c>
      <c r="O606" s="355">
        <f>$D606*((O600*(VLOOKUP(I602,'Option Tables'!$B$23:$F$26,2)))+(N600*(VLOOKUP(I602,'Option Tables'!$B$23:$F$26,3)))+(M600*(VLOOKUP(I602,'Option Tables'!$B$23:$F$26,4))+(L600*(VLOOKUP(I602,'Option Tables'!$B$23:$F$26,5)))))</f>
        <v>0</v>
      </c>
      <c r="P606" s="465">
        <f>$D606*((P600*(VLOOKUP(I602,'Option Tables'!$B$23:$F$26,2)))+(O600*(VLOOKUP(I602,'Option Tables'!$B$23:$F$26,3)))+(N600*(VLOOKUP(I602,'Option Tables'!$B$23:$F$26,4))+(M600*(VLOOKUP(I602,'Option Tables'!$B$23:$F$26,5)))))</f>
        <v>0</v>
      </c>
    </row>
    <row r="607" spans="1:18" ht="15.75" customHeight="1" thickBot="1">
      <c r="B607" s="97"/>
      <c r="C607" s="144" t="str">
        <f>IF(D607&lt;&gt;1,"Must equal %100","")</f>
        <v/>
      </c>
      <c r="D607" s="71">
        <f t="shared" ref="D607:P607" si="58">SUM(D603:D606)</f>
        <v>1</v>
      </c>
      <c r="E607" s="466">
        <f t="shared" si="58"/>
        <v>0</v>
      </c>
      <c r="F607" s="466">
        <f t="shared" si="58"/>
        <v>0</v>
      </c>
      <c r="G607" s="466">
        <f t="shared" si="58"/>
        <v>0</v>
      </c>
      <c r="H607" s="466">
        <f t="shared" si="58"/>
        <v>0</v>
      </c>
      <c r="I607" s="466">
        <f t="shared" si="58"/>
        <v>0</v>
      </c>
      <c r="J607" s="466">
        <f t="shared" si="58"/>
        <v>0</v>
      </c>
      <c r="K607" s="466">
        <f t="shared" si="58"/>
        <v>0</v>
      </c>
      <c r="L607" s="466">
        <f t="shared" si="58"/>
        <v>0</v>
      </c>
      <c r="M607" s="466">
        <f t="shared" si="58"/>
        <v>0</v>
      </c>
      <c r="N607" s="466">
        <f t="shared" si="58"/>
        <v>0</v>
      </c>
      <c r="O607" s="466">
        <f t="shared" si="58"/>
        <v>0</v>
      </c>
      <c r="P607" s="467">
        <f t="shared" si="58"/>
        <v>0</v>
      </c>
      <c r="R607" s="140"/>
    </row>
    <row r="608" spans="1:18" ht="15.75" customHeight="1" thickBot="1">
      <c r="B608" s="85" t="s">
        <v>238</v>
      </c>
      <c r="C608" s="257" t="str">
        <f>VLOOKUP(B608,NodeList!$D$5:$E$73,2,FALSE)</f>
        <v>Confluence Thomas Fork</v>
      </c>
      <c r="D608" s="91"/>
      <c r="E608" s="450"/>
      <c r="F608" s="451"/>
      <c r="G608" s="452"/>
      <c r="H608" s="453" t="s">
        <v>54</v>
      </c>
      <c r="I608" s="68">
        <v>40</v>
      </c>
      <c r="J608" s="454"/>
      <c r="K608" s="454"/>
      <c r="L608" s="454"/>
      <c r="M608" s="454"/>
      <c r="N608" s="454"/>
      <c r="O608" s="454"/>
      <c r="P608" s="455"/>
    </row>
    <row r="609" spans="1:18" ht="15.75" customHeight="1">
      <c r="A609" s="172"/>
      <c r="B609" s="94"/>
      <c r="C609" s="66" t="s">
        <v>57</v>
      </c>
      <c r="D609" s="69"/>
      <c r="E609" s="456">
        <f>VLOOKUP($B608,'Diversion Data'!$B$3:$O$227,3,FALSE)</f>
        <v>0</v>
      </c>
      <c r="F609" s="456">
        <f>VLOOKUP($B608,'Diversion Data'!$B$3:$O$227,4,FALSE)</f>
        <v>0</v>
      </c>
      <c r="G609" s="456">
        <f>VLOOKUP($B608,'Diversion Data'!$B$3:$O$227,5,FALSE)</f>
        <v>0</v>
      </c>
      <c r="H609" s="456">
        <f>VLOOKUP($B608,'Diversion Data'!$B$3:$O$227,6,FALSE)</f>
        <v>0</v>
      </c>
      <c r="I609" s="456">
        <f>VLOOKUP($B608,'Diversion Data'!$B$3:$O$227,7,FALSE)</f>
        <v>0</v>
      </c>
      <c r="J609" s="456">
        <f>VLOOKUP($B608,'Diversion Data'!$B$3:$O$227,8,FALSE)</f>
        <v>0</v>
      </c>
      <c r="K609" s="456">
        <f>VLOOKUP($B608,'Diversion Data'!$B$3:$O$227,9,FALSE)</f>
        <v>0</v>
      </c>
      <c r="L609" s="456">
        <f>VLOOKUP($B608,'Diversion Data'!$B$3:$O$227,10,FALSE)</f>
        <v>0</v>
      </c>
      <c r="M609" s="456">
        <f>VLOOKUP($B608,'Diversion Data'!$B$3:$O$227,11,FALSE)</f>
        <v>0</v>
      </c>
      <c r="N609" s="456">
        <f>VLOOKUP($B608,'Diversion Data'!$B$3:$O$227,12,FALSE)</f>
        <v>0</v>
      </c>
      <c r="O609" s="456">
        <f>VLOOKUP($B608,'Diversion Data'!$B$3:$O$227,13,FALSE)</f>
        <v>0</v>
      </c>
      <c r="P609" s="457">
        <f>VLOOKUP($B608,'Diversion Data'!$B$3:$O$227,14,FALSE)</f>
        <v>0</v>
      </c>
    </row>
    <row r="610" spans="1:18" ht="15.75" customHeight="1">
      <c r="A610" s="172"/>
      <c r="B610" s="95"/>
      <c r="C610" s="72" t="s">
        <v>56</v>
      </c>
      <c r="D610" s="70"/>
      <c r="E610" s="458">
        <f>VLOOKUP($I608,'Option Tables'!$B$3:$N$19,2,FALSE)*E609</f>
        <v>0</v>
      </c>
      <c r="F610" s="458">
        <f>VLOOKUP($I608,'Option Tables'!$B$3:$N$19,3,FALSE)*F609</f>
        <v>0</v>
      </c>
      <c r="G610" s="458">
        <f>VLOOKUP($I608,'Option Tables'!$B$3:$N$19,4,FALSE)*G609</f>
        <v>0</v>
      </c>
      <c r="H610" s="458">
        <f>VLOOKUP($I608,'Option Tables'!$B$3:$N$19,5,FALSE)*H609</f>
        <v>0</v>
      </c>
      <c r="I610" s="458">
        <f>VLOOKUP($I608,'Option Tables'!$B$3:$N$19,6,FALSE)*I609</f>
        <v>0</v>
      </c>
      <c r="J610" s="458">
        <f>VLOOKUP($I608,'Option Tables'!$B$3:$N$19,7,FALSE)*J609</f>
        <v>0</v>
      </c>
      <c r="K610" s="458">
        <f>VLOOKUP($I608,'Option Tables'!$B$3:$N$19,8,FALSE)*K609</f>
        <v>0</v>
      </c>
      <c r="L610" s="458">
        <f>VLOOKUP($I608,'Option Tables'!$B$3:$N$19,9,FALSE)*L609</f>
        <v>0</v>
      </c>
      <c r="M610" s="458">
        <f>VLOOKUP($I608,'Option Tables'!$B$3:$N$19,10,FALSE)*M609</f>
        <v>0</v>
      </c>
      <c r="N610" s="458">
        <f>VLOOKUP($I608,'Option Tables'!$B$3:$N$19,11,FALSE)*N609</f>
        <v>0</v>
      </c>
      <c r="O610" s="458">
        <f>VLOOKUP($I608,'Option Tables'!$B$3:$N$19,12,FALSE)*O609</f>
        <v>0</v>
      </c>
      <c r="P610" s="459">
        <f>VLOOKUP($I608,'Option Tables'!$B$3:$N$19,13,FALSE)*P609</f>
        <v>0</v>
      </c>
    </row>
    <row r="611" spans="1:18" ht="15.75" customHeight="1" thickBot="1">
      <c r="A611" s="172"/>
      <c r="B611" s="95"/>
      <c r="C611" s="66"/>
      <c r="D611" s="62"/>
      <c r="E611" s="355"/>
      <c r="F611" s="355"/>
      <c r="G611" s="355"/>
      <c r="H611" s="355"/>
      <c r="I611" s="355"/>
      <c r="J611" s="355"/>
      <c r="K611" s="355"/>
      <c r="L611" s="355"/>
      <c r="M611" s="460"/>
      <c r="N611" s="460"/>
      <c r="O611" s="460"/>
      <c r="P611" s="461"/>
    </row>
    <row r="612" spans="1:18" ht="15.75" customHeight="1" thickBot="1">
      <c r="A612" s="172"/>
      <c r="B612" s="254" t="s">
        <v>73</v>
      </c>
      <c r="C612" s="105" t="s">
        <v>73</v>
      </c>
      <c r="D612" s="105" t="s">
        <v>74</v>
      </c>
      <c r="E612" s="462"/>
      <c r="F612" s="463"/>
      <c r="G612" s="464"/>
      <c r="H612" s="464" t="s">
        <v>55</v>
      </c>
      <c r="I612" s="68">
        <v>1</v>
      </c>
      <c r="J612" s="460"/>
      <c r="K612" s="460"/>
      <c r="L612" s="460"/>
      <c r="M612" s="460"/>
      <c r="N612" s="460"/>
      <c r="O612" s="460"/>
      <c r="P612" s="461"/>
    </row>
    <row r="613" spans="1:18" ht="15.75" customHeight="1">
      <c r="A613" s="172"/>
      <c r="B613" s="255" t="e">
        <f>"("&amp;VLOOKUP(C613,NodeList!$D$5:$E$68,2,FALSE)&amp;")"</f>
        <v>#N/A</v>
      </c>
      <c r="C613" s="256"/>
      <c r="D613" s="388">
        <v>1</v>
      </c>
      <c r="E613" s="355">
        <f>$D613*((E610*(VLOOKUP(I612,'Option Tables'!$B$23:$F$26,2)))+(P610*(VLOOKUP(I612,'Option Tables'!$B$23:$F$26,3)))+(O610*(VLOOKUP(I612,'Option Tables'!$B$23:$F$26,4))+(N610*(VLOOKUP(I612,'Option Tables'!$B$23:$F$26,5)))))</f>
        <v>0</v>
      </c>
      <c r="F613" s="355">
        <f>$D613*((F610*(VLOOKUP(I612,'Option Tables'!$B$23:$F$26,2)))+(E610*(VLOOKUP(I612,'Option Tables'!$B$23:$F$26,3)))+(P610*(VLOOKUP(I612,'Option Tables'!$B$23:$F$26,4))+(O610*(VLOOKUP(I612,'Option Tables'!$B$23:$F$26,5)))))</f>
        <v>0</v>
      </c>
      <c r="G613" s="355">
        <f>$D613*((G610*(VLOOKUP(I612,'Option Tables'!$B$23:$F$26,2)))+(F610*(VLOOKUP(I612,'Option Tables'!$B$23:$F$26,3)))+(E610*(VLOOKUP(I612,'Option Tables'!$B$23:$F$26,4))+(P610*(VLOOKUP(I612,'Option Tables'!$B$23:$F$26,5)))))</f>
        <v>0</v>
      </c>
      <c r="H613" s="355">
        <f>$D613*((H610*(VLOOKUP(I612,'Option Tables'!$B$23:$F$26,2)))+(G610*(VLOOKUP(I612,'Option Tables'!$B$23:$F$26,3)))+(F610*(VLOOKUP(I612,'Option Tables'!$B$23:$F$26,4))+(E610*(VLOOKUP(I612,'Option Tables'!$B$23:$F$26,5)))))</f>
        <v>0</v>
      </c>
      <c r="I613" s="355">
        <f>$D613*((I610*(VLOOKUP(I612,'Option Tables'!$B$23:$F$26,2)))+(H610*(VLOOKUP(I612,'Option Tables'!$B$23:$F$26,3)))+(G610*(VLOOKUP(I612,'Option Tables'!$B$23:$F$26,4))+(F610*(VLOOKUP(I612,'Option Tables'!$B$23:$F$26,5)))))</f>
        <v>0</v>
      </c>
      <c r="J613" s="355">
        <f>$D613*((J610*(VLOOKUP(I612,'Option Tables'!$B$23:$F$26,2)))+(I610*(VLOOKUP(I612,'Option Tables'!$B$23:$F$26,3)))+(H610*(VLOOKUP(I612,'Option Tables'!$B$23:$F$26,4))+(G610*(VLOOKUP(I612,'Option Tables'!$B$23:$F$26,5)))))</f>
        <v>0</v>
      </c>
      <c r="K613" s="355">
        <f>$D613*((K610*(VLOOKUP(I612,'Option Tables'!$B$23:$F$26,2)))+(J610*(VLOOKUP(I612,'Option Tables'!$B$23:$F$26,3)))+(I610*(VLOOKUP(I612,'Option Tables'!$B$23:$F$26,4))+(H610*(VLOOKUP(I612,'Option Tables'!$B$23:$F$26,5)))))</f>
        <v>0</v>
      </c>
      <c r="L613" s="355">
        <f>$D613*((L610*(VLOOKUP(I612,'Option Tables'!$B$23:$F$26,2)))+(K610*(VLOOKUP(I612,'Option Tables'!$B$23:$F$26,3)))+(J610*(VLOOKUP(I612,'Option Tables'!$B$23:$F$26,4))+(I610*(VLOOKUP(I612,'Option Tables'!$B$23:$F$26,5)))))</f>
        <v>0</v>
      </c>
      <c r="M613" s="355">
        <f>$D613*((M610*(VLOOKUP(I612,'Option Tables'!$B$23:$F$26,2)))+(L610*(VLOOKUP(I612,'Option Tables'!$B$23:$F$26,3)))+(K610*(VLOOKUP(I612,'Option Tables'!$B$23:$F$26,4))+(J610*(VLOOKUP(I612,'Option Tables'!$B$23:$F$26,5)))))</f>
        <v>0</v>
      </c>
      <c r="N613" s="355">
        <f>$D613*((N610*(VLOOKUP(I612,'Option Tables'!$B$23:$F$26,2)))+(M610*(VLOOKUP(I612,'Option Tables'!$B$23:$F$26,3)))+(L610*(VLOOKUP(I612,'Option Tables'!$B$23:$F$26,4))+(K610*(VLOOKUP(I612,'Option Tables'!$B$23:$F$26,5)))))</f>
        <v>0</v>
      </c>
      <c r="O613" s="355">
        <f>$D613*((O610*(VLOOKUP(I612,'Option Tables'!$B$23:$F$26,2)))+(N610*(VLOOKUP(I612,'Option Tables'!$B$23:$F$26,3)))+(M610*(VLOOKUP(I612,'Option Tables'!$B$23:$F$26,4))+(L610*(VLOOKUP(I612,'Option Tables'!$B$23:$F$26,5)))))</f>
        <v>0</v>
      </c>
      <c r="P613" s="465">
        <f>$D613*((P610*(VLOOKUP(I612,'Option Tables'!$B$23:$F$26,2)))+(O610*(VLOOKUP(I612,'Option Tables'!$B$23:$F$26,3)))+(N610*(VLOOKUP(I612,'Option Tables'!$B$23:$F$26,4))+(M610*(VLOOKUP(I612,'Option Tables'!$B$23:$F$26,5)))))</f>
        <v>0</v>
      </c>
    </row>
    <row r="614" spans="1:18" ht="15.75" customHeight="1">
      <c r="A614" s="172"/>
      <c r="B614" s="95"/>
      <c r="C614" s="256"/>
      <c r="D614" s="388">
        <v>0</v>
      </c>
      <c r="E614" s="355">
        <f>$D614*((E610*(VLOOKUP(I612,'Option Tables'!$B$23:$F$26,2)))+(P610*(VLOOKUP(I612,'Option Tables'!$B$23:$F$26,3)))+(O610*(VLOOKUP(I612,'Option Tables'!$B$23:$F$26,4))+(N610*(VLOOKUP(I612,'Option Tables'!$B$23:$F$26,5)))))</f>
        <v>0</v>
      </c>
      <c r="F614" s="355">
        <f>$D614*((F610*(VLOOKUP(I612,'Option Tables'!$B$23:$F$26,2)))+(E610*(VLOOKUP(I612,'Option Tables'!$B$23:$F$26,3)))+(P610*(VLOOKUP(I612,'Option Tables'!$B$23:$F$26,4))+(O610*(VLOOKUP(I612,'Option Tables'!$B$23:$F$26,5)))))</f>
        <v>0</v>
      </c>
      <c r="G614" s="355">
        <f>$D614*((G610*(VLOOKUP(I612,'Option Tables'!$B$23:$F$26,2)))+(F610*(VLOOKUP(I612,'Option Tables'!$B$23:$F$26,3)))+(E610*(VLOOKUP(I612,'Option Tables'!$B$23:$F$26,4))+(P610*(VLOOKUP(I612,'Option Tables'!$B$23:$F$26,5)))))</f>
        <v>0</v>
      </c>
      <c r="H614" s="355">
        <f>$D614*((H610*(VLOOKUP(I612,'Option Tables'!$B$23:$F$26,2)))+(G610*(VLOOKUP(I612,'Option Tables'!$B$23:$F$26,3)))+(F610*(VLOOKUP(I612,'Option Tables'!$B$23:$F$26,4))+(E610*(VLOOKUP(I612,'Option Tables'!$B$23:$F$26,5)))))</f>
        <v>0</v>
      </c>
      <c r="I614" s="355">
        <f>$D614*((I610*(VLOOKUP(I612,'Option Tables'!$B$23:$F$26,2)))+(H610*(VLOOKUP(I612,'Option Tables'!$B$23:$F$26,3)))+(G610*(VLOOKUP(I612,'Option Tables'!$B$23:$F$26,4))+(F610*(VLOOKUP(I612,'Option Tables'!$B$23:$F$26,5)))))</f>
        <v>0</v>
      </c>
      <c r="J614" s="355">
        <f>$D614*((J610*(VLOOKUP(I612,'Option Tables'!$B$23:$F$26,2)))+(I610*(VLOOKUP(I612,'Option Tables'!$B$23:$F$26,3)))+(H610*(VLOOKUP(I612,'Option Tables'!$B$23:$F$26,4))+(G610*(VLOOKUP(I612,'Option Tables'!$B$23:$F$26,5)))))</f>
        <v>0</v>
      </c>
      <c r="K614" s="355">
        <f>$D614*((K610*(VLOOKUP(I612,'Option Tables'!$B$23:$F$26,2)))+(J610*(VLOOKUP(I612,'Option Tables'!$B$23:$F$26,3)))+(I610*(VLOOKUP(I612,'Option Tables'!$B$23:$F$26,4))+(H610*(VLOOKUP(I612,'Option Tables'!$B$23:$F$26,5)))))</f>
        <v>0</v>
      </c>
      <c r="L614" s="355">
        <f>$D614*((L610*(VLOOKUP(I612,'Option Tables'!$B$23:$F$26,2)))+(K610*(VLOOKUP(I612,'Option Tables'!$B$23:$F$26,3)))+(J610*(VLOOKUP(I612,'Option Tables'!$B$23:$F$26,4))+(I610*(VLOOKUP(I612,'Option Tables'!$B$23:$F$26,5)))))</f>
        <v>0</v>
      </c>
      <c r="M614" s="355">
        <f>$D614*((M610*(VLOOKUP(I612,'Option Tables'!$B$23:$F$26,2)))+(L610*(VLOOKUP(I612,'Option Tables'!$B$23:$F$26,3)))+(K610*(VLOOKUP(I612,'Option Tables'!$B$23:$F$26,4))+(J610*(VLOOKUP(I612,'Option Tables'!$B$23:$F$26,5)))))</f>
        <v>0</v>
      </c>
      <c r="N614" s="355">
        <f>$D614*((N610*(VLOOKUP(I612,'Option Tables'!$B$23:$F$26,2)))+(M610*(VLOOKUP(I612,'Option Tables'!$B$23:$F$26,3)))+(L610*(VLOOKUP(I612,'Option Tables'!$B$23:$F$26,4))+(K610*(VLOOKUP(I612,'Option Tables'!$B$23:$F$26,5)))))</f>
        <v>0</v>
      </c>
      <c r="O614" s="355">
        <f>$D614*((O610*(VLOOKUP(I612,'Option Tables'!$B$23:$F$26,2)))+(N610*(VLOOKUP(I612,'Option Tables'!$B$23:$F$26,3)))+(M610*(VLOOKUP(I612,'Option Tables'!$B$23:$F$26,4))+(L610*(VLOOKUP(I612,'Option Tables'!$B$23:$F$26,5)))))</f>
        <v>0</v>
      </c>
      <c r="P614" s="465">
        <f>$D614*((P610*(VLOOKUP(I612,'Option Tables'!$B$23:$F$26,2)))+(O610*(VLOOKUP(I612,'Option Tables'!$B$23:$F$26,3)))+(N610*(VLOOKUP(I612,'Option Tables'!$B$23:$F$26,4))+(M610*(VLOOKUP(I612,'Option Tables'!$B$23:$F$26,5)))))</f>
        <v>0</v>
      </c>
    </row>
    <row r="615" spans="1:18" ht="15.75" customHeight="1">
      <c r="A615" s="172"/>
      <c r="B615" s="95"/>
      <c r="C615" s="256"/>
      <c r="D615" s="388">
        <v>0</v>
      </c>
      <c r="E615" s="355">
        <f>$D615*((E610*(VLOOKUP(I612,'Option Tables'!$B$23:$F$26,2)))+(P610*(VLOOKUP(I612,'Option Tables'!$B$23:$F$26,3)))+(O610*(VLOOKUP(I612,'Option Tables'!$B$23:$F$26,4))+(N610*(VLOOKUP(I612,'Option Tables'!$B$23:$F$26,5)))))</f>
        <v>0</v>
      </c>
      <c r="F615" s="355">
        <f>$D615*((F610*(VLOOKUP(I612,'Option Tables'!$B$23:$F$26,2)))+(E610*(VLOOKUP(I612,'Option Tables'!$B$23:$F$26,3)))+(P610*(VLOOKUP(I612,'Option Tables'!$B$23:$F$26,4))+(O610*(VLOOKUP(I612,'Option Tables'!$B$23:$F$26,5)))))</f>
        <v>0</v>
      </c>
      <c r="G615" s="355">
        <f>$D615*((G610*(VLOOKUP(I612,'Option Tables'!$B$23:$F$26,2)))+(F610*(VLOOKUP(I612,'Option Tables'!$B$23:$F$26,3)))+(E610*(VLOOKUP(I612,'Option Tables'!$B$23:$F$26,4))+(P610*(VLOOKUP(I612,'Option Tables'!$B$23:$F$26,5)))))</f>
        <v>0</v>
      </c>
      <c r="H615" s="355">
        <f>$D615*((H610*(VLOOKUP(I612,'Option Tables'!$B$23:$F$26,2)))+(G610*(VLOOKUP(I612,'Option Tables'!$B$23:$F$26,3)))+(F610*(VLOOKUP(I612,'Option Tables'!$B$23:$F$26,4))+(E610*(VLOOKUP(I612,'Option Tables'!$B$23:$F$26,5)))))</f>
        <v>0</v>
      </c>
      <c r="I615" s="355">
        <f>$D615*((I610*(VLOOKUP(I612,'Option Tables'!$B$23:$F$26,2)))+(H610*(VLOOKUP(I612,'Option Tables'!$B$23:$F$26,3)))+(G610*(VLOOKUP(I612,'Option Tables'!$B$23:$F$26,4))+(F610*(VLOOKUP(I612,'Option Tables'!$B$23:$F$26,5)))))</f>
        <v>0</v>
      </c>
      <c r="J615" s="355">
        <f>$D615*((J610*(VLOOKUP(I612,'Option Tables'!$B$23:$F$26,2)))+(I610*(VLOOKUP(I612,'Option Tables'!$B$23:$F$26,3)))+(H610*(VLOOKUP(I612,'Option Tables'!$B$23:$F$26,4))+(G610*(VLOOKUP(I612,'Option Tables'!$B$23:$F$26,5)))))</f>
        <v>0</v>
      </c>
      <c r="K615" s="355">
        <f>$D615*((K610*(VLOOKUP(I612,'Option Tables'!$B$23:$F$26,2)))+(J610*(VLOOKUP(I612,'Option Tables'!$B$23:$F$26,3)))+(I610*(VLOOKUP(I612,'Option Tables'!$B$23:$F$26,4))+(H610*(VLOOKUP(I612,'Option Tables'!$B$23:$F$26,5)))))</f>
        <v>0</v>
      </c>
      <c r="L615" s="355">
        <f>$D615*((L610*(VLOOKUP(I612,'Option Tables'!$B$23:$F$26,2)))+(K610*(VLOOKUP(I612,'Option Tables'!$B$23:$F$26,3)))+(J610*(VLOOKUP(I612,'Option Tables'!$B$23:$F$26,4))+(I610*(VLOOKUP(I612,'Option Tables'!$B$23:$F$26,5)))))</f>
        <v>0</v>
      </c>
      <c r="M615" s="355">
        <f>$D615*((M610*(VLOOKUP(I612,'Option Tables'!$B$23:$F$26,2)))+(L610*(VLOOKUP(I612,'Option Tables'!$B$23:$F$26,3)))+(K610*(VLOOKUP(I612,'Option Tables'!$B$23:$F$26,4))+(J610*(VLOOKUP(I612,'Option Tables'!$B$23:$F$26,5)))))</f>
        <v>0</v>
      </c>
      <c r="N615" s="355">
        <f>$D615*((N610*(VLOOKUP(I612,'Option Tables'!$B$23:$F$26,2)))+(M610*(VLOOKUP(I612,'Option Tables'!$B$23:$F$26,3)))+(L610*(VLOOKUP(I612,'Option Tables'!$B$23:$F$26,4))+(K610*(VLOOKUP(I612,'Option Tables'!$B$23:$F$26,5)))))</f>
        <v>0</v>
      </c>
      <c r="O615" s="355">
        <f>$D615*((O610*(VLOOKUP(I612,'Option Tables'!$B$23:$F$26,2)))+(N610*(VLOOKUP(I612,'Option Tables'!$B$23:$F$26,3)))+(M610*(VLOOKUP(I612,'Option Tables'!$B$23:$F$26,4))+(L610*(VLOOKUP(I612,'Option Tables'!$B$23:$F$26,5)))))</f>
        <v>0</v>
      </c>
      <c r="P615" s="465">
        <f>$D615*((P610*(VLOOKUP(I612,'Option Tables'!$B$23:$F$26,2)))+(O610*(VLOOKUP(I612,'Option Tables'!$B$23:$F$26,3)))+(N610*(VLOOKUP(I612,'Option Tables'!$B$23:$F$26,4))+(M610*(VLOOKUP(I612,'Option Tables'!$B$23:$F$26,5)))))</f>
        <v>0</v>
      </c>
    </row>
    <row r="616" spans="1:18" ht="15.75" customHeight="1">
      <c r="A616" s="172"/>
      <c r="B616" s="95"/>
      <c r="C616" s="256"/>
      <c r="D616" s="388">
        <v>0</v>
      </c>
      <c r="E616" s="355">
        <f>$D616*((E610*(VLOOKUP(I612,'Option Tables'!$B$23:$F$26,2)))+(P610*(VLOOKUP(I612,'Option Tables'!$B$23:$F$26,3)))+(O610*(VLOOKUP(I612,'Option Tables'!$B$23:$F$26,4))+(N610*(VLOOKUP(I612,'Option Tables'!$B$23:$F$26,5)))))</f>
        <v>0</v>
      </c>
      <c r="F616" s="355">
        <f>$D616*((F610*(VLOOKUP(I612,'Option Tables'!$B$23:$F$26,2)))+(E610*(VLOOKUP(I612,'Option Tables'!$B$23:$F$26,3)))+(P610*(VLOOKUP(I612,'Option Tables'!$B$23:$F$26,4))+(O610*(VLOOKUP(I612,'Option Tables'!$B$23:$F$26,5)))))</f>
        <v>0</v>
      </c>
      <c r="G616" s="355">
        <f>$D616*((G610*(VLOOKUP(I612,'Option Tables'!$B$23:$F$26,2)))+(F610*(VLOOKUP(I612,'Option Tables'!$B$23:$F$26,3)))+(E610*(VLOOKUP(I612,'Option Tables'!$B$23:$F$26,4))+(P610*(VLOOKUP(I612,'Option Tables'!$B$23:$F$26,5)))))</f>
        <v>0</v>
      </c>
      <c r="H616" s="355">
        <f>$D616*((H610*(VLOOKUP(I612,'Option Tables'!$B$23:$F$26,2)))+(G610*(VLOOKUP(I612,'Option Tables'!$B$23:$F$26,3)))+(F610*(VLOOKUP(I612,'Option Tables'!$B$23:$F$26,4))+(E610*(VLOOKUP(I612,'Option Tables'!$B$23:$F$26,5)))))</f>
        <v>0</v>
      </c>
      <c r="I616" s="355">
        <f>$D616*((I610*(VLOOKUP(I612,'Option Tables'!$B$23:$F$26,2)))+(H610*(VLOOKUP(I612,'Option Tables'!$B$23:$F$26,3)))+(G610*(VLOOKUP(I612,'Option Tables'!$B$23:$F$26,4))+(F610*(VLOOKUP(I612,'Option Tables'!$B$23:$F$26,5)))))</f>
        <v>0</v>
      </c>
      <c r="J616" s="355">
        <f>$D616*((J610*(VLOOKUP(I612,'Option Tables'!$B$23:$F$26,2)))+(I610*(VLOOKUP(I612,'Option Tables'!$B$23:$F$26,3)))+(H610*(VLOOKUP(I612,'Option Tables'!$B$23:$F$26,4))+(G610*(VLOOKUP(I612,'Option Tables'!$B$23:$F$26,5)))))</f>
        <v>0</v>
      </c>
      <c r="K616" s="355">
        <f>$D616*((K610*(VLOOKUP(I612,'Option Tables'!$B$23:$F$26,2)))+(J610*(VLOOKUP(I612,'Option Tables'!$B$23:$F$26,3)))+(I610*(VLOOKUP(I612,'Option Tables'!$B$23:$F$26,4))+(H610*(VLOOKUP(I612,'Option Tables'!$B$23:$F$26,5)))))</f>
        <v>0</v>
      </c>
      <c r="L616" s="355">
        <f>$D616*((L610*(VLOOKUP(I612,'Option Tables'!$B$23:$F$26,2)))+(K610*(VLOOKUP(I612,'Option Tables'!$B$23:$F$26,3)))+(J610*(VLOOKUP(I612,'Option Tables'!$B$23:$F$26,4))+(I610*(VLOOKUP(I612,'Option Tables'!$B$23:$F$26,5)))))</f>
        <v>0</v>
      </c>
      <c r="M616" s="355">
        <f>$D616*((M610*(VLOOKUP(I612,'Option Tables'!$B$23:$F$26,2)))+(L610*(VLOOKUP(I612,'Option Tables'!$B$23:$F$26,3)))+(K610*(VLOOKUP(I612,'Option Tables'!$B$23:$F$26,4))+(J610*(VLOOKUP(I612,'Option Tables'!$B$23:$F$26,5)))))</f>
        <v>0</v>
      </c>
      <c r="N616" s="355">
        <f>$D616*((N610*(VLOOKUP(I612,'Option Tables'!$B$23:$F$26,2)))+(M610*(VLOOKUP(I612,'Option Tables'!$B$23:$F$26,3)))+(L610*(VLOOKUP(I612,'Option Tables'!$B$23:$F$26,4))+(K610*(VLOOKUP(I612,'Option Tables'!$B$23:$F$26,5)))))</f>
        <v>0</v>
      </c>
      <c r="O616" s="355">
        <f>$D616*((O610*(VLOOKUP(I612,'Option Tables'!$B$23:$F$26,2)))+(N610*(VLOOKUP(I612,'Option Tables'!$B$23:$F$26,3)))+(M610*(VLOOKUP(I612,'Option Tables'!$B$23:$F$26,4))+(L610*(VLOOKUP(I612,'Option Tables'!$B$23:$F$26,5)))))</f>
        <v>0</v>
      </c>
      <c r="P616" s="465">
        <f>$D616*((P610*(VLOOKUP(I612,'Option Tables'!$B$23:$F$26,2)))+(O610*(VLOOKUP(I612,'Option Tables'!$B$23:$F$26,3)))+(N610*(VLOOKUP(I612,'Option Tables'!$B$23:$F$26,4))+(M610*(VLOOKUP(I612,'Option Tables'!$B$23:$F$26,5)))))</f>
        <v>0</v>
      </c>
    </row>
    <row r="617" spans="1:18" ht="15.75" customHeight="1" thickBot="1">
      <c r="A617" s="172"/>
      <c r="B617" s="97"/>
      <c r="C617" s="144" t="str">
        <f>IF(D617&lt;&gt;1,"Must equal %100","")</f>
        <v/>
      </c>
      <c r="D617" s="71">
        <f t="shared" ref="D617:P617" si="59">SUM(D613:D616)</f>
        <v>1</v>
      </c>
      <c r="E617" s="466">
        <f t="shared" si="59"/>
        <v>0</v>
      </c>
      <c r="F617" s="466">
        <f t="shared" si="59"/>
        <v>0</v>
      </c>
      <c r="G617" s="466">
        <f t="shared" si="59"/>
        <v>0</v>
      </c>
      <c r="H617" s="466">
        <f t="shared" si="59"/>
        <v>0</v>
      </c>
      <c r="I617" s="466">
        <f t="shared" si="59"/>
        <v>0</v>
      </c>
      <c r="J617" s="466">
        <f t="shared" si="59"/>
        <v>0</v>
      </c>
      <c r="K617" s="466">
        <f t="shared" si="59"/>
        <v>0</v>
      </c>
      <c r="L617" s="466">
        <f t="shared" si="59"/>
        <v>0</v>
      </c>
      <c r="M617" s="466">
        <f t="shared" si="59"/>
        <v>0</v>
      </c>
      <c r="N617" s="466">
        <f t="shared" si="59"/>
        <v>0</v>
      </c>
      <c r="O617" s="466">
        <f t="shared" si="59"/>
        <v>0</v>
      </c>
      <c r="P617" s="467">
        <f t="shared" si="59"/>
        <v>0</v>
      </c>
      <c r="R617" s="140"/>
    </row>
    <row r="618" spans="1:18" ht="15.75" customHeight="1" thickBot="1">
      <c r="A618" s="172"/>
      <c r="B618" s="85" t="s">
        <v>239</v>
      </c>
      <c r="C618" s="284" t="str">
        <f>VLOOKUP(B618,NodeList!$D$5:$E$73,2,FALSE)</f>
        <v>Aggregate Idaho Diversions</v>
      </c>
      <c r="D618" s="91"/>
      <c r="E618" s="450"/>
      <c r="F618" s="451"/>
      <c r="G618" s="452"/>
      <c r="H618" s="453" t="s">
        <v>54</v>
      </c>
      <c r="I618" s="68">
        <v>60</v>
      </c>
      <c r="J618" s="454"/>
      <c r="K618" s="454"/>
      <c r="L618" s="454"/>
      <c r="M618" s="454"/>
      <c r="N618" s="454"/>
      <c r="O618" s="454"/>
      <c r="P618" s="455"/>
    </row>
    <row r="619" spans="1:18" ht="15.75" customHeight="1">
      <c r="A619" s="172"/>
      <c r="B619" s="94"/>
      <c r="C619" s="66" t="s">
        <v>57</v>
      </c>
      <c r="D619" s="69"/>
      <c r="E619" s="456">
        <f>VLOOKUP($B618,'Diversion Data'!$B$3:$O$227,3,FALSE)</f>
        <v>0</v>
      </c>
      <c r="F619" s="456">
        <f>VLOOKUP($B618,'Diversion Data'!$B$3:$O$227,4,FALSE)</f>
        <v>0</v>
      </c>
      <c r="G619" s="456">
        <f>VLOOKUP($B618,'Diversion Data'!$B$3:$O$227,5,FALSE)</f>
        <v>0</v>
      </c>
      <c r="H619" s="456">
        <f>VLOOKUP($B618,'Diversion Data'!$B$3:$O$227,6,FALSE)</f>
        <v>0</v>
      </c>
      <c r="I619" s="456">
        <f>VLOOKUP($B618,'Diversion Data'!$B$3:$O$227,7,FALSE)</f>
        <v>14147.079487965479</v>
      </c>
      <c r="J619" s="456">
        <f>VLOOKUP($B618,'Diversion Data'!$B$3:$O$227,8,FALSE)</f>
        <v>15309.143528959559</v>
      </c>
      <c r="K619" s="456">
        <f>VLOOKUP($B618,'Diversion Data'!$B$3:$O$227,9,FALSE)</f>
        <v>8206.3481871249023</v>
      </c>
      <c r="L619" s="456">
        <f>VLOOKUP($B618,'Diversion Data'!$B$3:$O$227,10,FALSE)</f>
        <v>5182.5511755494081</v>
      </c>
      <c r="M619" s="456">
        <f>VLOOKUP($B618,'Diversion Data'!$B$3:$O$227,11,FALSE)</f>
        <v>4383.958486621128</v>
      </c>
      <c r="N619" s="456">
        <f>VLOOKUP($B618,'Diversion Data'!$B$3:$O$227,12,FALSE)</f>
        <v>0</v>
      </c>
      <c r="O619" s="456">
        <f>VLOOKUP($B618,'Diversion Data'!$B$3:$O$227,13,FALSE)</f>
        <v>0</v>
      </c>
      <c r="P619" s="457">
        <f>VLOOKUP($B618,'Diversion Data'!$B$3:$O$227,14,FALSE)</f>
        <v>0</v>
      </c>
    </row>
    <row r="620" spans="1:18" ht="15.75" customHeight="1">
      <c r="A620" s="172"/>
      <c r="B620" s="95"/>
      <c r="C620" s="72" t="s">
        <v>56</v>
      </c>
      <c r="D620" s="70"/>
      <c r="E620" s="458">
        <f>VLOOKUP($I618,'Option Tables'!$B$3:$N$19,2,FALSE)*E619</f>
        <v>0</v>
      </c>
      <c r="F620" s="458">
        <f>VLOOKUP($I618,'Option Tables'!$B$3:$N$19,3,FALSE)*F619</f>
        <v>0</v>
      </c>
      <c r="G620" s="458">
        <f>VLOOKUP($I618,'Option Tables'!$B$3:$N$19,4,FALSE)*G619</f>
        <v>0</v>
      </c>
      <c r="H620" s="458">
        <f>VLOOKUP($I618,'Option Tables'!$B$3:$N$19,5,FALSE)*H619</f>
        <v>0</v>
      </c>
      <c r="I620" s="458">
        <f>VLOOKUP($I618,'Option Tables'!$B$3:$N$19,6,FALSE)*I619</f>
        <v>5658.8317951861918</v>
      </c>
      <c r="J620" s="458">
        <f>VLOOKUP($I618,'Option Tables'!$B$3:$N$19,7,FALSE)*J619</f>
        <v>6123.6574115838239</v>
      </c>
      <c r="K620" s="458">
        <f>VLOOKUP($I618,'Option Tables'!$B$3:$N$19,8,FALSE)*K619</f>
        <v>3282.5392748499612</v>
      </c>
      <c r="L620" s="458">
        <f>VLOOKUP($I618,'Option Tables'!$B$3:$N$19,9,FALSE)*L619</f>
        <v>2073.0204702197634</v>
      </c>
      <c r="M620" s="458">
        <f>VLOOKUP($I618,'Option Tables'!$B$3:$N$19,10,FALSE)*M619</f>
        <v>1753.5833946484513</v>
      </c>
      <c r="N620" s="458">
        <f>VLOOKUP($I618,'Option Tables'!$B$3:$N$19,11,FALSE)*N619</f>
        <v>0</v>
      </c>
      <c r="O620" s="458">
        <f>VLOOKUP($I618,'Option Tables'!$B$3:$N$19,12,FALSE)*O619</f>
        <v>0</v>
      </c>
      <c r="P620" s="459">
        <f>VLOOKUP($I618,'Option Tables'!$B$3:$N$19,13,FALSE)*P619</f>
        <v>0</v>
      </c>
    </row>
    <row r="621" spans="1:18" ht="15.75" customHeight="1" thickBot="1">
      <c r="A621" s="172"/>
      <c r="B621" s="95"/>
      <c r="C621" s="66"/>
      <c r="D621" s="62"/>
      <c r="E621" s="355"/>
      <c r="F621" s="355"/>
      <c r="G621" s="355"/>
      <c r="H621" s="355"/>
      <c r="I621" s="355"/>
      <c r="J621" s="355"/>
      <c r="K621" s="355"/>
      <c r="L621" s="355"/>
      <c r="M621" s="460"/>
      <c r="N621" s="460"/>
      <c r="O621" s="460"/>
      <c r="P621" s="461"/>
    </row>
    <row r="622" spans="1:18" ht="15.75" customHeight="1" thickBot="1">
      <c r="A622" s="172"/>
      <c r="B622" s="254" t="s">
        <v>73</v>
      </c>
      <c r="C622" s="105" t="s">
        <v>73</v>
      </c>
      <c r="D622" s="105" t="s">
        <v>74</v>
      </c>
      <c r="E622" s="462"/>
      <c r="F622" s="463"/>
      <c r="G622" s="464"/>
      <c r="H622" s="464" t="s">
        <v>55</v>
      </c>
      <c r="I622" s="68">
        <v>2</v>
      </c>
      <c r="J622" s="460"/>
      <c r="K622" s="460"/>
      <c r="L622" s="460"/>
      <c r="M622" s="460"/>
      <c r="N622" s="460"/>
      <c r="O622" s="460"/>
      <c r="P622" s="461"/>
    </row>
    <row r="623" spans="1:18" ht="15.75" customHeight="1">
      <c r="A623" s="172"/>
      <c r="B623" s="255" t="str">
        <f>"("&amp;VLOOKUP(C623,NodeList!$D$5:$E$71,2,FALSE)&amp;")"</f>
        <v>(Rainbow Inlet)</v>
      </c>
      <c r="C623" s="256" t="s">
        <v>240</v>
      </c>
      <c r="D623" s="388">
        <v>1</v>
      </c>
      <c r="E623" s="355">
        <f>$D623*((E620*(VLOOKUP(I622,'Option Tables'!$B$23:$F$26,2)))+(P620*(VLOOKUP(I622,'Option Tables'!$B$23:$F$26,3)))+(O620*(VLOOKUP(I622,'Option Tables'!$B$23:$F$26,4))+(N620*(VLOOKUP(I622,'Option Tables'!$B$23:$F$26,5)))))</f>
        <v>0</v>
      </c>
      <c r="F623" s="355">
        <f>$D623*((F620*(VLOOKUP(I622,'Option Tables'!$B$23:$F$26,2)))+(E620*(VLOOKUP(I622,'Option Tables'!$B$23:$F$26,3)))+(P620*(VLOOKUP(I622,'Option Tables'!$B$23:$F$26,4))+(O620*(VLOOKUP(I622,'Option Tables'!$B$23:$F$26,5)))))</f>
        <v>0</v>
      </c>
      <c r="G623" s="355">
        <f>$D623*((G620*(VLOOKUP(I622,'Option Tables'!$B$23:$F$26,2)))+(F620*(VLOOKUP(I622,'Option Tables'!$B$23:$F$26,3)))+(E620*(VLOOKUP(I622,'Option Tables'!$B$23:$F$26,4))+(P620*(VLOOKUP(I622,'Option Tables'!$B$23:$F$26,5)))))</f>
        <v>0</v>
      </c>
      <c r="H623" s="355">
        <f>$D623*((H620*(VLOOKUP(I622,'Option Tables'!$B$23:$F$26,2)))+(G620*(VLOOKUP(I622,'Option Tables'!$B$23:$F$26,3)))+(F620*(VLOOKUP(I622,'Option Tables'!$B$23:$F$26,4))+(E620*(VLOOKUP(I622,'Option Tables'!$B$23:$F$26,5)))))</f>
        <v>0</v>
      </c>
      <c r="I623" s="355">
        <f>$D623*((I620*(VLOOKUP(I622,'Option Tables'!$B$23:$F$26,2)))+(H620*(VLOOKUP(I622,'Option Tables'!$B$23:$F$26,3)))+(G620*(VLOOKUP(I622,'Option Tables'!$B$23:$F$26,4))+(F620*(VLOOKUP(I622,'Option Tables'!$B$23:$F$26,5)))))</f>
        <v>3961.182256630334</v>
      </c>
      <c r="J623" s="355">
        <f>$D623*((J620*(VLOOKUP(I622,'Option Tables'!$B$23:$F$26,2)))+(I620*(VLOOKUP(I622,'Option Tables'!$B$23:$F$26,3)))+(H620*(VLOOKUP(I622,'Option Tables'!$B$23:$F$26,4))+(G620*(VLOOKUP(I622,'Option Tables'!$B$23:$F$26,5)))))</f>
        <v>5418.3265471459154</v>
      </c>
      <c r="K623" s="355">
        <f>$D623*((K620*(VLOOKUP(I622,'Option Tables'!$B$23:$F$26,2)))+(J620*(VLOOKUP(I622,'Option Tables'!$B$23:$F$26,3)))+(I620*(VLOOKUP(I622,'Option Tables'!$B$23:$F$26,4))+(H620*(VLOOKUP(I622,'Option Tables'!$B$23:$F$26,5)))))</f>
        <v>4088.3921542303569</v>
      </c>
      <c r="L623" s="355">
        <f>$D623*((L620*(VLOOKUP(I622,'Option Tables'!$B$23:$F$26,2)))+(K620*(VLOOKUP(I622,'Option Tables'!$B$23:$F$26,3)))+(J620*(VLOOKUP(I622,'Option Tables'!$B$23:$F$26,4))+(I620*(VLOOKUP(I622,'Option Tables'!$B$23:$F$26,5)))))</f>
        <v>2719.9879252822093</v>
      </c>
      <c r="M623" s="355">
        <f>$D623*((M620*(VLOOKUP(I622,'Option Tables'!$B$23:$F$26,2)))+(L620*(VLOOKUP(I622,'Option Tables'!$B$23:$F$26,3)))+(K620*(VLOOKUP(I622,'Option Tables'!$B$23:$F$26,4))+(J620*(VLOOKUP(I622,'Option Tables'!$B$23:$F$26,5)))))</f>
        <v>1970.3663977828649</v>
      </c>
      <c r="N623" s="355">
        <f>$D623*((N620*(VLOOKUP(I622,'Option Tables'!$B$23:$F$26,2)))+(M620*(VLOOKUP(I622,'Option Tables'!$B$23:$F$26,3)))+(L620*(VLOOKUP(I622,'Option Tables'!$B$23:$F$26,4))+(K620*(VLOOKUP(I622,'Option Tables'!$B$23:$F$26,5)))))</f>
        <v>558.01872595166662</v>
      </c>
      <c r="O623" s="355">
        <f>$D623*((O620*(VLOOKUP(I622,'Option Tables'!$B$23:$F$26,2)))+(N620*(VLOOKUP(I622,'Option Tables'!$B$23:$F$26,3)))+(M620*(VLOOKUP(I622,'Option Tables'!$B$23:$F$26,4))+(L620*(VLOOKUP(I622,'Option Tables'!$B$23:$F$26,5)))))</f>
        <v>175.35833946484513</v>
      </c>
      <c r="P623" s="465">
        <f>$D623*((P620*(VLOOKUP(I622,'Option Tables'!$B$23:$F$26,2)))+(O620*(VLOOKUP(I622,'Option Tables'!$B$23:$F$26,3)))+(N620*(VLOOKUP(I622,'Option Tables'!$B$23:$F$26,4))+(M620*(VLOOKUP(I622,'Option Tables'!$B$23:$F$26,5)))))</f>
        <v>0</v>
      </c>
    </row>
    <row r="624" spans="1:18" ht="15.75" customHeight="1">
      <c r="A624" s="172"/>
      <c r="B624" s="255" t="str">
        <f>"("&amp;VLOOKUP(C624,NodeList!$D$5:$E$71,2,FALSE)&amp;")"</f>
        <v>(Stewart Dam)</v>
      </c>
      <c r="C624" s="256" t="s">
        <v>324</v>
      </c>
      <c r="D624" s="388">
        <v>0</v>
      </c>
      <c r="E624" s="355">
        <f>$D624*((E620*(VLOOKUP(I622,'Option Tables'!$B$23:$F$26,2)))+(P620*(VLOOKUP(I622,'Option Tables'!$B$23:$F$26,3)))+(O620*(VLOOKUP(I622,'Option Tables'!$B$23:$F$26,4))+(N620*(VLOOKUP(I622,'Option Tables'!$B$23:$F$26,5)))))</f>
        <v>0</v>
      </c>
      <c r="F624" s="355">
        <f>$D624*((F620*(VLOOKUP(I622,'Option Tables'!$B$23:$F$26,2)))+(E620*(VLOOKUP(I622,'Option Tables'!$B$23:$F$26,3)))+(P620*(VLOOKUP(I622,'Option Tables'!$B$23:$F$26,4))+(O620*(VLOOKUP(I622,'Option Tables'!$B$23:$F$26,5)))))</f>
        <v>0</v>
      </c>
      <c r="G624" s="355">
        <f>$D624*((G620*(VLOOKUP(I622,'Option Tables'!$B$23:$F$26,2)))+(F620*(VLOOKUP(I622,'Option Tables'!$B$23:$F$26,3)))+(E620*(VLOOKUP(I622,'Option Tables'!$B$23:$F$26,4))+(P620*(VLOOKUP(I622,'Option Tables'!$B$23:$F$26,5)))))</f>
        <v>0</v>
      </c>
      <c r="H624" s="355">
        <f>$D624*((H620*(VLOOKUP(I622,'Option Tables'!$B$23:$F$26,2)))+(G620*(VLOOKUP(I622,'Option Tables'!$B$23:$F$26,3)))+(F620*(VLOOKUP(I622,'Option Tables'!$B$23:$F$26,4))+(E620*(VLOOKUP(I622,'Option Tables'!$B$23:$F$26,5)))))</f>
        <v>0</v>
      </c>
      <c r="I624" s="355">
        <f>$D624*((I620*(VLOOKUP(I622,'Option Tables'!$B$23:$F$26,2)))+(H620*(VLOOKUP(I622,'Option Tables'!$B$23:$F$26,3)))+(G620*(VLOOKUP(I622,'Option Tables'!$B$23:$F$26,4))+(F620*(VLOOKUP(I622,'Option Tables'!$B$23:$F$26,5)))))</f>
        <v>0</v>
      </c>
      <c r="J624" s="355">
        <f>$D624*((J620*(VLOOKUP(I622,'Option Tables'!$B$23:$F$26,2)))+(I620*(VLOOKUP(I622,'Option Tables'!$B$23:$F$26,3)))+(H620*(VLOOKUP(I622,'Option Tables'!$B$23:$F$26,4))+(G620*(VLOOKUP(I622,'Option Tables'!$B$23:$F$26,5)))))</f>
        <v>0</v>
      </c>
      <c r="K624" s="355">
        <f>$D624*((K620*(VLOOKUP(I622,'Option Tables'!$B$23:$F$26,2)))+(J620*(VLOOKUP(I622,'Option Tables'!$B$23:$F$26,3)))+(I620*(VLOOKUP(I622,'Option Tables'!$B$23:$F$26,4))+(H620*(VLOOKUP(I622,'Option Tables'!$B$23:$F$26,5)))))</f>
        <v>0</v>
      </c>
      <c r="L624" s="355">
        <f>$D624*((L620*(VLOOKUP(I622,'Option Tables'!$B$23:$F$26,2)))+(K620*(VLOOKUP(I622,'Option Tables'!$B$23:$F$26,3)))+(J620*(VLOOKUP(I622,'Option Tables'!$B$23:$F$26,4))+(I620*(VLOOKUP(I622,'Option Tables'!$B$23:$F$26,5)))))</f>
        <v>0</v>
      </c>
      <c r="M624" s="355">
        <f>$D624*((M620*(VLOOKUP(I622,'Option Tables'!$B$23:$F$26,2)))+(L620*(VLOOKUP(I622,'Option Tables'!$B$23:$F$26,3)))+(K620*(VLOOKUP(I622,'Option Tables'!$B$23:$F$26,4))+(J620*(VLOOKUP(I622,'Option Tables'!$B$23:$F$26,5)))))</f>
        <v>0</v>
      </c>
      <c r="N624" s="355">
        <f>$D624*((N620*(VLOOKUP(I622,'Option Tables'!$B$23:$F$26,2)))+(M620*(VLOOKUP(I622,'Option Tables'!$B$23:$F$26,3)))+(L620*(VLOOKUP(I622,'Option Tables'!$B$23:$F$26,4))+(K620*(VLOOKUP(I622,'Option Tables'!$B$23:$F$26,5)))))</f>
        <v>0</v>
      </c>
      <c r="O624" s="355">
        <f>$D624*((O620*(VLOOKUP(I622,'Option Tables'!$B$23:$F$26,2)))+(N620*(VLOOKUP(I622,'Option Tables'!$B$23:$F$26,3)))+(M620*(VLOOKUP(I622,'Option Tables'!$B$23:$F$26,4))+(L620*(VLOOKUP(I622,'Option Tables'!$B$23:$F$26,5)))))</f>
        <v>0</v>
      </c>
      <c r="P624" s="465">
        <f>$D624*((P620*(VLOOKUP(I622,'Option Tables'!$B$23:$F$26,2)))+(O620*(VLOOKUP(I622,'Option Tables'!$B$23:$F$26,3)))+(N620*(VLOOKUP(I622,'Option Tables'!$B$23:$F$26,4))+(M620*(VLOOKUP(I622,'Option Tables'!$B$23:$F$26,5)))))</f>
        <v>0</v>
      </c>
    </row>
    <row r="625" spans="1:19" ht="15.75" customHeight="1">
      <c r="A625" s="172"/>
      <c r="B625" s="95"/>
      <c r="C625" s="256"/>
      <c r="D625" s="388">
        <v>0</v>
      </c>
      <c r="E625" s="355">
        <f>$D625*((E620*(VLOOKUP(I622,'Option Tables'!$B$23:$F$26,2)))+(P620*(VLOOKUP(I622,'Option Tables'!$B$23:$F$26,3)))+(O620*(VLOOKUP(I622,'Option Tables'!$B$23:$F$26,4))+(N620*(VLOOKUP(I622,'Option Tables'!$B$23:$F$26,5)))))</f>
        <v>0</v>
      </c>
      <c r="F625" s="355">
        <f>$D625*((F620*(VLOOKUP(I622,'Option Tables'!$B$23:$F$26,2)))+(E620*(VLOOKUP(I622,'Option Tables'!$B$23:$F$26,3)))+(P620*(VLOOKUP(I622,'Option Tables'!$B$23:$F$26,4))+(O620*(VLOOKUP(I622,'Option Tables'!$B$23:$F$26,5)))))</f>
        <v>0</v>
      </c>
      <c r="G625" s="355">
        <f>$D625*((G620*(VLOOKUP(I622,'Option Tables'!$B$23:$F$26,2)))+(F620*(VLOOKUP(I622,'Option Tables'!$B$23:$F$26,3)))+(E620*(VLOOKUP(I622,'Option Tables'!$B$23:$F$26,4))+(P620*(VLOOKUP(I622,'Option Tables'!$B$23:$F$26,5)))))</f>
        <v>0</v>
      </c>
      <c r="H625" s="355">
        <f>$D625*((H620*(VLOOKUP(I622,'Option Tables'!$B$23:$F$26,2)))+(G620*(VLOOKUP(I622,'Option Tables'!$B$23:$F$26,3)))+(F620*(VLOOKUP(I622,'Option Tables'!$B$23:$F$26,4))+(E620*(VLOOKUP(I622,'Option Tables'!$B$23:$F$26,5)))))</f>
        <v>0</v>
      </c>
      <c r="I625" s="355">
        <f>$D625*((I620*(VLOOKUP(I622,'Option Tables'!$B$23:$F$26,2)))+(H620*(VLOOKUP(I622,'Option Tables'!$B$23:$F$26,3)))+(G620*(VLOOKUP(I622,'Option Tables'!$B$23:$F$26,4))+(F620*(VLOOKUP(I622,'Option Tables'!$B$23:$F$26,5)))))</f>
        <v>0</v>
      </c>
      <c r="J625" s="355">
        <f>$D625*((J620*(VLOOKUP(I622,'Option Tables'!$B$23:$F$26,2)))+(I620*(VLOOKUP(I622,'Option Tables'!$B$23:$F$26,3)))+(H620*(VLOOKUP(I622,'Option Tables'!$B$23:$F$26,4))+(G620*(VLOOKUP(I622,'Option Tables'!$B$23:$F$26,5)))))</f>
        <v>0</v>
      </c>
      <c r="K625" s="355">
        <f>$D625*((K620*(VLOOKUP(I622,'Option Tables'!$B$23:$F$26,2)))+(J620*(VLOOKUP(I622,'Option Tables'!$B$23:$F$26,3)))+(I620*(VLOOKUP(I622,'Option Tables'!$B$23:$F$26,4))+(H620*(VLOOKUP(I622,'Option Tables'!$B$23:$F$26,5)))))</f>
        <v>0</v>
      </c>
      <c r="L625" s="355">
        <f>$D625*((L620*(VLOOKUP(I622,'Option Tables'!$B$23:$F$26,2)))+(K620*(VLOOKUP(I622,'Option Tables'!$B$23:$F$26,3)))+(J620*(VLOOKUP(I622,'Option Tables'!$B$23:$F$26,4))+(I620*(VLOOKUP(I622,'Option Tables'!$B$23:$F$26,5)))))</f>
        <v>0</v>
      </c>
      <c r="M625" s="355">
        <f>$D625*((M620*(VLOOKUP(I622,'Option Tables'!$B$23:$F$26,2)))+(L620*(VLOOKUP(I622,'Option Tables'!$B$23:$F$26,3)))+(K620*(VLOOKUP(I622,'Option Tables'!$B$23:$F$26,4))+(J620*(VLOOKUP(I622,'Option Tables'!$B$23:$F$26,5)))))</f>
        <v>0</v>
      </c>
      <c r="N625" s="355">
        <f>$D625*((N620*(VLOOKUP(I622,'Option Tables'!$B$23:$F$26,2)))+(M620*(VLOOKUP(I622,'Option Tables'!$B$23:$F$26,3)))+(L620*(VLOOKUP(I622,'Option Tables'!$B$23:$F$26,4))+(K620*(VLOOKUP(I622,'Option Tables'!$B$23:$F$26,5)))))</f>
        <v>0</v>
      </c>
      <c r="O625" s="355">
        <f>$D625*((O620*(VLOOKUP(I622,'Option Tables'!$B$23:$F$26,2)))+(N620*(VLOOKUP(I622,'Option Tables'!$B$23:$F$26,3)))+(M620*(VLOOKUP(I622,'Option Tables'!$B$23:$F$26,4))+(L620*(VLOOKUP(I622,'Option Tables'!$B$23:$F$26,5)))))</f>
        <v>0</v>
      </c>
      <c r="P625" s="465">
        <f>$D625*((P620*(VLOOKUP(I622,'Option Tables'!$B$23:$F$26,2)))+(O620*(VLOOKUP(I622,'Option Tables'!$B$23:$F$26,3)))+(N620*(VLOOKUP(I622,'Option Tables'!$B$23:$F$26,4))+(M620*(VLOOKUP(I622,'Option Tables'!$B$23:$F$26,5)))))</f>
        <v>0</v>
      </c>
    </row>
    <row r="626" spans="1:19" ht="15.75" customHeight="1">
      <c r="A626" s="172"/>
      <c r="B626" s="95"/>
      <c r="C626" s="256"/>
      <c r="D626" s="388">
        <v>0</v>
      </c>
      <c r="E626" s="355">
        <f>$D626*((E620*(VLOOKUP(I622,'Option Tables'!$B$23:$F$26,2)))+(P620*(VLOOKUP(I622,'Option Tables'!$B$23:$F$26,3)))+(O620*(VLOOKUP(I622,'Option Tables'!$B$23:$F$26,4))+(N620*(VLOOKUP(I622,'Option Tables'!$B$23:$F$26,5)))))</f>
        <v>0</v>
      </c>
      <c r="F626" s="355">
        <f>$D626*((F620*(VLOOKUP(I622,'Option Tables'!$B$23:$F$26,2)))+(E620*(VLOOKUP(I622,'Option Tables'!$B$23:$F$26,3)))+(P620*(VLOOKUP(I622,'Option Tables'!$B$23:$F$26,4))+(O620*(VLOOKUP(I622,'Option Tables'!$B$23:$F$26,5)))))</f>
        <v>0</v>
      </c>
      <c r="G626" s="355">
        <f>$D626*((G620*(VLOOKUP(I622,'Option Tables'!$B$23:$F$26,2)))+(F620*(VLOOKUP(I622,'Option Tables'!$B$23:$F$26,3)))+(E620*(VLOOKUP(I622,'Option Tables'!$B$23:$F$26,4))+(P620*(VLOOKUP(I622,'Option Tables'!$B$23:$F$26,5)))))</f>
        <v>0</v>
      </c>
      <c r="H626" s="355">
        <f>$D626*((H620*(VLOOKUP(I622,'Option Tables'!$B$23:$F$26,2)))+(G620*(VLOOKUP(I622,'Option Tables'!$B$23:$F$26,3)))+(F620*(VLOOKUP(I622,'Option Tables'!$B$23:$F$26,4))+(E620*(VLOOKUP(I622,'Option Tables'!$B$23:$F$26,5)))))</f>
        <v>0</v>
      </c>
      <c r="I626" s="355">
        <f>$D626*((I620*(VLOOKUP(I622,'Option Tables'!$B$23:$F$26,2)))+(H620*(VLOOKUP(I622,'Option Tables'!$B$23:$F$26,3)))+(G620*(VLOOKUP(I622,'Option Tables'!$B$23:$F$26,4))+(F620*(VLOOKUP(I622,'Option Tables'!$B$23:$F$26,5)))))</f>
        <v>0</v>
      </c>
      <c r="J626" s="355">
        <f>$D626*((J620*(VLOOKUP(I622,'Option Tables'!$B$23:$F$26,2)))+(I620*(VLOOKUP(I622,'Option Tables'!$B$23:$F$26,3)))+(H620*(VLOOKUP(I622,'Option Tables'!$B$23:$F$26,4))+(G620*(VLOOKUP(I622,'Option Tables'!$B$23:$F$26,5)))))</f>
        <v>0</v>
      </c>
      <c r="K626" s="355">
        <f>$D626*((K620*(VLOOKUP(I622,'Option Tables'!$B$23:$F$26,2)))+(J620*(VLOOKUP(I622,'Option Tables'!$B$23:$F$26,3)))+(I620*(VLOOKUP(I622,'Option Tables'!$B$23:$F$26,4))+(H620*(VLOOKUP(I622,'Option Tables'!$B$23:$F$26,5)))))</f>
        <v>0</v>
      </c>
      <c r="L626" s="355">
        <f>$D626*((L620*(VLOOKUP(I622,'Option Tables'!$B$23:$F$26,2)))+(K620*(VLOOKUP(I622,'Option Tables'!$B$23:$F$26,3)))+(J620*(VLOOKUP(I622,'Option Tables'!$B$23:$F$26,4))+(I620*(VLOOKUP(I622,'Option Tables'!$B$23:$F$26,5)))))</f>
        <v>0</v>
      </c>
      <c r="M626" s="355">
        <f>$D626*((M620*(VLOOKUP(I622,'Option Tables'!$B$23:$F$26,2)))+(L620*(VLOOKUP(I622,'Option Tables'!$B$23:$F$26,3)))+(K620*(VLOOKUP(I622,'Option Tables'!$B$23:$F$26,4))+(J620*(VLOOKUP(I622,'Option Tables'!$B$23:$F$26,5)))))</f>
        <v>0</v>
      </c>
      <c r="N626" s="355">
        <f>$D626*((N620*(VLOOKUP(I622,'Option Tables'!$B$23:$F$26,2)))+(M620*(VLOOKUP(I622,'Option Tables'!$B$23:$F$26,3)))+(L620*(VLOOKUP(I622,'Option Tables'!$B$23:$F$26,4))+(K620*(VLOOKUP(I622,'Option Tables'!$B$23:$F$26,5)))))</f>
        <v>0</v>
      </c>
      <c r="O626" s="355">
        <f>$D626*((O620*(VLOOKUP(I622,'Option Tables'!$B$23:$F$26,2)))+(N620*(VLOOKUP(I622,'Option Tables'!$B$23:$F$26,3)))+(M620*(VLOOKUP(I622,'Option Tables'!$B$23:$F$26,4))+(L620*(VLOOKUP(I622,'Option Tables'!$B$23:$F$26,5)))))</f>
        <v>0</v>
      </c>
      <c r="P626" s="465">
        <f>$D626*((P620*(VLOOKUP(I622,'Option Tables'!$B$23:$F$26,2)))+(O620*(VLOOKUP(I622,'Option Tables'!$B$23:$F$26,3)))+(N620*(VLOOKUP(I622,'Option Tables'!$B$23:$F$26,4))+(M620*(VLOOKUP(I622,'Option Tables'!$B$23:$F$26,5)))))</f>
        <v>0</v>
      </c>
    </row>
    <row r="627" spans="1:19" ht="15.75" customHeight="1" thickBot="1">
      <c r="A627" s="172"/>
      <c r="B627" s="97"/>
      <c r="C627" s="144" t="str">
        <f>IF(D627&lt;&gt;1,"Must equal %100","")</f>
        <v/>
      </c>
      <c r="D627" s="71">
        <f t="shared" ref="D627:P627" si="60">SUM(D623:D626)</f>
        <v>1</v>
      </c>
      <c r="E627" s="466">
        <f t="shared" si="60"/>
        <v>0</v>
      </c>
      <c r="F627" s="466">
        <f t="shared" si="60"/>
        <v>0</v>
      </c>
      <c r="G627" s="466">
        <f t="shared" si="60"/>
        <v>0</v>
      </c>
      <c r="H627" s="466">
        <f t="shared" si="60"/>
        <v>0</v>
      </c>
      <c r="I627" s="466">
        <f t="shared" si="60"/>
        <v>3961.182256630334</v>
      </c>
      <c r="J627" s="466">
        <f t="shared" si="60"/>
        <v>5418.3265471459154</v>
      </c>
      <c r="K627" s="466">
        <f t="shared" si="60"/>
        <v>4088.3921542303569</v>
      </c>
      <c r="L627" s="466">
        <f t="shared" si="60"/>
        <v>2719.9879252822093</v>
      </c>
      <c r="M627" s="466">
        <f t="shared" si="60"/>
        <v>1970.3663977828649</v>
      </c>
      <c r="N627" s="466">
        <f t="shared" si="60"/>
        <v>558.01872595166662</v>
      </c>
      <c r="O627" s="466">
        <f t="shared" si="60"/>
        <v>175.35833946484513</v>
      </c>
      <c r="P627" s="467">
        <f t="shared" si="60"/>
        <v>0</v>
      </c>
      <c r="R627" s="140"/>
    </row>
    <row r="628" spans="1:19" ht="15.75" customHeight="1">
      <c r="A628" s="172"/>
      <c r="B628" s="206"/>
      <c r="C628" s="205"/>
      <c r="D628" s="98"/>
      <c r="E628" s="355"/>
      <c r="F628" s="355"/>
      <c r="G628" s="355"/>
      <c r="H628" s="355"/>
      <c r="I628" s="355"/>
      <c r="J628" s="355"/>
      <c r="K628" s="355"/>
      <c r="L628" s="355"/>
      <c r="M628" s="355"/>
      <c r="N628" s="355"/>
      <c r="O628" s="355"/>
      <c r="P628" s="355"/>
      <c r="R628" s="140"/>
    </row>
    <row r="629" spans="1:19" ht="15.75" customHeight="1">
      <c r="A629" s="172"/>
      <c r="B629" s="206"/>
      <c r="C629" s="205"/>
      <c r="D629" s="98"/>
      <c r="E629" s="355"/>
      <c r="F629" s="355"/>
      <c r="G629" s="355"/>
      <c r="H629" s="355"/>
      <c r="I629" s="355"/>
      <c r="J629" s="355"/>
      <c r="K629" s="355"/>
      <c r="L629" s="355"/>
      <c r="M629" s="355"/>
      <c r="N629" s="355"/>
      <c r="O629" s="355"/>
      <c r="P629" s="355"/>
      <c r="R629" s="140"/>
    </row>
    <row r="630" spans="1:19" ht="15.75" customHeight="1">
      <c r="A630" s="172"/>
      <c r="B630" s="206"/>
      <c r="C630" s="205"/>
      <c r="D630" s="98"/>
      <c r="E630" s="355"/>
      <c r="F630" s="355"/>
      <c r="G630" s="355"/>
      <c r="H630" s="355"/>
      <c r="I630" s="355"/>
      <c r="J630" s="355"/>
      <c r="K630" s="355"/>
      <c r="L630" s="355"/>
      <c r="M630" s="355"/>
      <c r="N630" s="355"/>
      <c r="O630" s="355"/>
      <c r="P630" s="355"/>
      <c r="R630" s="140"/>
    </row>
    <row r="631" spans="1:19" ht="15.75" customHeight="1">
      <c r="A631" s="172"/>
      <c r="B631" s="206"/>
      <c r="C631" s="205"/>
      <c r="D631" s="98"/>
      <c r="E631" s="355"/>
      <c r="F631" s="355"/>
      <c r="G631" s="355"/>
      <c r="H631" s="355"/>
      <c r="I631" s="355"/>
      <c r="J631" s="355"/>
      <c r="K631" s="355"/>
      <c r="L631" s="355"/>
      <c r="M631" s="355"/>
      <c r="N631" s="355"/>
      <c r="O631" s="355"/>
      <c r="P631" s="355"/>
      <c r="R631" s="140"/>
    </row>
    <row r="632" spans="1:19" ht="15.75" customHeight="1">
      <c r="A632" s="172"/>
      <c r="B632" s="206"/>
      <c r="C632" s="205"/>
      <c r="D632" s="98"/>
      <c r="E632" s="355"/>
      <c r="F632" s="355"/>
      <c r="G632" s="355"/>
      <c r="H632" s="355"/>
      <c r="I632" s="355"/>
      <c r="J632" s="355"/>
      <c r="K632" s="355"/>
      <c r="L632" s="355"/>
      <c r="M632" s="355"/>
      <c r="N632" s="355"/>
      <c r="O632" s="355"/>
      <c r="P632" s="355"/>
      <c r="R632" s="140"/>
    </row>
    <row r="633" spans="1:19" ht="15.75" customHeight="1">
      <c r="A633" s="172"/>
      <c r="B633" s="206"/>
      <c r="C633" s="205"/>
      <c r="D633" s="98"/>
      <c r="E633" s="355"/>
      <c r="F633" s="355"/>
      <c r="G633" s="355"/>
      <c r="H633" s="355"/>
      <c r="I633" s="355"/>
      <c r="J633" s="355"/>
      <c r="K633" s="355"/>
      <c r="L633" s="355"/>
      <c r="M633" s="355"/>
      <c r="N633" s="355"/>
      <c r="O633" s="355"/>
      <c r="P633" s="355"/>
      <c r="R633" s="140"/>
    </row>
    <row r="634" spans="1:19" ht="15.75" customHeight="1">
      <c r="A634" s="172"/>
      <c r="B634" s="206"/>
      <c r="C634" s="205"/>
      <c r="D634" s="98"/>
      <c r="E634" s="355"/>
      <c r="F634" s="355"/>
      <c r="G634" s="355"/>
      <c r="H634" s="355"/>
      <c r="I634" s="355"/>
      <c r="J634" s="355"/>
      <c r="K634" s="355"/>
      <c r="L634" s="355"/>
      <c r="M634" s="355"/>
      <c r="N634" s="355"/>
      <c r="O634" s="355"/>
      <c r="P634" s="355"/>
      <c r="R634" s="140"/>
    </row>
    <row r="635" spans="1:19" ht="15.75" customHeight="1">
      <c r="A635" s="172"/>
      <c r="B635" s="206"/>
      <c r="C635" s="205"/>
      <c r="D635" s="98"/>
      <c r="E635" s="355"/>
      <c r="F635" s="355"/>
      <c r="G635" s="355"/>
      <c r="H635" s="355"/>
      <c r="I635" s="355"/>
      <c r="J635" s="355"/>
      <c r="K635" s="355"/>
      <c r="L635" s="355"/>
      <c r="M635" s="355"/>
      <c r="N635" s="355"/>
      <c r="O635" s="355"/>
      <c r="P635" s="355"/>
      <c r="R635" s="140"/>
    </row>
    <row r="636" spans="1:19" ht="15.75" customHeight="1">
      <c r="A636" s="172"/>
      <c r="B636" s="206"/>
      <c r="C636" s="205"/>
      <c r="D636" s="98"/>
      <c r="E636" s="355"/>
      <c r="F636" s="355"/>
      <c r="G636" s="355"/>
      <c r="H636" s="355"/>
      <c r="I636" s="355"/>
      <c r="J636" s="355"/>
      <c r="K636" s="355"/>
      <c r="L636" s="355"/>
      <c r="M636" s="355"/>
      <c r="N636" s="355"/>
      <c r="O636" s="355"/>
      <c r="P636" s="355"/>
      <c r="R636" s="140"/>
    </row>
    <row r="637" spans="1:19" ht="15.75" customHeight="1">
      <c r="A637" s="172"/>
      <c r="B637" s="206"/>
      <c r="C637" s="205"/>
      <c r="D637" s="98"/>
      <c r="E637" s="355"/>
      <c r="F637" s="355"/>
      <c r="G637" s="355"/>
      <c r="H637" s="355"/>
      <c r="I637" s="355"/>
      <c r="J637" s="355"/>
      <c r="K637" s="355"/>
      <c r="L637" s="355"/>
      <c r="M637" s="355"/>
      <c r="N637" s="355"/>
      <c r="O637" s="355"/>
      <c r="P637" s="355"/>
      <c r="R637" s="140"/>
    </row>
    <row r="638" spans="1:19" ht="15.75" customHeight="1">
      <c r="A638" s="172"/>
      <c r="B638"/>
      <c r="C638"/>
      <c r="D638"/>
      <c r="E638" s="363"/>
      <c r="F638" s="363"/>
      <c r="G638" s="363"/>
      <c r="H638" s="363"/>
      <c r="I638" s="363"/>
      <c r="J638" s="363"/>
      <c r="K638" s="363"/>
      <c r="L638" s="363"/>
      <c r="M638" s="363"/>
      <c r="N638" s="363"/>
      <c r="O638" s="363"/>
      <c r="P638" s="363"/>
      <c r="Q638"/>
      <c r="R638"/>
      <c r="S638"/>
    </row>
    <row r="639" spans="1:19" ht="15.75" customHeight="1">
      <c r="B639"/>
      <c r="C639"/>
      <c r="D639"/>
      <c r="E639" s="363"/>
      <c r="F639" s="363"/>
      <c r="G639" s="363"/>
      <c r="H639" s="363"/>
      <c r="I639" s="363"/>
      <c r="J639" s="363"/>
      <c r="K639" s="363"/>
      <c r="L639" s="363"/>
      <c r="M639" s="363"/>
      <c r="N639" s="363"/>
      <c r="O639" s="363"/>
      <c r="P639" s="363"/>
      <c r="Q639"/>
      <c r="R639"/>
      <c r="S639"/>
    </row>
    <row r="640" spans="1:19" ht="15.75" customHeight="1">
      <c r="B640" s="99" t="s">
        <v>72</v>
      </c>
      <c r="R640" s="140"/>
    </row>
    <row r="641" spans="1:19" ht="15.75" customHeight="1">
      <c r="B641" s="89"/>
    </row>
    <row r="642" spans="1:19" ht="27" customHeight="1">
      <c r="A642" s="666"/>
      <c r="B642" s="259"/>
      <c r="C642" s="259"/>
      <c r="D642" s="676" t="s">
        <v>198</v>
      </c>
      <c r="E642" s="676"/>
      <c r="F642" s="676"/>
      <c r="G642" s="676"/>
      <c r="H642" s="676"/>
      <c r="I642" s="676"/>
      <c r="J642" s="676"/>
      <c r="K642" s="469"/>
      <c r="L642" s="469"/>
      <c r="M642" s="469"/>
      <c r="N642" s="469"/>
      <c r="O642" s="469"/>
      <c r="P642" s="469"/>
    </row>
    <row r="643" spans="1:19" ht="15.75" customHeight="1" thickBot="1">
      <c r="A643" s="666"/>
      <c r="B643" s="259"/>
      <c r="C643" s="259"/>
      <c r="D643" s="259"/>
      <c r="E643" s="469"/>
      <c r="F643" s="469"/>
      <c r="G643" s="469"/>
      <c r="H643" s="469"/>
      <c r="I643" s="469"/>
      <c r="J643" s="469"/>
      <c r="K643" s="469"/>
      <c r="L643" s="469"/>
      <c r="M643" s="469"/>
      <c r="N643" s="469"/>
      <c r="O643" s="469"/>
      <c r="P643" s="469"/>
    </row>
    <row r="644" spans="1:19" ht="15.75" customHeight="1" thickBot="1">
      <c r="A644" s="666"/>
      <c r="B644" s="260" t="s">
        <v>37</v>
      </c>
      <c r="C644" s="672" t="s">
        <v>36</v>
      </c>
      <c r="D644" s="673"/>
      <c r="E644" s="470" t="s">
        <v>0</v>
      </c>
      <c r="F644" s="470" t="s">
        <v>1</v>
      </c>
      <c r="G644" s="470" t="s">
        <v>2</v>
      </c>
      <c r="H644" s="470" t="s">
        <v>3</v>
      </c>
      <c r="I644" s="470" t="s">
        <v>4</v>
      </c>
      <c r="J644" s="470" t="s">
        <v>5</v>
      </c>
      <c r="K644" s="470" t="s">
        <v>6</v>
      </c>
      <c r="L644" s="470" t="s">
        <v>7</v>
      </c>
      <c r="M644" s="470" t="s">
        <v>8</v>
      </c>
      <c r="N644" s="470" t="s">
        <v>9</v>
      </c>
      <c r="O644" s="470" t="s">
        <v>10</v>
      </c>
      <c r="P644" s="470" t="s">
        <v>11</v>
      </c>
      <c r="Q644" s="106"/>
      <c r="R644" s="389" t="s">
        <v>193</v>
      </c>
      <c r="S644" s="390"/>
    </row>
    <row r="645" spans="1:19" ht="15.75" customHeight="1">
      <c r="A645" s="666"/>
      <c r="B645" s="261"/>
      <c r="C645" s="261"/>
      <c r="D645" s="261"/>
      <c r="E645" s="363"/>
      <c r="F645" s="363"/>
      <c r="G645" s="363"/>
      <c r="H645" s="363"/>
      <c r="I645" s="363"/>
      <c r="J645" s="363"/>
      <c r="K645" s="363"/>
      <c r="L645" s="363"/>
      <c r="M645" s="363"/>
      <c r="N645" s="363"/>
      <c r="O645" s="363"/>
      <c r="P645" s="363"/>
      <c r="Q645" s="104"/>
    </row>
    <row r="646" spans="1:19" ht="15.75" customHeight="1">
      <c r="A646" s="666"/>
      <c r="B646" s="262" t="s">
        <v>76</v>
      </c>
      <c r="C646" s="263" t="str">
        <f>VLOOKUP(B646,NodeList!$D$5:$E$100,2,FALSE)</f>
        <v>USGS 10011500:  Bear River near UT-WY State Line</v>
      </c>
      <c r="D646" s="259"/>
      <c r="E646" s="469">
        <f t="shared" ref="E646:P655" si="61">SUMIF($C$7:$C$640,($B646),E$7:E$640)</f>
        <v>0</v>
      </c>
      <c r="F646" s="469">
        <f t="shared" si="61"/>
        <v>0</v>
      </c>
      <c r="G646" s="469">
        <f t="shared" si="61"/>
        <v>0</v>
      </c>
      <c r="H646" s="469">
        <f t="shared" si="61"/>
        <v>0</v>
      </c>
      <c r="I646" s="469">
        <f t="shared" si="61"/>
        <v>0</v>
      </c>
      <c r="J646" s="469">
        <f t="shared" si="61"/>
        <v>0</v>
      </c>
      <c r="K646" s="469">
        <f t="shared" si="61"/>
        <v>0</v>
      </c>
      <c r="L646" s="469">
        <f t="shared" si="61"/>
        <v>0</v>
      </c>
      <c r="M646" s="469">
        <f t="shared" si="61"/>
        <v>0</v>
      </c>
      <c r="N646" s="469">
        <f t="shared" si="61"/>
        <v>0</v>
      </c>
      <c r="O646" s="469">
        <f t="shared" si="61"/>
        <v>0</v>
      </c>
      <c r="P646" s="469">
        <f t="shared" si="61"/>
        <v>0</v>
      </c>
      <c r="R646" s="96">
        <f>VALUE(INT(RIGHT(B646,5)))</f>
        <v>1</v>
      </c>
    </row>
    <row r="647" spans="1:19" ht="15.75" customHeight="1">
      <c r="A647" s="666"/>
      <c r="B647" s="262" t="s">
        <v>58</v>
      </c>
      <c r="C647" s="263" t="str">
        <f>VLOOKUP(B647,NodeList!$D$5:$E$100,2,FALSE)</f>
        <v>Lannon &amp; Lone Mountain</v>
      </c>
      <c r="D647" s="259"/>
      <c r="E647" s="469">
        <f t="shared" si="61"/>
        <v>0</v>
      </c>
      <c r="F647" s="469">
        <f t="shared" si="61"/>
        <v>0</v>
      </c>
      <c r="G647" s="469">
        <f t="shared" si="61"/>
        <v>0</v>
      </c>
      <c r="H647" s="469">
        <f t="shared" si="61"/>
        <v>0</v>
      </c>
      <c r="I647" s="469">
        <f t="shared" si="61"/>
        <v>0</v>
      </c>
      <c r="J647" s="469">
        <f t="shared" si="61"/>
        <v>0</v>
      </c>
      <c r="K647" s="469">
        <f t="shared" si="61"/>
        <v>0</v>
      </c>
      <c r="L647" s="469">
        <f t="shared" si="61"/>
        <v>0</v>
      </c>
      <c r="M647" s="469">
        <f t="shared" si="61"/>
        <v>0</v>
      </c>
      <c r="N647" s="469">
        <f t="shared" si="61"/>
        <v>0</v>
      </c>
      <c r="O647" s="469">
        <f t="shared" si="61"/>
        <v>0</v>
      </c>
      <c r="P647" s="469">
        <f t="shared" si="61"/>
        <v>0</v>
      </c>
      <c r="R647" s="96">
        <f t="shared" ref="R647:R710" si="62">VALUE(INT(RIGHT(B647,5)))</f>
        <v>1</v>
      </c>
    </row>
    <row r="648" spans="1:19" ht="15.75" customHeight="1">
      <c r="A648" s="666"/>
      <c r="B648" s="262" t="s">
        <v>59</v>
      </c>
      <c r="C648" s="263" t="str">
        <f>VLOOKUP(B648,NodeList!$D$5:$E$100,2,FALSE)</f>
        <v>Hilliard West Side</v>
      </c>
      <c r="D648" s="259"/>
      <c r="E648" s="469">
        <f t="shared" si="61"/>
        <v>0</v>
      </c>
      <c r="F648" s="469">
        <f t="shared" si="61"/>
        <v>0</v>
      </c>
      <c r="G648" s="469">
        <f t="shared" si="61"/>
        <v>0</v>
      </c>
      <c r="H648" s="469">
        <f t="shared" si="61"/>
        <v>0</v>
      </c>
      <c r="I648" s="469">
        <f t="shared" si="61"/>
        <v>0</v>
      </c>
      <c r="J648" s="469">
        <f t="shared" si="61"/>
        <v>0</v>
      </c>
      <c r="K648" s="469">
        <f t="shared" si="61"/>
        <v>0</v>
      </c>
      <c r="L648" s="469">
        <f t="shared" si="61"/>
        <v>0</v>
      </c>
      <c r="M648" s="469">
        <f t="shared" si="61"/>
        <v>0</v>
      </c>
      <c r="N648" s="469">
        <f t="shared" si="61"/>
        <v>0</v>
      </c>
      <c r="O648" s="469">
        <f t="shared" si="61"/>
        <v>0</v>
      </c>
      <c r="P648" s="469">
        <f t="shared" si="61"/>
        <v>0</v>
      </c>
      <c r="R648" s="96">
        <f t="shared" si="62"/>
        <v>1</v>
      </c>
    </row>
    <row r="649" spans="1:19" ht="15.75" customHeight="1">
      <c r="A649" s="666"/>
      <c r="B649" s="262" t="s">
        <v>60</v>
      </c>
      <c r="C649" s="263" t="str">
        <f>VLOOKUP(B649,NodeList!$D$5:$E$100,2,FALSE)</f>
        <v>Bear Canal</v>
      </c>
      <c r="D649" s="259"/>
      <c r="E649" s="469">
        <f t="shared" si="61"/>
        <v>0</v>
      </c>
      <c r="F649" s="469">
        <f t="shared" si="61"/>
        <v>0</v>
      </c>
      <c r="G649" s="469">
        <f t="shared" si="61"/>
        <v>0</v>
      </c>
      <c r="H649" s="469">
        <f t="shared" si="61"/>
        <v>0</v>
      </c>
      <c r="I649" s="469">
        <f t="shared" si="61"/>
        <v>0</v>
      </c>
      <c r="J649" s="469">
        <f t="shared" si="61"/>
        <v>0</v>
      </c>
      <c r="K649" s="469">
        <f t="shared" si="61"/>
        <v>0</v>
      </c>
      <c r="L649" s="469">
        <f t="shared" si="61"/>
        <v>0</v>
      </c>
      <c r="M649" s="469">
        <f t="shared" si="61"/>
        <v>0</v>
      </c>
      <c r="N649" s="469">
        <f t="shared" si="61"/>
        <v>0</v>
      </c>
      <c r="O649" s="469">
        <f t="shared" si="61"/>
        <v>0</v>
      </c>
      <c r="P649" s="469">
        <f t="shared" si="61"/>
        <v>0</v>
      </c>
      <c r="R649" s="96">
        <f t="shared" si="62"/>
        <v>1</v>
      </c>
    </row>
    <row r="650" spans="1:19" ht="15.75" customHeight="1">
      <c r="A650" s="666"/>
      <c r="B650" s="262" t="s">
        <v>61</v>
      </c>
      <c r="C650" s="263" t="str">
        <f>VLOOKUP(B650,NodeList!$D$5:$E$100,2,FALSE)</f>
        <v>Crown &amp; Pine Grove</v>
      </c>
      <c r="D650" s="259"/>
      <c r="E650" s="469">
        <f t="shared" si="61"/>
        <v>0</v>
      </c>
      <c r="F650" s="469">
        <f t="shared" si="61"/>
        <v>0</v>
      </c>
      <c r="G650" s="469">
        <f t="shared" si="61"/>
        <v>0</v>
      </c>
      <c r="H650" s="469">
        <f t="shared" si="61"/>
        <v>0</v>
      </c>
      <c r="I650" s="469">
        <f t="shared" si="61"/>
        <v>0</v>
      </c>
      <c r="J650" s="469">
        <f t="shared" si="61"/>
        <v>0</v>
      </c>
      <c r="K650" s="469">
        <f t="shared" si="61"/>
        <v>0</v>
      </c>
      <c r="L650" s="469">
        <f t="shared" si="61"/>
        <v>0</v>
      </c>
      <c r="M650" s="469">
        <f t="shared" si="61"/>
        <v>0</v>
      </c>
      <c r="N650" s="469">
        <f t="shared" si="61"/>
        <v>0</v>
      </c>
      <c r="O650" s="469">
        <f t="shared" si="61"/>
        <v>0</v>
      </c>
      <c r="P650" s="469">
        <f t="shared" si="61"/>
        <v>0</v>
      </c>
      <c r="R650" s="96">
        <f t="shared" si="62"/>
        <v>1</v>
      </c>
    </row>
    <row r="651" spans="1:19" ht="15.75" customHeight="1">
      <c r="A651" s="666"/>
      <c r="B651" s="262" t="s">
        <v>62</v>
      </c>
      <c r="C651" s="263" t="str">
        <f>VLOOKUP(B651,NodeList!$D$5:$E$100,2,FALSE)</f>
        <v>McGraw &amp; Big Bend</v>
      </c>
      <c r="D651" s="259"/>
      <c r="E651" s="469">
        <f t="shared" si="61"/>
        <v>0</v>
      </c>
      <c r="F651" s="469">
        <f t="shared" si="61"/>
        <v>0</v>
      </c>
      <c r="G651" s="469">
        <f t="shared" si="61"/>
        <v>0</v>
      </c>
      <c r="H651" s="469">
        <f t="shared" si="61"/>
        <v>0</v>
      </c>
      <c r="I651" s="469">
        <f t="shared" si="61"/>
        <v>0</v>
      </c>
      <c r="J651" s="469">
        <f t="shared" si="61"/>
        <v>0</v>
      </c>
      <c r="K651" s="469">
        <f t="shared" si="61"/>
        <v>0</v>
      </c>
      <c r="L651" s="469">
        <f t="shared" si="61"/>
        <v>0</v>
      </c>
      <c r="M651" s="469">
        <f t="shared" si="61"/>
        <v>0</v>
      </c>
      <c r="N651" s="469">
        <f t="shared" si="61"/>
        <v>0</v>
      </c>
      <c r="O651" s="469">
        <f t="shared" si="61"/>
        <v>0</v>
      </c>
      <c r="P651" s="469">
        <f t="shared" si="61"/>
        <v>0</v>
      </c>
      <c r="R651" s="96">
        <f t="shared" si="62"/>
        <v>1</v>
      </c>
    </row>
    <row r="652" spans="1:19" ht="15.75" customHeight="1">
      <c r="A652" s="666"/>
      <c r="B652" s="262" t="s">
        <v>63</v>
      </c>
      <c r="C652" s="263" t="str">
        <f>VLOOKUP(B652,NodeList!$D$5:$E$100,2,FALSE)</f>
        <v>Lewis</v>
      </c>
      <c r="D652" s="259"/>
      <c r="E652" s="469">
        <f t="shared" si="61"/>
        <v>0</v>
      </c>
      <c r="F652" s="469">
        <f t="shared" si="61"/>
        <v>0</v>
      </c>
      <c r="G652" s="469">
        <f t="shared" si="61"/>
        <v>0</v>
      </c>
      <c r="H652" s="469">
        <f t="shared" si="61"/>
        <v>0</v>
      </c>
      <c r="I652" s="469">
        <f t="shared" si="61"/>
        <v>698.68235651908367</v>
      </c>
      <c r="J652" s="469">
        <f t="shared" si="61"/>
        <v>968.60771967873416</v>
      </c>
      <c r="K652" s="469">
        <f t="shared" si="61"/>
        <v>652.21378626357421</v>
      </c>
      <c r="L652" s="469">
        <f t="shared" si="61"/>
        <v>342.08228612349774</v>
      </c>
      <c r="M652" s="469">
        <f t="shared" si="61"/>
        <v>164.7296905298877</v>
      </c>
      <c r="N652" s="469">
        <f t="shared" si="61"/>
        <v>47.061422650399173</v>
      </c>
      <c r="O652" s="469">
        <f t="shared" si="61"/>
        <v>12.517792007550877</v>
      </c>
      <c r="P652" s="469">
        <f t="shared" si="61"/>
        <v>1.2730463694065079</v>
      </c>
      <c r="R652" s="96">
        <f t="shared" si="62"/>
        <v>1</v>
      </c>
    </row>
    <row r="653" spans="1:19" ht="15.75" customHeight="1">
      <c r="A653" s="666"/>
      <c r="B653" s="262" t="s">
        <v>64</v>
      </c>
      <c r="C653" s="263" t="str">
        <f>VLOOKUP(B653,NodeList!$D$5:$E$100,2,FALSE)</f>
        <v>Meyers No. 2</v>
      </c>
      <c r="D653" s="259"/>
      <c r="E653" s="469">
        <f t="shared" si="61"/>
        <v>0</v>
      </c>
      <c r="F653" s="469">
        <f t="shared" si="61"/>
        <v>0</v>
      </c>
      <c r="G653" s="469">
        <f t="shared" si="61"/>
        <v>0</v>
      </c>
      <c r="H653" s="469">
        <f t="shared" si="61"/>
        <v>0</v>
      </c>
      <c r="I653" s="469">
        <f t="shared" si="61"/>
        <v>175.98238389408735</v>
      </c>
      <c r="J653" s="469">
        <f t="shared" si="61"/>
        <v>426.93790054520201</v>
      </c>
      <c r="K653" s="469">
        <f t="shared" si="61"/>
        <v>301.61268176121104</v>
      </c>
      <c r="L653" s="469">
        <f t="shared" si="61"/>
        <v>144.77077071305405</v>
      </c>
      <c r="M653" s="469">
        <f t="shared" si="61"/>
        <v>72.755059559013574</v>
      </c>
      <c r="N653" s="469">
        <f t="shared" si="61"/>
        <v>16.510467952034144</v>
      </c>
      <c r="O653" s="469">
        <f t="shared" si="61"/>
        <v>5.2039463232866741</v>
      </c>
      <c r="P653" s="469">
        <f t="shared" si="61"/>
        <v>0</v>
      </c>
      <c r="R653" s="96">
        <f t="shared" si="62"/>
        <v>1</v>
      </c>
    </row>
    <row r="654" spans="1:19" ht="15.75" customHeight="1">
      <c r="A654" s="666"/>
      <c r="B654" s="262" t="s">
        <v>65</v>
      </c>
      <c r="C654" s="263" t="str">
        <f>VLOOKUP(B654,NodeList!$D$5:$E$100,2,FALSE)</f>
        <v>Meyers No. 1</v>
      </c>
      <c r="D654" s="259"/>
      <c r="E654" s="469">
        <f t="shared" si="61"/>
        <v>0</v>
      </c>
      <c r="F654" s="469">
        <f t="shared" si="61"/>
        <v>0</v>
      </c>
      <c r="G654" s="469">
        <f t="shared" si="61"/>
        <v>0</v>
      </c>
      <c r="H654" s="469">
        <f t="shared" si="61"/>
        <v>0</v>
      </c>
      <c r="I654" s="469">
        <f t="shared" si="61"/>
        <v>121.31284964635887</v>
      </c>
      <c r="J654" s="469">
        <f t="shared" si="61"/>
        <v>322.79810446509123</v>
      </c>
      <c r="K654" s="469">
        <f t="shared" si="61"/>
        <v>386.58491427815318</v>
      </c>
      <c r="L654" s="469">
        <f t="shared" si="61"/>
        <v>227.89833996780061</v>
      </c>
      <c r="M654" s="469">
        <f t="shared" si="61"/>
        <v>130.87921291820174</v>
      </c>
      <c r="N654" s="469">
        <f t="shared" si="61"/>
        <v>32.096282193447209</v>
      </c>
      <c r="O654" s="469">
        <f t="shared" si="61"/>
        <v>8.5655701244502076</v>
      </c>
      <c r="P654" s="469">
        <f t="shared" si="61"/>
        <v>0</v>
      </c>
      <c r="R654" s="96">
        <f t="shared" si="62"/>
        <v>1</v>
      </c>
    </row>
    <row r="655" spans="1:19" ht="15.75" customHeight="1">
      <c r="A655" s="666"/>
      <c r="B655" s="262" t="s">
        <v>66</v>
      </c>
      <c r="C655" s="263" t="str">
        <f>VLOOKUP(B655,NodeList!$D$5:$E$100,2,FALSE)</f>
        <v>Meyers Irrigation</v>
      </c>
      <c r="D655" s="259"/>
      <c r="E655" s="469">
        <f t="shared" si="61"/>
        <v>0</v>
      </c>
      <c r="F655" s="469">
        <f t="shared" si="61"/>
        <v>0</v>
      </c>
      <c r="G655" s="469">
        <f t="shared" si="61"/>
        <v>0</v>
      </c>
      <c r="H655" s="469">
        <f t="shared" si="61"/>
        <v>0</v>
      </c>
      <c r="I655" s="469">
        <f t="shared" si="61"/>
        <v>0</v>
      </c>
      <c r="J655" s="469">
        <f t="shared" si="61"/>
        <v>0</v>
      </c>
      <c r="K655" s="469">
        <f t="shared" si="61"/>
        <v>0</v>
      </c>
      <c r="L655" s="469">
        <f t="shared" si="61"/>
        <v>0</v>
      </c>
      <c r="M655" s="469">
        <f t="shared" si="61"/>
        <v>0</v>
      </c>
      <c r="N655" s="469">
        <f t="shared" si="61"/>
        <v>0</v>
      </c>
      <c r="O655" s="469">
        <f t="shared" si="61"/>
        <v>0</v>
      </c>
      <c r="P655" s="469">
        <f t="shared" si="61"/>
        <v>0</v>
      </c>
      <c r="R655" s="96">
        <f t="shared" si="62"/>
        <v>1</v>
      </c>
    </row>
    <row r="656" spans="1:19" ht="15.75" customHeight="1">
      <c r="A656" s="666"/>
      <c r="B656" s="262" t="s">
        <v>67</v>
      </c>
      <c r="C656" s="263" t="str">
        <f>VLOOKUP(B656,NodeList!$D$5:$E$100,2,FALSE)</f>
        <v>Evanston Pipeline</v>
      </c>
      <c r="D656" s="259"/>
      <c r="E656" s="469">
        <f t="shared" ref="E656:P663" si="63">SUMIF($C$7:$C$640,($B656),E$7:E$640)</f>
        <v>0</v>
      </c>
      <c r="F656" s="469">
        <f t="shared" si="63"/>
        <v>0</v>
      </c>
      <c r="G656" s="469">
        <f t="shared" si="63"/>
        <v>0</v>
      </c>
      <c r="H656" s="469">
        <f t="shared" si="63"/>
        <v>0</v>
      </c>
      <c r="I656" s="469">
        <f t="shared" si="63"/>
        <v>0</v>
      </c>
      <c r="J656" s="469">
        <f t="shared" si="63"/>
        <v>0</v>
      </c>
      <c r="K656" s="469">
        <f t="shared" si="63"/>
        <v>0</v>
      </c>
      <c r="L656" s="469">
        <f t="shared" si="63"/>
        <v>0</v>
      </c>
      <c r="M656" s="469">
        <f t="shared" si="63"/>
        <v>0</v>
      </c>
      <c r="N656" s="469">
        <f t="shared" si="63"/>
        <v>0</v>
      </c>
      <c r="O656" s="469">
        <f t="shared" si="63"/>
        <v>0</v>
      </c>
      <c r="P656" s="469">
        <f t="shared" si="63"/>
        <v>0</v>
      </c>
      <c r="R656" s="96">
        <f t="shared" si="62"/>
        <v>1</v>
      </c>
    </row>
    <row r="657" spans="1:18" ht="15.75" customHeight="1">
      <c r="A657" s="666"/>
      <c r="B657" s="262" t="s">
        <v>68</v>
      </c>
      <c r="C657" s="263" t="str">
        <f>VLOOKUP(B657,NodeList!$D$5:$E$100,2,FALSE)</f>
        <v>Booth</v>
      </c>
      <c r="D657" s="259"/>
      <c r="E657" s="469">
        <f t="shared" si="63"/>
        <v>0</v>
      </c>
      <c r="F657" s="469">
        <f t="shared" si="63"/>
        <v>0</v>
      </c>
      <c r="G657" s="469">
        <f t="shared" si="63"/>
        <v>0</v>
      </c>
      <c r="H657" s="469">
        <f t="shared" si="63"/>
        <v>0</v>
      </c>
      <c r="I657" s="469">
        <f t="shared" si="63"/>
        <v>36.288120200147823</v>
      </c>
      <c r="J657" s="469">
        <f t="shared" si="63"/>
        <v>71.414612749492562</v>
      </c>
      <c r="K657" s="469">
        <f t="shared" si="63"/>
        <v>92.55587956327129</v>
      </c>
      <c r="L657" s="469">
        <f t="shared" si="63"/>
        <v>74.72079788985846</v>
      </c>
      <c r="M657" s="469">
        <f t="shared" si="63"/>
        <v>36.657465014532434</v>
      </c>
      <c r="N657" s="469">
        <f t="shared" si="63"/>
        <v>10.436819052331817</v>
      </c>
      <c r="O657" s="469">
        <f t="shared" si="63"/>
        <v>1.9312764534286158</v>
      </c>
      <c r="P657" s="469">
        <f t="shared" si="63"/>
        <v>0</v>
      </c>
      <c r="R657" s="96">
        <f t="shared" si="62"/>
        <v>1</v>
      </c>
    </row>
    <row r="658" spans="1:18" ht="15.75" customHeight="1">
      <c r="A658" s="666"/>
      <c r="B658" s="262" t="s">
        <v>69</v>
      </c>
      <c r="C658" s="263" t="str">
        <f>VLOOKUP(B658,NodeList!$D$5:$E$100,2,FALSE)</f>
        <v>Anel</v>
      </c>
      <c r="D658" s="259"/>
      <c r="E658" s="469">
        <f t="shared" si="63"/>
        <v>0</v>
      </c>
      <c r="F658" s="469">
        <f t="shared" si="63"/>
        <v>0</v>
      </c>
      <c r="G658" s="469">
        <f t="shared" si="63"/>
        <v>0</v>
      </c>
      <c r="H658" s="469">
        <f t="shared" si="63"/>
        <v>0</v>
      </c>
      <c r="I658" s="469">
        <f t="shared" si="63"/>
        <v>105.16759068019213</v>
      </c>
      <c r="J658" s="469">
        <f t="shared" si="63"/>
        <v>151.1335990615413</v>
      </c>
      <c r="K658" s="469">
        <f t="shared" si="63"/>
        <v>161.71622557479338</v>
      </c>
      <c r="L658" s="469">
        <f t="shared" si="63"/>
        <v>104.60700624342354</v>
      </c>
      <c r="M658" s="469">
        <f t="shared" si="63"/>
        <v>80.946396715559914</v>
      </c>
      <c r="N658" s="469">
        <f t="shared" si="63"/>
        <v>21.936762558092976</v>
      </c>
      <c r="O658" s="469">
        <f t="shared" si="63"/>
        <v>7.019701714599174</v>
      </c>
      <c r="P658" s="469">
        <f t="shared" si="63"/>
        <v>0</v>
      </c>
      <c r="R658" s="96">
        <f t="shared" si="62"/>
        <v>1</v>
      </c>
    </row>
    <row r="659" spans="1:18" ht="15.75" customHeight="1">
      <c r="B659" s="262" t="s">
        <v>70</v>
      </c>
      <c r="C659" s="263" t="str">
        <f>VLOOKUP(B659,NodeList!$D$5:$E$100,2,FALSE)</f>
        <v>Evanston Water Supply</v>
      </c>
      <c r="D659" s="259"/>
      <c r="E659" s="469">
        <f t="shared" si="63"/>
        <v>0</v>
      </c>
      <c r="F659" s="469">
        <f t="shared" si="63"/>
        <v>0</v>
      </c>
      <c r="G659" s="469">
        <f t="shared" si="63"/>
        <v>0</v>
      </c>
      <c r="H659" s="469">
        <f t="shared" si="63"/>
        <v>0</v>
      </c>
      <c r="I659" s="469">
        <f t="shared" si="63"/>
        <v>0</v>
      </c>
      <c r="J659" s="469">
        <f t="shared" si="63"/>
        <v>0</v>
      </c>
      <c r="K659" s="469">
        <f t="shared" si="63"/>
        <v>0</v>
      </c>
      <c r="L659" s="469">
        <f t="shared" si="63"/>
        <v>0</v>
      </c>
      <c r="M659" s="469">
        <f t="shared" si="63"/>
        <v>0</v>
      </c>
      <c r="N659" s="469">
        <f t="shared" si="63"/>
        <v>0</v>
      </c>
      <c r="O659" s="469">
        <f t="shared" si="63"/>
        <v>0</v>
      </c>
      <c r="P659" s="469">
        <f t="shared" si="63"/>
        <v>0</v>
      </c>
      <c r="R659" s="96">
        <f t="shared" si="62"/>
        <v>1</v>
      </c>
    </row>
    <row r="660" spans="1:18" ht="15.75" customHeight="1">
      <c r="B660" s="262" t="s">
        <v>315</v>
      </c>
      <c r="C660" s="263" t="str">
        <f>VLOOKUP(B660,NodeList!$D$5:$E$100,2,FALSE)</f>
        <v>AggDiv BR-1</v>
      </c>
      <c r="D660" s="259"/>
      <c r="E660" s="469">
        <f t="shared" si="63"/>
        <v>0</v>
      </c>
      <c r="F660" s="469">
        <f t="shared" si="63"/>
        <v>0</v>
      </c>
      <c r="G660" s="469">
        <f t="shared" si="63"/>
        <v>0</v>
      </c>
      <c r="H660" s="469">
        <f t="shared" si="63"/>
        <v>0</v>
      </c>
      <c r="I660" s="469">
        <f t="shared" si="63"/>
        <v>103.55238223322624</v>
      </c>
      <c r="J660" s="469">
        <f t="shared" si="63"/>
        <v>199.35604882521798</v>
      </c>
      <c r="K660" s="469">
        <f t="shared" si="63"/>
        <v>159.47734545091217</v>
      </c>
      <c r="L660" s="469">
        <f t="shared" si="63"/>
        <v>67.307485586474172</v>
      </c>
      <c r="M660" s="469">
        <f t="shared" si="63"/>
        <v>26.754913706131198</v>
      </c>
      <c r="N660" s="469">
        <f t="shared" si="63"/>
        <v>4.6721840438491746</v>
      </c>
      <c r="O660" s="469">
        <f t="shared" si="63"/>
        <v>1.2235850828770665</v>
      </c>
      <c r="P660" s="469">
        <f t="shared" si="63"/>
        <v>0</v>
      </c>
      <c r="R660" s="96">
        <f t="shared" si="62"/>
        <v>1</v>
      </c>
    </row>
    <row r="661" spans="1:18" ht="15.75" customHeight="1">
      <c r="B661" s="262" t="s">
        <v>319</v>
      </c>
      <c r="C661" s="263" t="str">
        <f>VLOOKUP(B661,NodeList!$D$5:$E$100,2,FALSE)</f>
        <v>Confluence Mill Cr.</v>
      </c>
      <c r="D661" s="259"/>
      <c r="E661" s="469">
        <f t="shared" si="63"/>
        <v>0</v>
      </c>
      <c r="F661" s="469">
        <f t="shared" si="63"/>
        <v>0</v>
      </c>
      <c r="G661" s="469">
        <f t="shared" si="63"/>
        <v>0</v>
      </c>
      <c r="H661" s="469">
        <f t="shared" si="63"/>
        <v>0</v>
      </c>
      <c r="I661" s="469">
        <f t="shared" si="63"/>
        <v>293.73788268880367</v>
      </c>
      <c r="J661" s="469">
        <f t="shared" si="63"/>
        <v>563.19516094776043</v>
      </c>
      <c r="K661" s="469">
        <f t="shared" si="63"/>
        <v>475.20166766793727</v>
      </c>
      <c r="L661" s="469">
        <f t="shared" si="63"/>
        <v>293.76107938282155</v>
      </c>
      <c r="M661" s="469">
        <f t="shared" si="63"/>
        <v>160.64780297240117</v>
      </c>
      <c r="N661" s="469">
        <f t="shared" si="63"/>
        <v>54.49473102918585</v>
      </c>
      <c r="O661" s="469">
        <f t="shared" si="63"/>
        <v>14.367246020631455</v>
      </c>
      <c r="P661" s="469">
        <f t="shared" si="63"/>
        <v>2.9704415286151851</v>
      </c>
      <c r="R661" s="96">
        <f t="shared" si="62"/>
        <v>1</v>
      </c>
    </row>
    <row r="662" spans="1:18" ht="15.75" customHeight="1">
      <c r="B662" s="262" t="s">
        <v>147</v>
      </c>
      <c r="C662" s="263" t="str">
        <f>VLOOKUP(B662,NodeList!$D$5:$E$100,2,FALSE)</f>
        <v>USGS 10032000:  Smiths Fork nr Border,WY</v>
      </c>
      <c r="D662" s="259"/>
      <c r="E662" s="469">
        <f t="shared" si="63"/>
        <v>0</v>
      </c>
      <c r="F662" s="469">
        <f t="shared" si="63"/>
        <v>0</v>
      </c>
      <c r="G662" s="469">
        <f t="shared" si="63"/>
        <v>0</v>
      </c>
      <c r="H662" s="469">
        <f t="shared" si="63"/>
        <v>0</v>
      </c>
      <c r="I662" s="469">
        <f t="shared" si="63"/>
        <v>0</v>
      </c>
      <c r="J662" s="469">
        <f t="shared" si="63"/>
        <v>0</v>
      </c>
      <c r="K662" s="469">
        <f t="shared" si="63"/>
        <v>0</v>
      </c>
      <c r="L662" s="469">
        <f t="shared" si="63"/>
        <v>0</v>
      </c>
      <c r="M662" s="469">
        <f t="shared" si="63"/>
        <v>0</v>
      </c>
      <c r="N662" s="469">
        <f t="shared" si="63"/>
        <v>0</v>
      </c>
      <c r="O662" s="469">
        <f t="shared" si="63"/>
        <v>0</v>
      </c>
      <c r="P662" s="469">
        <f t="shared" si="63"/>
        <v>0</v>
      </c>
      <c r="R662" s="96">
        <f t="shared" si="62"/>
        <v>10</v>
      </c>
    </row>
    <row r="663" spans="1:18" ht="15.75" customHeight="1">
      <c r="B663" s="262" t="s">
        <v>132</v>
      </c>
      <c r="C663" s="263" t="str">
        <f>VLOOKUP(B663,NodeList!$D$5:$E$100,2,FALSE)</f>
        <v>Button Flat</v>
      </c>
      <c r="D663" s="259"/>
      <c r="E663" s="469">
        <f t="shared" si="63"/>
        <v>0</v>
      </c>
      <c r="F663" s="469">
        <f t="shared" si="63"/>
        <v>0</v>
      </c>
      <c r="G663" s="469">
        <f t="shared" si="63"/>
        <v>0</v>
      </c>
      <c r="H663" s="469">
        <f t="shared" si="63"/>
        <v>0</v>
      </c>
      <c r="I663" s="469">
        <f t="shared" si="63"/>
        <v>0</v>
      </c>
      <c r="J663" s="469">
        <f t="shared" si="63"/>
        <v>0</v>
      </c>
      <c r="K663" s="469">
        <f t="shared" si="63"/>
        <v>0</v>
      </c>
      <c r="L663" s="469">
        <f t="shared" si="63"/>
        <v>0</v>
      </c>
      <c r="M663" s="469">
        <f t="shared" si="63"/>
        <v>0</v>
      </c>
      <c r="N663" s="469">
        <f t="shared" si="63"/>
        <v>0</v>
      </c>
      <c r="O663" s="469">
        <f t="shared" si="63"/>
        <v>0</v>
      </c>
      <c r="P663" s="469">
        <f t="shared" si="63"/>
        <v>0</v>
      </c>
      <c r="R663" s="96">
        <f t="shared" si="62"/>
        <v>10</v>
      </c>
    </row>
    <row r="664" spans="1:18" ht="15.75" customHeight="1">
      <c r="B664" s="262" t="s">
        <v>138</v>
      </c>
      <c r="C664" s="263" t="str">
        <f>VLOOKUP(B664,NodeList!$D$5:$E$100,2,FALSE)</f>
        <v>Emelle</v>
      </c>
      <c r="D664" s="259"/>
      <c r="E664" s="469">
        <f t="shared" ref="E664:P673" si="64">SUMIF($C$7:$C$640,($B664),E$7:E$640)</f>
        <v>0</v>
      </c>
      <c r="F664" s="469">
        <f t="shared" si="64"/>
        <v>0</v>
      </c>
      <c r="G664" s="469">
        <f t="shared" si="64"/>
        <v>0</v>
      </c>
      <c r="H664" s="469">
        <f t="shared" si="64"/>
        <v>0</v>
      </c>
      <c r="I664" s="469">
        <f t="shared" si="64"/>
        <v>54.438183140495873</v>
      </c>
      <c r="J664" s="469">
        <f t="shared" si="64"/>
        <v>120.09329388429754</v>
      </c>
      <c r="K664" s="469">
        <f t="shared" si="64"/>
        <v>92.630349752066095</v>
      </c>
      <c r="L664" s="469">
        <f t="shared" si="64"/>
        <v>41.19014214876033</v>
      </c>
      <c r="M664" s="469">
        <f t="shared" si="64"/>
        <v>12.901334876033056</v>
      </c>
      <c r="N664" s="469">
        <f t="shared" si="64"/>
        <v>2.0874770247933885</v>
      </c>
      <c r="O664" s="469">
        <f t="shared" si="64"/>
        <v>0.29045884297520663</v>
      </c>
      <c r="P664" s="469">
        <f t="shared" si="64"/>
        <v>0</v>
      </c>
      <c r="R664" s="96">
        <f t="shared" si="62"/>
        <v>10</v>
      </c>
    </row>
    <row r="665" spans="1:18" ht="15.75" customHeight="1">
      <c r="B665" s="262" t="s">
        <v>136</v>
      </c>
      <c r="C665" s="263" t="str">
        <f>VLOOKUP(B665,NodeList!$D$5:$E$100,2,FALSE)</f>
        <v>Cooper</v>
      </c>
      <c r="D665" s="259"/>
      <c r="E665" s="469">
        <f t="shared" si="64"/>
        <v>0</v>
      </c>
      <c r="F665" s="469">
        <f t="shared" si="64"/>
        <v>0</v>
      </c>
      <c r="G665" s="469">
        <f t="shared" si="64"/>
        <v>0</v>
      </c>
      <c r="H665" s="469">
        <f t="shared" si="64"/>
        <v>0</v>
      </c>
      <c r="I665" s="469">
        <f t="shared" si="64"/>
        <v>60.466363305785116</v>
      </c>
      <c r="J665" s="469">
        <f t="shared" si="64"/>
        <v>154.52883636363637</v>
      </c>
      <c r="K665" s="469">
        <f t="shared" si="64"/>
        <v>138.53431404958678</v>
      </c>
      <c r="L665" s="469">
        <f t="shared" si="64"/>
        <v>73.412880991735534</v>
      </c>
      <c r="M665" s="469">
        <f t="shared" si="64"/>
        <v>27.000797024793386</v>
      </c>
      <c r="N665" s="469">
        <f t="shared" si="64"/>
        <v>5.7211851239669427</v>
      </c>
      <c r="O665" s="469">
        <f t="shared" si="64"/>
        <v>0.86799008264462807</v>
      </c>
      <c r="P665" s="469">
        <f t="shared" si="64"/>
        <v>0</v>
      </c>
      <c r="R665" s="96">
        <f t="shared" si="62"/>
        <v>10</v>
      </c>
    </row>
    <row r="666" spans="1:18" ht="15.75" customHeight="1">
      <c r="B666" s="262" t="s">
        <v>137</v>
      </c>
      <c r="C666" s="263" t="str">
        <f>VLOOKUP(B666,NodeList!$D$5:$E$100,2,FALSE)</f>
        <v>Covey</v>
      </c>
      <c r="D666" s="259"/>
      <c r="E666" s="469">
        <f t="shared" si="64"/>
        <v>0</v>
      </c>
      <c r="F666" s="469">
        <f t="shared" si="64"/>
        <v>0</v>
      </c>
      <c r="G666" s="469">
        <f t="shared" si="64"/>
        <v>0</v>
      </c>
      <c r="H666" s="469">
        <f t="shared" si="64"/>
        <v>0</v>
      </c>
      <c r="I666" s="469">
        <f t="shared" si="64"/>
        <v>185.22314479338843</v>
      </c>
      <c r="J666" s="469">
        <f t="shared" si="64"/>
        <v>347.77660165289257</v>
      </c>
      <c r="K666" s="469">
        <f t="shared" si="64"/>
        <v>240.53263074380163</v>
      </c>
      <c r="L666" s="469">
        <f t="shared" si="64"/>
        <v>114.62177090909091</v>
      </c>
      <c r="M666" s="469">
        <f t="shared" si="64"/>
        <v>34.738715702479332</v>
      </c>
      <c r="N666" s="469">
        <f t="shared" si="64"/>
        <v>6.7939659504132237</v>
      </c>
      <c r="O666" s="469">
        <f t="shared" si="64"/>
        <v>0.86799008264462807</v>
      </c>
      <c r="P666" s="469">
        <f t="shared" si="64"/>
        <v>0</v>
      </c>
      <c r="R666" s="96">
        <f t="shared" si="62"/>
        <v>10</v>
      </c>
    </row>
    <row r="667" spans="1:18" ht="15.75" customHeight="1">
      <c r="B667" s="262" t="s">
        <v>157</v>
      </c>
      <c r="C667" s="263" t="str">
        <f>VLOOKUP(B667,NodeList!$D$5:$E$100,2,FALSE)</f>
        <v>VH Canal</v>
      </c>
      <c r="D667" s="259"/>
      <c r="E667" s="469">
        <f t="shared" si="64"/>
        <v>0</v>
      </c>
      <c r="F667" s="469">
        <f t="shared" si="64"/>
        <v>0</v>
      </c>
      <c r="G667" s="469">
        <f t="shared" si="64"/>
        <v>0</v>
      </c>
      <c r="H667" s="469">
        <f t="shared" si="64"/>
        <v>0</v>
      </c>
      <c r="I667" s="469">
        <f t="shared" si="64"/>
        <v>0</v>
      </c>
      <c r="J667" s="469">
        <f t="shared" si="64"/>
        <v>0</v>
      </c>
      <c r="K667" s="469">
        <f t="shared" si="64"/>
        <v>0</v>
      </c>
      <c r="L667" s="469">
        <f t="shared" si="64"/>
        <v>0</v>
      </c>
      <c r="M667" s="469">
        <f t="shared" si="64"/>
        <v>0</v>
      </c>
      <c r="N667" s="469">
        <f t="shared" si="64"/>
        <v>0</v>
      </c>
      <c r="O667" s="469">
        <f t="shared" si="64"/>
        <v>0</v>
      </c>
      <c r="P667" s="469">
        <f t="shared" si="64"/>
        <v>0</v>
      </c>
      <c r="R667" s="96">
        <f t="shared" si="62"/>
        <v>10</v>
      </c>
    </row>
    <row r="668" spans="1:18" ht="15.75" customHeight="1">
      <c r="B668" s="262" t="s">
        <v>140</v>
      </c>
      <c r="C668" s="263" t="str">
        <f>VLOOKUP(B668,NodeList!$D$5:$E$100,2,FALSE)</f>
        <v>Goodell</v>
      </c>
      <c r="D668" s="259"/>
      <c r="E668" s="469">
        <f t="shared" si="64"/>
        <v>0</v>
      </c>
      <c r="F668" s="469">
        <f t="shared" si="64"/>
        <v>0</v>
      </c>
      <c r="G668" s="469">
        <f t="shared" si="64"/>
        <v>0</v>
      </c>
      <c r="H668" s="469">
        <f t="shared" si="64"/>
        <v>0</v>
      </c>
      <c r="I668" s="469">
        <f t="shared" si="64"/>
        <v>0</v>
      </c>
      <c r="J668" s="469">
        <f t="shared" si="64"/>
        <v>0</v>
      </c>
      <c r="K668" s="469">
        <f t="shared" si="64"/>
        <v>0</v>
      </c>
      <c r="L668" s="469">
        <f t="shared" si="64"/>
        <v>0</v>
      </c>
      <c r="M668" s="469">
        <f t="shared" si="64"/>
        <v>0</v>
      </c>
      <c r="N668" s="469">
        <f t="shared" si="64"/>
        <v>0</v>
      </c>
      <c r="O668" s="469">
        <f t="shared" si="64"/>
        <v>0</v>
      </c>
      <c r="P668" s="469">
        <f t="shared" si="64"/>
        <v>0</v>
      </c>
      <c r="R668" s="96">
        <f t="shared" si="62"/>
        <v>10</v>
      </c>
    </row>
    <row r="669" spans="1:18" ht="15.75" customHeight="1">
      <c r="B669" s="262" t="s">
        <v>159</v>
      </c>
      <c r="C669" s="263" t="str">
        <f>VLOOKUP(B669,NodeList!$D$5:$E$100,2,FALSE)</f>
        <v>Whites Water</v>
      </c>
      <c r="D669" s="259"/>
      <c r="E669" s="469">
        <f t="shared" si="64"/>
        <v>0</v>
      </c>
      <c r="F669" s="469">
        <f t="shared" si="64"/>
        <v>0</v>
      </c>
      <c r="G669" s="469">
        <f t="shared" si="64"/>
        <v>0</v>
      </c>
      <c r="H669" s="469">
        <f t="shared" si="64"/>
        <v>0</v>
      </c>
      <c r="I669" s="469">
        <f t="shared" si="64"/>
        <v>271.7851217458678</v>
      </c>
      <c r="J669" s="469">
        <f t="shared" si="64"/>
        <v>470.19817735020672</v>
      </c>
      <c r="K669" s="469">
        <f t="shared" si="64"/>
        <v>533.38134341942157</v>
      </c>
      <c r="L669" s="469">
        <f t="shared" si="64"/>
        <v>537.85747633781</v>
      </c>
      <c r="M669" s="469">
        <f t="shared" si="64"/>
        <v>472.89873128615699</v>
      </c>
      <c r="N669" s="469">
        <f t="shared" si="64"/>
        <v>229.29656731404958</v>
      </c>
      <c r="O669" s="469">
        <f t="shared" si="64"/>
        <v>108.23202590392562</v>
      </c>
      <c r="P669" s="469">
        <f t="shared" si="64"/>
        <v>40.039714907024788</v>
      </c>
      <c r="Q669" s="289"/>
      <c r="R669" s="96">
        <f t="shared" si="62"/>
        <v>10</v>
      </c>
    </row>
    <row r="670" spans="1:18" ht="15.75" customHeight="1">
      <c r="B670" s="262" t="s">
        <v>151</v>
      </c>
      <c r="C670" s="263" t="str">
        <f>VLOOKUP(B670,NodeList!$D$5:$E$100,2,FALSE)</f>
        <v>S Branch Irrigating</v>
      </c>
      <c r="D670" s="259"/>
      <c r="E670" s="469">
        <f t="shared" si="64"/>
        <v>0</v>
      </c>
      <c r="F670" s="469">
        <f t="shared" si="64"/>
        <v>0</v>
      </c>
      <c r="G670" s="469">
        <f t="shared" si="64"/>
        <v>0</v>
      </c>
      <c r="H670" s="469">
        <f t="shared" si="64"/>
        <v>0</v>
      </c>
      <c r="I670" s="469">
        <f t="shared" si="64"/>
        <v>0</v>
      </c>
      <c r="J670" s="469">
        <f t="shared" si="64"/>
        <v>0</v>
      </c>
      <c r="K670" s="469">
        <f t="shared" si="64"/>
        <v>0</v>
      </c>
      <c r="L670" s="469">
        <f t="shared" si="64"/>
        <v>0</v>
      </c>
      <c r="M670" s="469">
        <f t="shared" si="64"/>
        <v>0</v>
      </c>
      <c r="N670" s="469">
        <f t="shared" si="64"/>
        <v>0</v>
      </c>
      <c r="O670" s="469">
        <f t="shared" si="64"/>
        <v>0</v>
      </c>
      <c r="P670" s="469">
        <f t="shared" si="64"/>
        <v>0</v>
      </c>
      <c r="R670" s="96">
        <f t="shared" si="62"/>
        <v>10</v>
      </c>
    </row>
    <row r="671" spans="1:18" ht="15.75" customHeight="1">
      <c r="B671" s="262" t="s">
        <v>312</v>
      </c>
      <c r="C671" s="263" t="str">
        <f>VLOOKUP(B671,NodeList!$D$5:$E$100,2,FALSE)</f>
        <v>AggDiv SF-1</v>
      </c>
      <c r="D671" s="259"/>
      <c r="E671" s="469">
        <f t="shared" si="64"/>
        <v>0</v>
      </c>
      <c r="F671" s="469">
        <f t="shared" si="64"/>
        <v>0</v>
      </c>
      <c r="G671" s="469">
        <f t="shared" si="64"/>
        <v>0</v>
      </c>
      <c r="H671" s="469">
        <f t="shared" si="64"/>
        <v>0</v>
      </c>
      <c r="I671" s="469">
        <f t="shared" si="64"/>
        <v>0</v>
      </c>
      <c r="J671" s="469">
        <f t="shared" si="64"/>
        <v>0</v>
      </c>
      <c r="K671" s="469">
        <f t="shared" si="64"/>
        <v>0</v>
      </c>
      <c r="L671" s="469">
        <f t="shared" si="64"/>
        <v>0</v>
      </c>
      <c r="M671" s="469">
        <f t="shared" si="64"/>
        <v>0</v>
      </c>
      <c r="N671" s="469">
        <f t="shared" si="64"/>
        <v>0</v>
      </c>
      <c r="O671" s="469">
        <f t="shared" si="64"/>
        <v>0</v>
      </c>
      <c r="P671" s="469">
        <f t="shared" si="64"/>
        <v>0</v>
      </c>
      <c r="R671" s="96">
        <f t="shared" si="62"/>
        <v>10</v>
      </c>
    </row>
    <row r="672" spans="1:18" ht="15.75" customHeight="1">
      <c r="B672" s="316" t="s">
        <v>124</v>
      </c>
      <c r="C672" s="317" t="str">
        <f>VLOOKUP(B672,NodeList!$D$5:$E$100,2,FALSE)</f>
        <v>USGS 10038000:  Bear R. bel Smiths Fork, nr Cokeville, WY</v>
      </c>
      <c r="D672" s="318"/>
      <c r="E672" s="471">
        <f t="shared" si="64"/>
        <v>0</v>
      </c>
      <c r="F672" s="471">
        <f t="shared" si="64"/>
        <v>0</v>
      </c>
      <c r="G672" s="471">
        <f t="shared" si="64"/>
        <v>0</v>
      </c>
      <c r="H672" s="471">
        <f t="shared" si="64"/>
        <v>0</v>
      </c>
      <c r="I672" s="471">
        <f t="shared" si="64"/>
        <v>0</v>
      </c>
      <c r="J672" s="471">
        <f t="shared" si="64"/>
        <v>0</v>
      </c>
      <c r="K672" s="471">
        <f t="shared" si="64"/>
        <v>0</v>
      </c>
      <c r="L672" s="471">
        <f t="shared" si="64"/>
        <v>0</v>
      </c>
      <c r="M672" s="471">
        <f t="shared" si="64"/>
        <v>0</v>
      </c>
      <c r="N672" s="471">
        <f t="shared" si="64"/>
        <v>0</v>
      </c>
      <c r="O672" s="471">
        <f t="shared" si="64"/>
        <v>0</v>
      </c>
      <c r="P672" s="471">
        <f t="shared" si="64"/>
        <v>0</v>
      </c>
      <c r="R672" s="96">
        <f t="shared" si="62"/>
        <v>11</v>
      </c>
    </row>
    <row r="673" spans="2:19" ht="15.75" customHeight="1">
      <c r="B673" s="262" t="s">
        <v>127</v>
      </c>
      <c r="C673" s="263" t="str">
        <f>VLOOKUP(B673,NodeList!$D$5:$E$100,2,FALSE)</f>
        <v>AggDiv BR-5</v>
      </c>
      <c r="D673" s="259"/>
      <c r="E673" s="469">
        <f t="shared" si="64"/>
        <v>0</v>
      </c>
      <c r="F673" s="469">
        <f t="shared" si="64"/>
        <v>0</v>
      </c>
      <c r="G673" s="469">
        <f t="shared" si="64"/>
        <v>0</v>
      </c>
      <c r="H673" s="469">
        <f t="shared" si="64"/>
        <v>0</v>
      </c>
      <c r="I673" s="469">
        <f t="shared" si="64"/>
        <v>1313.4383884710744</v>
      </c>
      <c r="J673" s="469">
        <f t="shared" si="64"/>
        <v>2108.1292899690084</v>
      </c>
      <c r="K673" s="469">
        <f t="shared" si="64"/>
        <v>1944.0101276911155</v>
      </c>
      <c r="L673" s="469">
        <f t="shared" si="64"/>
        <v>1309.1792288739668</v>
      </c>
      <c r="M673" s="469">
        <f t="shared" si="64"/>
        <v>784.22200558367774</v>
      </c>
      <c r="N673" s="469">
        <f t="shared" si="64"/>
        <v>266.53119786157026</v>
      </c>
      <c r="O673" s="469">
        <f t="shared" si="64"/>
        <v>84.302345103305811</v>
      </c>
      <c r="P673" s="469">
        <f t="shared" si="64"/>
        <v>18.900458181818184</v>
      </c>
      <c r="R673" s="96">
        <f t="shared" si="62"/>
        <v>11</v>
      </c>
    </row>
    <row r="674" spans="2:19" ht="15.75" customHeight="1">
      <c r="B674" s="262" t="s">
        <v>145</v>
      </c>
      <c r="C674" s="263" t="str">
        <f>VLOOKUP(B674,NodeList!$D$5:$E$100,2,FALSE)</f>
        <v>Alonzo F. Sights</v>
      </c>
      <c r="D674" s="259"/>
      <c r="E674" s="469">
        <f t="shared" ref="E674:P683" si="65">SUMIF($C$7:$C$640,($B674),E$7:E$640)</f>
        <v>0</v>
      </c>
      <c r="F674" s="469">
        <f t="shared" si="65"/>
        <v>0</v>
      </c>
      <c r="G674" s="469">
        <f t="shared" si="65"/>
        <v>0</v>
      </c>
      <c r="H674" s="469">
        <f t="shared" si="65"/>
        <v>0</v>
      </c>
      <c r="I674" s="469">
        <f t="shared" si="65"/>
        <v>96.029555999999971</v>
      </c>
      <c r="J674" s="469">
        <f t="shared" si="65"/>
        <v>341.58621499999998</v>
      </c>
      <c r="K674" s="469">
        <f t="shared" si="65"/>
        <v>411.81151300000005</v>
      </c>
      <c r="L674" s="469">
        <f t="shared" si="65"/>
        <v>283.07430699999998</v>
      </c>
      <c r="M674" s="469">
        <f t="shared" si="65"/>
        <v>132.14928799999998</v>
      </c>
      <c r="N674" s="469">
        <f t="shared" si="65"/>
        <v>34.361578000000002</v>
      </c>
      <c r="O674" s="469">
        <f t="shared" si="65"/>
        <v>6.4593729999999994</v>
      </c>
      <c r="P674" s="469">
        <f t="shared" si="65"/>
        <v>0</v>
      </c>
      <c r="R674" s="96">
        <f t="shared" si="62"/>
        <v>11</v>
      </c>
    </row>
    <row r="675" spans="2:19" ht="15.75" customHeight="1">
      <c r="B675" s="262" t="s">
        <v>135</v>
      </c>
      <c r="C675" s="263" t="str">
        <f>VLOOKUP(B675,NodeList!$D$5:$E$100,2,FALSE)</f>
        <v>Oscar E. Snyder</v>
      </c>
      <c r="D675" s="259"/>
      <c r="E675" s="469">
        <f t="shared" si="65"/>
        <v>0</v>
      </c>
      <c r="F675" s="469">
        <f t="shared" si="65"/>
        <v>0</v>
      </c>
      <c r="G675" s="469">
        <f t="shared" si="65"/>
        <v>0</v>
      </c>
      <c r="H675" s="469">
        <f t="shared" si="65"/>
        <v>0</v>
      </c>
      <c r="I675" s="469">
        <f t="shared" si="65"/>
        <v>174.45518409917352</v>
      </c>
      <c r="J675" s="469">
        <f t="shared" si="65"/>
        <v>452.74420373966939</v>
      </c>
      <c r="K675" s="469">
        <f t="shared" si="65"/>
        <v>534.22733892975214</v>
      </c>
      <c r="L675" s="469">
        <f t="shared" si="65"/>
        <v>350.35183623553718</v>
      </c>
      <c r="M675" s="469">
        <f t="shared" si="65"/>
        <v>155.14009202892561</v>
      </c>
      <c r="N675" s="469">
        <f t="shared" si="65"/>
        <v>39.267054033057853</v>
      </c>
      <c r="O675" s="469">
        <f t="shared" si="65"/>
        <v>6.7643316776859495</v>
      </c>
      <c r="P675" s="469">
        <f t="shared" si="65"/>
        <v>0</v>
      </c>
      <c r="R675" s="96">
        <f t="shared" si="62"/>
        <v>11</v>
      </c>
    </row>
    <row r="676" spans="2:19" ht="15.75" customHeight="1">
      <c r="B676" s="262" t="s">
        <v>274</v>
      </c>
      <c r="C676" s="263" t="str">
        <f>VLOOKUP(B676,NodeList!$D$5:$E$100,2,FALSE)</f>
        <v>Cook Brothers</v>
      </c>
      <c r="D676" s="259"/>
      <c r="E676" s="469">
        <f t="shared" si="65"/>
        <v>0</v>
      </c>
      <c r="F676" s="469">
        <f t="shared" si="65"/>
        <v>0</v>
      </c>
      <c r="G676" s="469">
        <f t="shared" si="65"/>
        <v>0</v>
      </c>
      <c r="H676" s="469">
        <f t="shared" si="65"/>
        <v>0</v>
      </c>
      <c r="I676" s="469">
        <f t="shared" si="65"/>
        <v>212.28291312396692</v>
      </c>
      <c r="J676" s="469">
        <f t="shared" si="65"/>
        <v>400.20944530991733</v>
      </c>
      <c r="K676" s="469">
        <f t="shared" si="65"/>
        <v>449.34969296694214</v>
      </c>
      <c r="L676" s="469">
        <f t="shared" si="65"/>
        <v>311.13971445041324</v>
      </c>
      <c r="M676" s="469">
        <f t="shared" si="65"/>
        <v>158.85309152066117</v>
      </c>
      <c r="N676" s="469">
        <f t="shared" si="65"/>
        <v>42.690148504132232</v>
      </c>
      <c r="O676" s="469">
        <f t="shared" si="65"/>
        <v>9.1572541652892561</v>
      </c>
      <c r="P676" s="469">
        <f t="shared" si="65"/>
        <v>0</v>
      </c>
      <c r="R676" s="96">
        <f t="shared" si="62"/>
        <v>11</v>
      </c>
    </row>
    <row r="677" spans="2:19" ht="15.75" customHeight="1">
      <c r="B677" s="262" t="s">
        <v>125</v>
      </c>
      <c r="C677" s="263" t="str">
        <f>VLOOKUP(B677,NodeList!$D$5:$E$100,2,FALSE)</f>
        <v>USGS 10039500:  Bear R. at Border, WY</v>
      </c>
      <c r="D677" s="259"/>
      <c r="E677" s="469">
        <f t="shared" si="65"/>
        <v>0</v>
      </c>
      <c r="F677" s="469">
        <f t="shared" si="65"/>
        <v>0</v>
      </c>
      <c r="G677" s="469">
        <f t="shared" si="65"/>
        <v>0</v>
      </c>
      <c r="H677" s="469">
        <f t="shared" si="65"/>
        <v>0</v>
      </c>
      <c r="I677" s="469">
        <f t="shared" si="65"/>
        <v>1108.9314061983471</v>
      </c>
      <c r="J677" s="469">
        <f t="shared" si="65"/>
        <v>1430.987066838843</v>
      </c>
      <c r="K677" s="469">
        <f t="shared" si="65"/>
        <v>1344.4189202479338</v>
      </c>
      <c r="L677" s="469">
        <f t="shared" si="65"/>
        <v>1250.2698579545456</v>
      </c>
      <c r="M677" s="469">
        <f t="shared" si="65"/>
        <v>1071.9885790289256</v>
      </c>
      <c r="N677" s="469">
        <f t="shared" si="65"/>
        <v>322.49173450413224</v>
      </c>
      <c r="O677" s="469">
        <f t="shared" si="65"/>
        <v>101.01733605371901</v>
      </c>
      <c r="P677" s="469">
        <f t="shared" si="65"/>
        <v>0</v>
      </c>
      <c r="R677" s="96">
        <f t="shared" si="62"/>
        <v>12</v>
      </c>
    </row>
    <row r="678" spans="2:19" ht="15.75" customHeight="1">
      <c r="B678" s="262" t="s">
        <v>238</v>
      </c>
      <c r="C678" s="263" t="str">
        <f>VLOOKUP(B678,NodeList!$D$5:$E$100,2,FALSE)</f>
        <v>Confluence Thomas Fork</v>
      </c>
      <c r="D678" s="259"/>
      <c r="E678" s="469">
        <f t="shared" si="65"/>
        <v>0</v>
      </c>
      <c r="F678" s="469">
        <f t="shared" si="65"/>
        <v>0</v>
      </c>
      <c r="G678" s="469">
        <f t="shared" si="65"/>
        <v>0</v>
      </c>
      <c r="H678" s="469">
        <f t="shared" si="65"/>
        <v>0</v>
      </c>
      <c r="I678" s="469">
        <f t="shared" si="65"/>
        <v>0</v>
      </c>
      <c r="J678" s="469">
        <f t="shared" si="65"/>
        <v>0</v>
      </c>
      <c r="K678" s="469">
        <f t="shared" si="65"/>
        <v>0</v>
      </c>
      <c r="L678" s="469">
        <f t="shared" si="65"/>
        <v>0</v>
      </c>
      <c r="M678" s="469">
        <f t="shared" si="65"/>
        <v>0</v>
      </c>
      <c r="N678" s="469">
        <f t="shared" si="65"/>
        <v>0</v>
      </c>
      <c r="O678" s="469">
        <f t="shared" si="65"/>
        <v>0</v>
      </c>
      <c r="P678" s="469">
        <f t="shared" si="65"/>
        <v>0</v>
      </c>
      <c r="R678" s="96">
        <f t="shared" si="62"/>
        <v>12</v>
      </c>
    </row>
    <row r="679" spans="2:19" ht="15.75" customHeight="1">
      <c r="B679" s="262" t="s">
        <v>239</v>
      </c>
      <c r="C679" s="263" t="str">
        <f>VLOOKUP(B679,NodeList!$D$5:$E$100,2,FALSE)</f>
        <v>Aggregate Idaho Diversions</v>
      </c>
      <c r="D679" s="259"/>
      <c r="E679" s="469">
        <f t="shared" si="65"/>
        <v>0</v>
      </c>
      <c r="F679" s="469">
        <f t="shared" si="65"/>
        <v>0</v>
      </c>
      <c r="G679" s="469">
        <f t="shared" si="65"/>
        <v>0</v>
      </c>
      <c r="H679" s="469">
        <f t="shared" si="65"/>
        <v>0</v>
      </c>
      <c r="I679" s="469">
        <f t="shared" si="65"/>
        <v>0</v>
      </c>
      <c r="J679" s="469">
        <f t="shared" si="65"/>
        <v>0</v>
      </c>
      <c r="K679" s="469">
        <f t="shared" si="65"/>
        <v>0</v>
      </c>
      <c r="L679" s="469">
        <f t="shared" si="65"/>
        <v>0</v>
      </c>
      <c r="M679" s="469">
        <f t="shared" si="65"/>
        <v>0</v>
      </c>
      <c r="N679" s="469">
        <f t="shared" si="65"/>
        <v>0</v>
      </c>
      <c r="O679" s="469">
        <f t="shared" si="65"/>
        <v>0</v>
      </c>
      <c r="P679" s="469">
        <f t="shared" si="65"/>
        <v>0</v>
      </c>
      <c r="R679" s="96">
        <f t="shared" si="62"/>
        <v>12</v>
      </c>
    </row>
    <row r="680" spans="2:19" ht="15.75" customHeight="1">
      <c r="B680" s="262" t="s">
        <v>240</v>
      </c>
      <c r="C680" s="263" t="str">
        <f>VLOOKUP(B680,NodeList!$D$5:$E$100,2,FALSE)</f>
        <v>Rainbow Inlet</v>
      </c>
      <c r="D680" s="259"/>
      <c r="E680" s="469">
        <f t="shared" si="65"/>
        <v>0</v>
      </c>
      <c r="F680" s="469">
        <f t="shared" si="65"/>
        <v>0</v>
      </c>
      <c r="G680" s="469">
        <f t="shared" si="65"/>
        <v>0</v>
      </c>
      <c r="H680" s="469">
        <f t="shared" si="65"/>
        <v>0</v>
      </c>
      <c r="I680" s="469">
        <f t="shared" si="65"/>
        <v>3961.182256630334</v>
      </c>
      <c r="J680" s="469">
        <f t="shared" si="65"/>
        <v>5418.3265471459154</v>
      </c>
      <c r="K680" s="469">
        <f t="shared" si="65"/>
        <v>4088.3921542303569</v>
      </c>
      <c r="L680" s="469">
        <f t="shared" si="65"/>
        <v>2719.9879252822093</v>
      </c>
      <c r="M680" s="469">
        <f t="shared" si="65"/>
        <v>1970.3663977828649</v>
      </c>
      <c r="N680" s="469">
        <f t="shared" si="65"/>
        <v>558.01872595166662</v>
      </c>
      <c r="O680" s="469">
        <f t="shared" si="65"/>
        <v>175.35833946484513</v>
      </c>
      <c r="P680" s="469">
        <f t="shared" si="65"/>
        <v>0</v>
      </c>
      <c r="R680" s="96">
        <f t="shared" si="62"/>
        <v>12</v>
      </c>
    </row>
    <row r="681" spans="2:19" s="521" customFormat="1" ht="15.75" customHeight="1">
      <c r="B681" s="565" t="s">
        <v>324</v>
      </c>
      <c r="C681" s="566" t="str">
        <f>VLOOKUP(B681,NodeList!$D$5:$E$100,2,FALSE)</f>
        <v>Stewart Dam</v>
      </c>
      <c r="D681" s="564"/>
      <c r="E681" s="567">
        <f t="shared" si="65"/>
        <v>0</v>
      </c>
      <c r="F681" s="567">
        <f t="shared" si="65"/>
        <v>0</v>
      </c>
      <c r="G681" s="567">
        <f t="shared" si="65"/>
        <v>0</v>
      </c>
      <c r="H681" s="567">
        <f t="shared" si="65"/>
        <v>0</v>
      </c>
      <c r="I681" s="567">
        <f t="shared" si="65"/>
        <v>0</v>
      </c>
      <c r="J681" s="567">
        <f t="shared" si="65"/>
        <v>0</v>
      </c>
      <c r="K681" s="567">
        <f t="shared" si="65"/>
        <v>0</v>
      </c>
      <c r="L681" s="567">
        <f t="shared" si="65"/>
        <v>0</v>
      </c>
      <c r="M681" s="567">
        <f t="shared" si="65"/>
        <v>0</v>
      </c>
      <c r="N681" s="567">
        <f t="shared" si="65"/>
        <v>0</v>
      </c>
      <c r="O681" s="567">
        <f t="shared" si="65"/>
        <v>0</v>
      </c>
      <c r="P681" s="567">
        <f t="shared" si="65"/>
        <v>0</v>
      </c>
      <c r="R681" s="522">
        <f t="shared" si="62"/>
        <v>12</v>
      </c>
      <c r="S681" s="531"/>
    </row>
    <row r="682" spans="2:19" ht="15.75" customHeight="1">
      <c r="B682" s="262" t="s">
        <v>77</v>
      </c>
      <c r="C682" s="263" t="str">
        <f>VLOOKUP(B682,NodeList!$D$5:$E$100,2,FALSE)</f>
        <v>USGS 10015700:  Sulphur Cr. ab Res.Bl.La Chapelle Cr.Nr.Evanston,WY</v>
      </c>
      <c r="D682" s="259"/>
      <c r="E682" s="469">
        <f t="shared" si="65"/>
        <v>0</v>
      </c>
      <c r="F682" s="469">
        <f t="shared" si="65"/>
        <v>0</v>
      </c>
      <c r="G682" s="469">
        <f t="shared" si="65"/>
        <v>0</v>
      </c>
      <c r="H682" s="469">
        <f t="shared" si="65"/>
        <v>0</v>
      </c>
      <c r="I682" s="469">
        <f t="shared" si="65"/>
        <v>0</v>
      </c>
      <c r="J682" s="469">
        <f t="shared" si="65"/>
        <v>0</v>
      </c>
      <c r="K682" s="469">
        <f t="shared" si="65"/>
        <v>0</v>
      </c>
      <c r="L682" s="469">
        <f t="shared" si="65"/>
        <v>0</v>
      </c>
      <c r="M682" s="469">
        <f t="shared" si="65"/>
        <v>0</v>
      </c>
      <c r="N682" s="469">
        <f t="shared" si="65"/>
        <v>0</v>
      </c>
      <c r="O682" s="469">
        <f t="shared" si="65"/>
        <v>0</v>
      </c>
      <c r="P682" s="469">
        <f t="shared" si="65"/>
        <v>0</v>
      </c>
      <c r="R682" s="96">
        <f t="shared" si="62"/>
        <v>2</v>
      </c>
    </row>
    <row r="683" spans="2:19" ht="15.75" customHeight="1">
      <c r="B683" s="262" t="s">
        <v>78</v>
      </c>
      <c r="C683" s="263" t="str">
        <f>VLOOKUP(B683,NodeList!$D$5:$E$100,2,FALSE)</f>
        <v>AggDiv SC-1/Broadbent</v>
      </c>
      <c r="D683" s="259"/>
      <c r="E683" s="469">
        <f t="shared" si="65"/>
        <v>0</v>
      </c>
      <c r="F683" s="469">
        <f t="shared" si="65"/>
        <v>0</v>
      </c>
      <c r="G683" s="469">
        <f t="shared" si="65"/>
        <v>0</v>
      </c>
      <c r="H683" s="469">
        <f t="shared" si="65"/>
        <v>0</v>
      </c>
      <c r="I683" s="469">
        <f t="shared" si="65"/>
        <v>0</v>
      </c>
      <c r="J683" s="469">
        <f t="shared" si="65"/>
        <v>0</v>
      </c>
      <c r="K683" s="469">
        <f t="shared" si="65"/>
        <v>0</v>
      </c>
      <c r="L683" s="469">
        <f t="shared" si="65"/>
        <v>0</v>
      </c>
      <c r="M683" s="469">
        <f t="shared" si="65"/>
        <v>0</v>
      </c>
      <c r="N683" s="469">
        <f t="shared" si="65"/>
        <v>0</v>
      </c>
      <c r="O683" s="469">
        <f t="shared" si="65"/>
        <v>0</v>
      </c>
      <c r="P683" s="469">
        <f t="shared" si="65"/>
        <v>0</v>
      </c>
      <c r="R683" s="96">
        <f t="shared" si="62"/>
        <v>2</v>
      </c>
    </row>
    <row r="684" spans="2:19" ht="15.75" customHeight="1">
      <c r="B684" s="262" t="s">
        <v>161</v>
      </c>
      <c r="C684" s="263" t="str">
        <f>VLOOKUP(B684,NodeList!$D$5:$E$100,2,FALSE)</f>
        <v>Sulphur Creek Reservoir</v>
      </c>
      <c r="D684" s="259"/>
      <c r="E684" s="469">
        <f t="shared" ref="E684:P693" si="66">SUMIF($C$7:$C$640,($B684),E$7:E$640)</f>
        <v>0</v>
      </c>
      <c r="F684" s="469">
        <f t="shared" si="66"/>
        <v>0</v>
      </c>
      <c r="G684" s="469">
        <f t="shared" si="66"/>
        <v>0</v>
      </c>
      <c r="H684" s="469">
        <f t="shared" si="66"/>
        <v>0</v>
      </c>
      <c r="I684" s="469">
        <f t="shared" si="66"/>
        <v>892.94336844099416</v>
      </c>
      <c r="J684" s="469">
        <f t="shared" si="66"/>
        <v>1905.7849604552562</v>
      </c>
      <c r="K684" s="469">
        <f t="shared" si="66"/>
        <v>1687.9087733801703</v>
      </c>
      <c r="L684" s="469">
        <f t="shared" si="66"/>
        <v>1147.136366785131</v>
      </c>
      <c r="M684" s="469">
        <f t="shared" si="66"/>
        <v>752.77179942835937</v>
      </c>
      <c r="N684" s="469">
        <f t="shared" si="66"/>
        <v>274.25148572029138</v>
      </c>
      <c r="O684" s="469">
        <f t="shared" si="66"/>
        <v>85.41797942174091</v>
      </c>
      <c r="P684" s="469">
        <f t="shared" si="66"/>
        <v>32.202766566326162</v>
      </c>
      <c r="R684" s="96">
        <f t="shared" si="62"/>
        <v>2</v>
      </c>
    </row>
    <row r="685" spans="2:19" ht="15.75" customHeight="1">
      <c r="B685" s="262" t="s">
        <v>189</v>
      </c>
      <c r="C685" s="263" t="str">
        <f>VLOOKUP(B685,NodeList!$D$5:$E$100,2,FALSE)</f>
        <v>AggDiv SC-2</v>
      </c>
      <c r="D685" s="259"/>
      <c r="E685" s="469">
        <f t="shared" si="66"/>
        <v>0</v>
      </c>
      <c r="F685" s="469">
        <f t="shared" si="66"/>
        <v>0</v>
      </c>
      <c r="G685" s="469">
        <f t="shared" si="66"/>
        <v>0</v>
      </c>
      <c r="H685" s="469">
        <f t="shared" si="66"/>
        <v>0</v>
      </c>
      <c r="I685" s="469">
        <f t="shared" si="66"/>
        <v>342.92648540912057</v>
      </c>
      <c r="J685" s="469">
        <f t="shared" si="66"/>
        <v>739.23409368890088</v>
      </c>
      <c r="K685" s="469">
        <f t="shared" si="66"/>
        <v>704.52471378684606</v>
      </c>
      <c r="L685" s="469">
        <f t="shared" si="66"/>
        <v>504.809989783324</v>
      </c>
      <c r="M685" s="469">
        <f t="shared" si="66"/>
        <v>323.7076172910314</v>
      </c>
      <c r="N685" s="469">
        <f t="shared" si="66"/>
        <v>119.8006162119844</v>
      </c>
      <c r="O685" s="469">
        <f t="shared" si="66"/>
        <v>37.6832505220992</v>
      </c>
      <c r="P685" s="469">
        <f t="shared" si="66"/>
        <v>12.761603831849261</v>
      </c>
      <c r="R685" s="96">
        <f t="shared" si="62"/>
        <v>2</v>
      </c>
    </row>
    <row r="686" spans="2:19" ht="15.75" customHeight="1">
      <c r="B686" s="262" t="s">
        <v>79</v>
      </c>
      <c r="C686" s="263" t="str">
        <f>VLOOKUP(B686,NodeList!$D$5:$E$100,2,FALSE)</f>
        <v>Confluence Sulphur Creek / Bear River</v>
      </c>
      <c r="D686" s="259"/>
      <c r="E686" s="469">
        <f t="shared" si="66"/>
        <v>0</v>
      </c>
      <c r="F686" s="469">
        <f t="shared" si="66"/>
        <v>0</v>
      </c>
      <c r="G686" s="469">
        <f t="shared" si="66"/>
        <v>0</v>
      </c>
      <c r="H686" s="469">
        <f t="shared" si="66"/>
        <v>0</v>
      </c>
      <c r="I686" s="469">
        <f t="shared" si="66"/>
        <v>103.19636249999999</v>
      </c>
      <c r="J686" s="469">
        <f t="shared" si="66"/>
        <v>293.82721500000002</v>
      </c>
      <c r="K686" s="469">
        <f t="shared" si="66"/>
        <v>370.48275000000001</v>
      </c>
      <c r="L686" s="469">
        <f t="shared" si="66"/>
        <v>229.89862499999998</v>
      </c>
      <c r="M686" s="469">
        <f t="shared" si="66"/>
        <v>111.27212249999999</v>
      </c>
      <c r="N686" s="469">
        <f t="shared" si="66"/>
        <v>27.216419999999999</v>
      </c>
      <c r="O686" s="469">
        <f t="shared" si="66"/>
        <v>5.6029049999999998</v>
      </c>
      <c r="P686" s="469">
        <f t="shared" si="66"/>
        <v>0</v>
      </c>
      <c r="R686" s="96">
        <f t="shared" si="62"/>
        <v>3</v>
      </c>
    </row>
    <row r="687" spans="2:19" ht="15.75" customHeight="1">
      <c r="B687" s="262" t="s">
        <v>71</v>
      </c>
      <c r="C687" s="263" t="str">
        <f>VLOOKUP(B687,NodeList!$D$5:$E$100,2,FALSE)</f>
        <v>Evanston Water Ditch</v>
      </c>
      <c r="D687" s="259"/>
      <c r="E687" s="469">
        <f t="shared" si="66"/>
        <v>0</v>
      </c>
      <c r="F687" s="469">
        <f t="shared" si="66"/>
        <v>0</v>
      </c>
      <c r="G687" s="469">
        <f t="shared" si="66"/>
        <v>0</v>
      </c>
      <c r="H687" s="469">
        <f t="shared" si="66"/>
        <v>0</v>
      </c>
      <c r="I687" s="469">
        <f t="shared" si="66"/>
        <v>206.70522551670925</v>
      </c>
      <c r="J687" s="469">
        <f t="shared" si="66"/>
        <v>406.26239980166145</v>
      </c>
      <c r="K687" s="469">
        <f t="shared" si="66"/>
        <v>362.57841019080416</v>
      </c>
      <c r="L687" s="469">
        <f t="shared" si="66"/>
        <v>244.58772852501644</v>
      </c>
      <c r="M687" s="469">
        <f t="shared" si="66"/>
        <v>173.37368356113637</v>
      </c>
      <c r="N687" s="469">
        <f t="shared" si="66"/>
        <v>47.837876557515088</v>
      </c>
      <c r="O687" s="469">
        <f t="shared" si="66"/>
        <v>14.76369029877397</v>
      </c>
      <c r="P687" s="469">
        <f t="shared" si="66"/>
        <v>0</v>
      </c>
      <c r="R687" s="96">
        <f t="shared" si="62"/>
        <v>3</v>
      </c>
    </row>
    <row r="688" spans="2:19" ht="15.75" customHeight="1">
      <c r="B688" s="262" t="s">
        <v>149</v>
      </c>
      <c r="C688" s="263" t="str">
        <f>VLOOKUP(B688,NodeList!$D$5:$E$100,2,FALSE)</f>
        <v>Rocky Mtn &amp; Blyth</v>
      </c>
      <c r="D688" s="259"/>
      <c r="E688" s="469">
        <f t="shared" si="66"/>
        <v>0</v>
      </c>
      <c r="F688" s="469">
        <f t="shared" si="66"/>
        <v>0</v>
      </c>
      <c r="G688" s="469">
        <f t="shared" si="66"/>
        <v>0</v>
      </c>
      <c r="H688" s="469">
        <f t="shared" si="66"/>
        <v>0</v>
      </c>
      <c r="I688" s="469">
        <f t="shared" si="66"/>
        <v>265.84403486384866</v>
      </c>
      <c r="J688" s="469">
        <f t="shared" si="66"/>
        <v>610.07888972137812</v>
      </c>
      <c r="K688" s="469">
        <f t="shared" si="66"/>
        <v>613.21529392087814</v>
      </c>
      <c r="L688" s="469">
        <f t="shared" si="66"/>
        <v>478.22711258594086</v>
      </c>
      <c r="M688" s="469">
        <f t="shared" si="66"/>
        <v>259.18606282158987</v>
      </c>
      <c r="N688" s="469">
        <f t="shared" si="66"/>
        <v>74.017538428440702</v>
      </c>
      <c r="O688" s="469">
        <f t="shared" si="66"/>
        <v>16.925048925619837</v>
      </c>
      <c r="P688" s="469">
        <f t="shared" si="66"/>
        <v>0</v>
      </c>
      <c r="R688" s="96">
        <f t="shared" si="62"/>
        <v>3</v>
      </c>
    </row>
    <row r="689" spans="2:18" ht="15.75" customHeight="1">
      <c r="B689" s="262" t="s">
        <v>119</v>
      </c>
      <c r="C689" s="263" t="str">
        <f>VLOOKUP(B689,NodeList!$D$5:$E$100,2,FALSE)</f>
        <v>USGS 10016900: Bear R. at Evanston, WY</v>
      </c>
      <c r="D689" s="259"/>
      <c r="E689" s="469">
        <f t="shared" si="66"/>
        <v>0</v>
      </c>
      <c r="F689" s="469">
        <f t="shared" si="66"/>
        <v>0</v>
      </c>
      <c r="G689" s="469">
        <f t="shared" si="66"/>
        <v>0</v>
      </c>
      <c r="H689" s="469">
        <f t="shared" si="66"/>
        <v>0</v>
      </c>
      <c r="I689" s="469">
        <f t="shared" si="66"/>
        <v>0</v>
      </c>
      <c r="J689" s="469">
        <f t="shared" si="66"/>
        <v>0</v>
      </c>
      <c r="K689" s="469">
        <f t="shared" si="66"/>
        <v>0</v>
      </c>
      <c r="L689" s="469">
        <f t="shared" si="66"/>
        <v>0</v>
      </c>
      <c r="M689" s="469">
        <f t="shared" si="66"/>
        <v>0</v>
      </c>
      <c r="N689" s="469">
        <f t="shared" si="66"/>
        <v>0</v>
      </c>
      <c r="O689" s="469">
        <f t="shared" si="66"/>
        <v>0</v>
      </c>
      <c r="P689" s="469">
        <f t="shared" si="66"/>
        <v>0</v>
      </c>
      <c r="R689" s="96">
        <f t="shared" si="62"/>
        <v>4</v>
      </c>
    </row>
    <row r="690" spans="2:18" ht="15.75" customHeight="1">
      <c r="B690" s="262" t="s">
        <v>141</v>
      </c>
      <c r="C690" s="263" t="str">
        <f>VLOOKUP(B690,NodeList!$D$5:$E$100,2,FALSE)</f>
        <v>John Simms</v>
      </c>
      <c r="D690" s="259"/>
      <c r="E690" s="469">
        <f t="shared" si="66"/>
        <v>0</v>
      </c>
      <c r="F690" s="469">
        <f t="shared" si="66"/>
        <v>0</v>
      </c>
      <c r="G690" s="469">
        <f t="shared" si="66"/>
        <v>0</v>
      </c>
      <c r="H690" s="469">
        <f t="shared" si="66"/>
        <v>0</v>
      </c>
      <c r="I690" s="469">
        <f t="shared" si="66"/>
        <v>198.43447821135945</v>
      </c>
      <c r="J690" s="469">
        <f t="shared" si="66"/>
        <v>287.83925565545741</v>
      </c>
      <c r="K690" s="469">
        <f t="shared" si="66"/>
        <v>257.47921738744287</v>
      </c>
      <c r="L690" s="469">
        <f t="shared" si="66"/>
        <v>172.67555945307672</v>
      </c>
      <c r="M690" s="469">
        <f t="shared" si="66"/>
        <v>107.21993124015185</v>
      </c>
      <c r="N690" s="469">
        <f t="shared" si="66"/>
        <v>29.674930994970289</v>
      </c>
      <c r="O690" s="469">
        <f t="shared" si="66"/>
        <v>8.1904811609798358</v>
      </c>
      <c r="P690" s="469">
        <f t="shared" si="66"/>
        <v>0</v>
      </c>
      <c r="R690" s="96">
        <f t="shared" si="62"/>
        <v>4</v>
      </c>
    </row>
    <row r="691" spans="2:18" ht="15.75" customHeight="1">
      <c r="B691" s="262" t="s">
        <v>153</v>
      </c>
      <c r="C691" s="263" t="str">
        <f>VLOOKUP(B691,NodeList!$D$5:$E$100,2,FALSE)</f>
        <v>S P Ramsey</v>
      </c>
      <c r="D691" s="259"/>
      <c r="E691" s="469">
        <f t="shared" si="66"/>
        <v>0</v>
      </c>
      <c r="F691" s="469">
        <f t="shared" si="66"/>
        <v>0</v>
      </c>
      <c r="G691" s="469">
        <f t="shared" si="66"/>
        <v>0</v>
      </c>
      <c r="H691" s="469">
        <f t="shared" si="66"/>
        <v>0</v>
      </c>
      <c r="I691" s="469">
        <f t="shared" si="66"/>
        <v>227.8935262044231</v>
      </c>
      <c r="J691" s="469">
        <f t="shared" si="66"/>
        <v>283.92398436135863</v>
      </c>
      <c r="K691" s="469">
        <f t="shared" si="66"/>
        <v>227.480014236556</v>
      </c>
      <c r="L691" s="469">
        <f t="shared" si="66"/>
        <v>160.16563793715503</v>
      </c>
      <c r="M691" s="469">
        <f t="shared" si="66"/>
        <v>111.46270681928925</v>
      </c>
      <c r="N691" s="469">
        <f t="shared" si="66"/>
        <v>32.018264724498515</v>
      </c>
      <c r="O691" s="469">
        <f t="shared" si="66"/>
        <v>9.5036681244813241</v>
      </c>
      <c r="P691" s="469">
        <f t="shared" si="66"/>
        <v>0</v>
      </c>
      <c r="R691" s="96">
        <f t="shared" si="62"/>
        <v>4</v>
      </c>
    </row>
    <row r="692" spans="2:18" ht="15.75" customHeight="1">
      <c r="B692" s="262" t="s">
        <v>262</v>
      </c>
      <c r="C692" s="263" t="str">
        <f>VLOOKUP(B692,NodeList!$D$5:$E$100,2,FALSE)</f>
        <v>AggDiv BR-2</v>
      </c>
      <c r="D692" s="259"/>
      <c r="E692" s="469">
        <f t="shared" si="66"/>
        <v>0</v>
      </c>
      <c r="F692" s="469">
        <f t="shared" si="66"/>
        <v>0</v>
      </c>
      <c r="G692" s="469">
        <f t="shared" si="66"/>
        <v>0</v>
      </c>
      <c r="H692" s="469">
        <f t="shared" si="66"/>
        <v>0</v>
      </c>
      <c r="I692" s="469">
        <f t="shared" si="66"/>
        <v>335.05826710756662</v>
      </c>
      <c r="J692" s="469">
        <f t="shared" si="66"/>
        <v>394.08091432467921</v>
      </c>
      <c r="K692" s="469">
        <f t="shared" si="66"/>
        <v>286.03617452160381</v>
      </c>
      <c r="L692" s="469">
        <f t="shared" si="66"/>
        <v>191.54844969757178</v>
      </c>
      <c r="M692" s="469">
        <f t="shared" si="66"/>
        <v>124.20222836317191</v>
      </c>
      <c r="N692" s="469">
        <f t="shared" si="66"/>
        <v>35.687255855163642</v>
      </c>
      <c r="O692" s="469">
        <f t="shared" si="66"/>
        <v>10.326960021608679</v>
      </c>
      <c r="P692" s="469">
        <f t="shared" si="66"/>
        <v>0</v>
      </c>
      <c r="R692" s="96">
        <f t="shared" si="62"/>
        <v>4</v>
      </c>
    </row>
    <row r="693" spans="2:18" ht="15.75" customHeight="1">
      <c r="B693" s="262" t="s">
        <v>167</v>
      </c>
      <c r="C693" s="263" t="str">
        <f>VLOOKUP(B693,NodeList!$D$5:$E$100,2,FALSE)</f>
        <v>Confluence Yellow Creek / Bear River</v>
      </c>
      <c r="D693" s="259"/>
      <c r="E693" s="469">
        <f t="shared" si="66"/>
        <v>0</v>
      </c>
      <c r="F693" s="469">
        <f t="shared" si="66"/>
        <v>0</v>
      </c>
      <c r="G693" s="469">
        <f t="shared" si="66"/>
        <v>0</v>
      </c>
      <c r="H693" s="469">
        <f t="shared" si="66"/>
        <v>0</v>
      </c>
      <c r="I693" s="469">
        <f t="shared" si="66"/>
        <v>110.30357480236916</v>
      </c>
      <c r="J693" s="469">
        <f t="shared" si="66"/>
        <v>187.52443878741045</v>
      </c>
      <c r="K693" s="469">
        <f t="shared" si="66"/>
        <v>260.498808995427</v>
      </c>
      <c r="L693" s="469">
        <f t="shared" si="66"/>
        <v>222.52595576413225</v>
      </c>
      <c r="M693" s="469">
        <f t="shared" si="66"/>
        <v>159.77922576719004</v>
      </c>
      <c r="N693" s="469">
        <f t="shared" si="66"/>
        <v>0</v>
      </c>
      <c r="O693" s="469">
        <f t="shared" si="66"/>
        <v>0</v>
      </c>
      <c r="P693" s="469">
        <f t="shared" si="66"/>
        <v>0</v>
      </c>
      <c r="R693" s="96">
        <f t="shared" si="62"/>
        <v>5</v>
      </c>
    </row>
    <row r="694" spans="2:18" ht="15.75" customHeight="1">
      <c r="B694" s="262" t="s">
        <v>134</v>
      </c>
      <c r="C694" s="263" t="str">
        <f>VLOOKUP(B694,NodeList!$D$5:$E$100,2,FALSE)</f>
        <v>Chapman Canal</v>
      </c>
      <c r="D694" s="259"/>
      <c r="E694" s="469">
        <f t="shared" ref="E694:P704" si="67">SUMIF($C$7:$C$640,($B694),E$7:E$640)</f>
        <v>0</v>
      </c>
      <c r="F694" s="469">
        <f t="shared" si="67"/>
        <v>0</v>
      </c>
      <c r="G694" s="469">
        <f t="shared" si="67"/>
        <v>0</v>
      </c>
      <c r="H694" s="469">
        <f t="shared" si="67"/>
        <v>0</v>
      </c>
      <c r="I694" s="469">
        <f t="shared" si="67"/>
        <v>335.47301479351705</v>
      </c>
      <c r="J694" s="469">
        <f t="shared" si="67"/>
        <v>661.24881099823301</v>
      </c>
      <c r="K694" s="469">
        <f t="shared" si="67"/>
        <v>666.47331138110803</v>
      </c>
      <c r="L694" s="469">
        <f t="shared" si="67"/>
        <v>402.09812858186933</v>
      </c>
      <c r="M694" s="469">
        <f t="shared" si="67"/>
        <v>207.44885918961822</v>
      </c>
      <c r="N694" s="469">
        <f t="shared" si="67"/>
        <v>52.296596082436366</v>
      </c>
      <c r="O694" s="469">
        <f t="shared" si="67"/>
        <v>12.523035889377272</v>
      </c>
      <c r="P694" s="469">
        <f t="shared" si="67"/>
        <v>0</v>
      </c>
      <c r="R694" s="96">
        <f t="shared" si="62"/>
        <v>5</v>
      </c>
    </row>
    <row r="695" spans="2:18" ht="15.75" customHeight="1">
      <c r="B695" s="262" t="s">
        <v>143</v>
      </c>
      <c r="C695" s="263" t="str">
        <f>VLOOKUP(B695,NodeList!$D$5:$E$100,2,FALSE)</f>
        <v>Morris Bros (Lower)</v>
      </c>
      <c r="D695" s="259"/>
      <c r="E695" s="469">
        <f t="shared" si="67"/>
        <v>0</v>
      </c>
      <c r="F695" s="469">
        <f t="shared" si="67"/>
        <v>0</v>
      </c>
      <c r="G695" s="469">
        <f t="shared" si="67"/>
        <v>0</v>
      </c>
      <c r="H695" s="469">
        <f t="shared" si="67"/>
        <v>0</v>
      </c>
      <c r="I695" s="469">
        <f t="shared" si="67"/>
        <v>0</v>
      </c>
      <c r="J695" s="469">
        <f t="shared" si="67"/>
        <v>0</v>
      </c>
      <c r="K695" s="469">
        <f t="shared" si="67"/>
        <v>0</v>
      </c>
      <c r="L695" s="469">
        <f t="shared" si="67"/>
        <v>0</v>
      </c>
      <c r="M695" s="469">
        <f t="shared" si="67"/>
        <v>0</v>
      </c>
      <c r="N695" s="469">
        <f t="shared" si="67"/>
        <v>0</v>
      </c>
      <c r="O695" s="469">
        <f t="shared" si="67"/>
        <v>0</v>
      </c>
      <c r="P695" s="469">
        <f t="shared" si="67"/>
        <v>0</v>
      </c>
      <c r="R695" s="96">
        <f t="shared" si="62"/>
        <v>5</v>
      </c>
    </row>
    <row r="696" spans="2:18" ht="15.75" customHeight="1">
      <c r="B696" s="262" t="s">
        <v>155</v>
      </c>
      <c r="C696" s="263" t="str">
        <f>VLOOKUP(B696,NodeList!$D$5:$E$100,2,FALSE)</f>
        <v>AggDiv BR-3</v>
      </c>
      <c r="D696" s="259"/>
      <c r="E696" s="469">
        <f t="shared" si="67"/>
        <v>0</v>
      </c>
      <c r="F696" s="469">
        <f t="shared" si="67"/>
        <v>0</v>
      </c>
      <c r="G696" s="469">
        <f t="shared" si="67"/>
        <v>0</v>
      </c>
      <c r="H696" s="469">
        <f t="shared" si="67"/>
        <v>0</v>
      </c>
      <c r="I696" s="469">
        <f t="shared" si="67"/>
        <v>1575.2623643935433</v>
      </c>
      <c r="J696" s="469">
        <f t="shared" si="67"/>
        <v>1919.139338600743</v>
      </c>
      <c r="K696" s="469">
        <f t="shared" si="67"/>
        <v>1413.6454418512556</v>
      </c>
      <c r="L696" s="469">
        <f t="shared" si="67"/>
        <v>636.64508173361617</v>
      </c>
      <c r="M696" s="469">
        <f t="shared" si="67"/>
        <v>352.01954746572477</v>
      </c>
      <c r="N696" s="469">
        <f t="shared" si="67"/>
        <v>81.873946345100933</v>
      </c>
      <c r="O696" s="469">
        <f t="shared" si="67"/>
        <v>26.144109592695703</v>
      </c>
      <c r="P696" s="469">
        <f t="shared" si="67"/>
        <v>0</v>
      </c>
      <c r="R696" s="96">
        <f t="shared" si="62"/>
        <v>5</v>
      </c>
    </row>
    <row r="697" spans="2:18" ht="15.75" customHeight="1">
      <c r="B697" s="262" t="s">
        <v>265</v>
      </c>
      <c r="C697" s="263" t="str">
        <f>VLOOKUP(B697,NodeList!$D$5:$E$100,2,FALSE)</f>
        <v>Tunnel</v>
      </c>
      <c r="D697" s="259"/>
      <c r="E697" s="469">
        <f t="shared" si="67"/>
        <v>0</v>
      </c>
      <c r="F697" s="469">
        <f t="shared" si="67"/>
        <v>0</v>
      </c>
      <c r="G697" s="469">
        <f t="shared" si="67"/>
        <v>0</v>
      </c>
      <c r="H697" s="469">
        <f t="shared" si="67"/>
        <v>0</v>
      </c>
      <c r="I697" s="469">
        <f t="shared" si="67"/>
        <v>64.875772500000011</v>
      </c>
      <c r="J697" s="469">
        <f t="shared" si="67"/>
        <v>190.39184999999998</v>
      </c>
      <c r="K697" s="469">
        <f t="shared" si="67"/>
        <v>235.1112225</v>
      </c>
      <c r="L697" s="469">
        <f t="shared" si="67"/>
        <v>136.76181750000001</v>
      </c>
      <c r="M697" s="469">
        <f t="shared" si="67"/>
        <v>66.520575000000008</v>
      </c>
      <c r="N697" s="469">
        <f t="shared" si="67"/>
        <v>15.570307500000002</v>
      </c>
      <c r="O697" s="469">
        <f t="shared" si="67"/>
        <v>3.3770550000000008</v>
      </c>
      <c r="P697" s="469">
        <f t="shared" si="67"/>
        <v>0</v>
      </c>
      <c r="R697" s="96">
        <f t="shared" si="62"/>
        <v>5</v>
      </c>
    </row>
    <row r="698" spans="2:18" ht="15.75" customHeight="1">
      <c r="B698" s="262" t="s">
        <v>120</v>
      </c>
      <c r="C698" s="263" t="str">
        <f>VLOOKUP(B698,NodeList!$D$5:$E$100,2,FALSE)</f>
        <v>USGS 10020100:  Bear R. ab res. nr Woodruff, UT</v>
      </c>
      <c r="D698" s="259"/>
      <c r="E698" s="469">
        <f t="shared" si="67"/>
        <v>0</v>
      </c>
      <c r="F698" s="469">
        <f t="shared" si="67"/>
        <v>0</v>
      </c>
      <c r="G698" s="469">
        <f t="shared" si="67"/>
        <v>0</v>
      </c>
      <c r="H698" s="469">
        <f t="shared" si="67"/>
        <v>0</v>
      </c>
      <c r="I698" s="469">
        <f t="shared" si="67"/>
        <v>0</v>
      </c>
      <c r="J698" s="469">
        <f t="shared" si="67"/>
        <v>0</v>
      </c>
      <c r="K698" s="469">
        <f t="shared" si="67"/>
        <v>0</v>
      </c>
      <c r="L698" s="469">
        <f t="shared" si="67"/>
        <v>0</v>
      </c>
      <c r="M698" s="469">
        <f t="shared" si="67"/>
        <v>0</v>
      </c>
      <c r="N698" s="469">
        <f t="shared" si="67"/>
        <v>0</v>
      </c>
      <c r="O698" s="469">
        <f t="shared" si="67"/>
        <v>0</v>
      </c>
      <c r="P698" s="469">
        <f t="shared" si="67"/>
        <v>0</v>
      </c>
      <c r="R698" s="96">
        <f t="shared" si="62"/>
        <v>6</v>
      </c>
    </row>
    <row r="699" spans="2:18" ht="15.75" customHeight="1">
      <c r="B699" s="262" t="s">
        <v>162</v>
      </c>
      <c r="C699" s="263" t="str">
        <f>VLOOKUP(B699,NodeList!$D$5:$E$100,2,FALSE)</f>
        <v>Woodruff Narrows Reservoir</v>
      </c>
      <c r="D699" s="259"/>
      <c r="E699" s="469">
        <f t="shared" si="67"/>
        <v>0</v>
      </c>
      <c r="F699" s="469">
        <f t="shared" si="67"/>
        <v>0</v>
      </c>
      <c r="G699" s="469">
        <f t="shared" si="67"/>
        <v>0</v>
      </c>
      <c r="H699" s="469">
        <f t="shared" si="67"/>
        <v>0</v>
      </c>
      <c r="I699" s="469">
        <f t="shared" si="67"/>
        <v>510.74615656100104</v>
      </c>
      <c r="J699" s="469">
        <f t="shared" si="67"/>
        <v>633.84588085563291</v>
      </c>
      <c r="K699" s="469">
        <f t="shared" si="67"/>
        <v>395.15141692971042</v>
      </c>
      <c r="L699" s="469">
        <f t="shared" si="67"/>
        <v>183.42565186734942</v>
      </c>
      <c r="M699" s="469">
        <f t="shared" si="67"/>
        <v>95.578203390207605</v>
      </c>
      <c r="N699" s="469">
        <f t="shared" si="67"/>
        <v>23.612825012386779</v>
      </c>
      <c r="O699" s="469">
        <f t="shared" si="67"/>
        <v>7.4135929800290921</v>
      </c>
      <c r="P699" s="469">
        <f t="shared" si="67"/>
        <v>0</v>
      </c>
      <c r="R699" s="96">
        <f t="shared" si="62"/>
        <v>6</v>
      </c>
    </row>
    <row r="700" spans="2:18" ht="15.75" customHeight="1">
      <c r="B700" s="262" t="s">
        <v>121</v>
      </c>
      <c r="C700" s="263" t="str">
        <f>VLOOKUP(B700,NodeList!$D$5:$E$100,2,FALSE)</f>
        <v>USGS 10020300:  Bear R. bel res. nr Woodruff, UT</v>
      </c>
      <c r="D700" s="259"/>
      <c r="E700" s="469">
        <f t="shared" si="67"/>
        <v>0</v>
      </c>
      <c r="F700" s="469">
        <f t="shared" si="67"/>
        <v>0</v>
      </c>
      <c r="G700" s="469">
        <f t="shared" si="67"/>
        <v>0</v>
      </c>
      <c r="H700" s="469">
        <f t="shared" si="67"/>
        <v>0</v>
      </c>
      <c r="I700" s="469">
        <f t="shared" si="67"/>
        <v>0</v>
      </c>
      <c r="J700" s="469">
        <f t="shared" si="67"/>
        <v>0</v>
      </c>
      <c r="K700" s="469">
        <f t="shared" si="67"/>
        <v>0</v>
      </c>
      <c r="L700" s="469">
        <f t="shared" si="67"/>
        <v>0</v>
      </c>
      <c r="M700" s="469">
        <f t="shared" si="67"/>
        <v>0</v>
      </c>
      <c r="N700" s="469">
        <f t="shared" si="67"/>
        <v>0</v>
      </c>
      <c r="O700" s="469">
        <f t="shared" si="67"/>
        <v>0</v>
      </c>
      <c r="P700" s="469">
        <f t="shared" si="67"/>
        <v>0</v>
      </c>
      <c r="R700" s="96">
        <f t="shared" si="62"/>
        <v>7</v>
      </c>
    </row>
    <row r="701" spans="2:18" ht="15.75" customHeight="1">
      <c r="B701" s="262" t="s">
        <v>139</v>
      </c>
      <c r="C701" s="263" t="str">
        <f>VLOOKUP(B701,NodeList!$D$5:$E$100,2,FALSE)</f>
        <v>Francis Lee</v>
      </c>
      <c r="D701" s="259"/>
      <c r="E701" s="469">
        <f t="shared" si="67"/>
        <v>0</v>
      </c>
      <c r="F701" s="469">
        <f t="shared" si="67"/>
        <v>0</v>
      </c>
      <c r="G701" s="469">
        <f t="shared" si="67"/>
        <v>0</v>
      </c>
      <c r="H701" s="469">
        <f t="shared" si="67"/>
        <v>0</v>
      </c>
      <c r="I701" s="469">
        <f t="shared" si="67"/>
        <v>0</v>
      </c>
      <c r="J701" s="469">
        <f t="shared" si="67"/>
        <v>0</v>
      </c>
      <c r="K701" s="469">
        <f t="shared" si="67"/>
        <v>0</v>
      </c>
      <c r="L701" s="469">
        <f t="shared" si="67"/>
        <v>0</v>
      </c>
      <c r="M701" s="469">
        <f t="shared" si="67"/>
        <v>0</v>
      </c>
      <c r="N701" s="469">
        <f t="shared" si="67"/>
        <v>0</v>
      </c>
      <c r="O701" s="469">
        <f t="shared" si="67"/>
        <v>0</v>
      </c>
      <c r="P701" s="469">
        <f t="shared" si="67"/>
        <v>0</v>
      </c>
      <c r="R701" s="96">
        <f t="shared" si="62"/>
        <v>7</v>
      </c>
    </row>
    <row r="702" spans="2:18" ht="15.75" customHeight="1">
      <c r="B702" s="262" t="s">
        <v>130</v>
      </c>
      <c r="C702" s="263" t="str">
        <f>VLOOKUP(B702,NodeList!$D$5:$E$100,2,FALSE)</f>
        <v>Bear River Canal</v>
      </c>
      <c r="D702" s="259"/>
      <c r="E702" s="469">
        <f t="shared" si="67"/>
        <v>0</v>
      </c>
      <c r="F702" s="469">
        <f t="shared" si="67"/>
        <v>0</v>
      </c>
      <c r="G702" s="469">
        <f t="shared" si="67"/>
        <v>0</v>
      </c>
      <c r="H702" s="469">
        <f t="shared" si="67"/>
        <v>0</v>
      </c>
      <c r="I702" s="469">
        <f t="shared" si="67"/>
        <v>0</v>
      </c>
      <c r="J702" s="469">
        <f t="shared" si="67"/>
        <v>0</v>
      </c>
      <c r="K702" s="469">
        <f t="shared" si="67"/>
        <v>0</v>
      </c>
      <c r="L702" s="469">
        <f t="shared" si="67"/>
        <v>0</v>
      </c>
      <c r="M702" s="469">
        <f t="shared" si="67"/>
        <v>0</v>
      </c>
      <c r="N702" s="469">
        <f t="shared" si="67"/>
        <v>0</v>
      </c>
      <c r="O702" s="469">
        <f t="shared" si="67"/>
        <v>0</v>
      </c>
      <c r="P702" s="469">
        <f t="shared" si="67"/>
        <v>0</v>
      </c>
      <c r="R702" s="96">
        <f t="shared" si="62"/>
        <v>7</v>
      </c>
    </row>
    <row r="703" spans="2:18" ht="15.75" customHeight="1">
      <c r="B703" s="262" t="s">
        <v>230</v>
      </c>
      <c r="C703" s="263" t="str">
        <f>VLOOKUP(B703,NodeList!$D$5:$E$100,2,FALSE)</f>
        <v>Aggregate Utah Diversions</v>
      </c>
      <c r="D703" s="259"/>
      <c r="E703" s="469">
        <f t="shared" si="67"/>
        <v>0</v>
      </c>
      <c r="F703" s="469">
        <f t="shared" si="67"/>
        <v>0</v>
      </c>
      <c r="G703" s="469">
        <f t="shared" si="67"/>
        <v>0</v>
      </c>
      <c r="H703" s="469">
        <f t="shared" si="67"/>
        <v>0</v>
      </c>
      <c r="I703" s="469">
        <f t="shared" si="67"/>
        <v>0</v>
      </c>
      <c r="J703" s="469">
        <f t="shared" si="67"/>
        <v>0</v>
      </c>
      <c r="K703" s="469">
        <f t="shared" si="67"/>
        <v>0</v>
      </c>
      <c r="L703" s="469">
        <f t="shared" si="67"/>
        <v>0</v>
      </c>
      <c r="M703" s="469">
        <f t="shared" si="67"/>
        <v>0</v>
      </c>
      <c r="N703" s="469">
        <f t="shared" si="67"/>
        <v>0</v>
      </c>
      <c r="O703" s="469">
        <f t="shared" si="67"/>
        <v>0</v>
      </c>
      <c r="P703" s="469">
        <f t="shared" si="67"/>
        <v>0</v>
      </c>
      <c r="R703" s="96">
        <f t="shared" si="62"/>
        <v>7</v>
      </c>
    </row>
    <row r="704" spans="2:18" ht="15.75" customHeight="1">
      <c r="B704" s="262" t="s">
        <v>556</v>
      </c>
      <c r="C704" s="263" t="str">
        <f>VLOOKUP(B704,NodeList!$D$5:$E$100,2,FALSE)</f>
        <v>Partial Returns from Aggregate Utah Diversions</v>
      </c>
      <c r="D704" s="259"/>
      <c r="E704" s="469">
        <f t="shared" si="67"/>
        <v>0</v>
      </c>
      <c r="F704" s="469">
        <f t="shared" si="67"/>
        <v>0</v>
      </c>
      <c r="G704" s="469">
        <f t="shared" si="67"/>
        <v>0</v>
      </c>
      <c r="H704" s="469">
        <f t="shared" si="67"/>
        <v>0</v>
      </c>
      <c r="I704" s="469">
        <f t="shared" si="67"/>
        <v>2414.0256569227777</v>
      </c>
      <c r="J704" s="469">
        <f t="shared" si="67"/>
        <v>6064.5697998968371</v>
      </c>
      <c r="K704" s="469">
        <f t="shared" si="67"/>
        <v>2952.8378583455778</v>
      </c>
      <c r="L704" s="469">
        <f t="shared" si="67"/>
        <v>1513.4141751905449</v>
      </c>
      <c r="M704" s="469">
        <f t="shared" si="67"/>
        <v>589.78903308455074</v>
      </c>
      <c r="N704" s="469">
        <f t="shared" si="67"/>
        <v>151.63368967435116</v>
      </c>
      <c r="O704" s="469">
        <f t="shared" si="67"/>
        <v>44.445020740317553</v>
      </c>
      <c r="P704" s="469">
        <f t="shared" si="67"/>
        <v>0</v>
      </c>
      <c r="R704" s="96">
        <v>7</v>
      </c>
    </row>
    <row r="705" spans="1:18" ht="15.75" customHeight="1">
      <c r="B705" s="262" t="s">
        <v>122</v>
      </c>
      <c r="C705" s="263" t="str">
        <f>VLOOKUP(B705,NodeList!$D$5:$E$100,2,FALSE)</f>
        <v>USGS 10026500:  Bear R. nr Randolph, UT</v>
      </c>
      <c r="D705" s="259"/>
      <c r="E705" s="469">
        <f t="shared" ref="E705:P710" si="68">SUMIF($C$7:$C$640,($B705),E$7:E$640)</f>
        <v>0</v>
      </c>
      <c r="F705" s="469">
        <f t="shared" si="68"/>
        <v>0</v>
      </c>
      <c r="G705" s="469">
        <f t="shared" si="68"/>
        <v>0</v>
      </c>
      <c r="H705" s="469">
        <f t="shared" si="68"/>
        <v>0</v>
      </c>
      <c r="I705" s="469">
        <f t="shared" si="68"/>
        <v>7967.9130571817204</v>
      </c>
      <c r="J705" s="469">
        <f t="shared" si="68"/>
        <v>19565.857837648433</v>
      </c>
      <c r="K705" s="469">
        <f t="shared" si="68"/>
        <v>10378.442372582957</v>
      </c>
      <c r="L705" s="469">
        <f t="shared" si="68"/>
        <v>5683.8369701358497</v>
      </c>
      <c r="M705" s="469">
        <f t="shared" si="68"/>
        <v>2586.9162640624563</v>
      </c>
      <c r="N705" s="469">
        <f t="shared" si="68"/>
        <v>743.70829059769062</v>
      </c>
      <c r="O705" s="469">
        <f t="shared" si="68"/>
        <v>229.65365954883458</v>
      </c>
      <c r="P705" s="469">
        <f t="shared" si="68"/>
        <v>39.263741696918188</v>
      </c>
      <c r="R705" s="96">
        <v>8</v>
      </c>
    </row>
    <row r="706" spans="1:18" ht="15.75" customHeight="1">
      <c r="B706" s="262" t="s">
        <v>164</v>
      </c>
      <c r="C706" s="263" t="str">
        <f>VLOOKUP(B706,NodeList!$D$5:$E$100,2,FALSE)</f>
        <v>Pixley Dam</v>
      </c>
      <c r="D706" s="259"/>
      <c r="E706" s="469">
        <f t="shared" si="68"/>
        <v>0</v>
      </c>
      <c r="F706" s="469">
        <f t="shared" si="68"/>
        <v>0</v>
      </c>
      <c r="G706" s="469">
        <f t="shared" si="68"/>
        <v>0</v>
      </c>
      <c r="H706" s="469">
        <f t="shared" si="68"/>
        <v>0</v>
      </c>
      <c r="I706" s="469">
        <f t="shared" si="68"/>
        <v>1305.4275487407358</v>
      </c>
      <c r="J706" s="469">
        <f t="shared" si="68"/>
        <v>4882.023253806552</v>
      </c>
      <c r="K706" s="469">
        <f t="shared" si="68"/>
        <v>2647.6616691991367</v>
      </c>
      <c r="L706" s="469">
        <f t="shared" si="68"/>
        <v>1142.3651498927734</v>
      </c>
      <c r="M706" s="469">
        <f t="shared" si="68"/>
        <v>307.54276352000039</v>
      </c>
      <c r="N706" s="469">
        <f t="shared" si="68"/>
        <v>49.983242492733872</v>
      </c>
      <c r="O706" s="469">
        <f t="shared" si="68"/>
        <v>13.340962046745329</v>
      </c>
      <c r="P706" s="469">
        <f t="shared" si="68"/>
        <v>0</v>
      </c>
      <c r="R706" s="96">
        <f t="shared" si="62"/>
        <v>8</v>
      </c>
    </row>
    <row r="707" spans="1:18" ht="15.75" customHeight="1">
      <c r="B707" s="262" t="s">
        <v>270</v>
      </c>
      <c r="C707" s="263" t="str">
        <f>VLOOKUP(B707,NodeList!$D$5:$E$100,2,FALSE)</f>
        <v>BQ Dam</v>
      </c>
      <c r="D707" s="259"/>
      <c r="E707" s="469">
        <f t="shared" si="68"/>
        <v>0</v>
      </c>
      <c r="F707" s="469">
        <f t="shared" si="68"/>
        <v>0</v>
      </c>
      <c r="G707" s="469">
        <f t="shared" si="68"/>
        <v>0</v>
      </c>
      <c r="H707" s="469">
        <f t="shared" si="68"/>
        <v>0</v>
      </c>
      <c r="I707" s="469">
        <f t="shared" si="68"/>
        <v>0</v>
      </c>
      <c r="J707" s="469">
        <f t="shared" si="68"/>
        <v>0</v>
      </c>
      <c r="K707" s="469">
        <f t="shared" si="68"/>
        <v>0</v>
      </c>
      <c r="L707" s="469">
        <f t="shared" si="68"/>
        <v>0</v>
      </c>
      <c r="M707" s="469">
        <f t="shared" si="68"/>
        <v>0</v>
      </c>
      <c r="N707" s="469">
        <f t="shared" si="68"/>
        <v>0</v>
      </c>
      <c r="O707" s="469">
        <f t="shared" si="68"/>
        <v>0</v>
      </c>
      <c r="P707" s="469">
        <f t="shared" si="68"/>
        <v>0</v>
      </c>
      <c r="R707" s="96">
        <f t="shared" si="62"/>
        <v>8</v>
      </c>
    </row>
    <row r="708" spans="1:18" ht="15.75" customHeight="1">
      <c r="B708" s="316" t="s">
        <v>123</v>
      </c>
      <c r="C708" s="317" t="str">
        <f>VLOOKUP(B708,NodeList!$D$5:$E$100,2,FALSE)</f>
        <v>USGS 10028500:  Bear R. bel Pixley Dam, near Cokeville, WY</v>
      </c>
      <c r="D708" s="318"/>
      <c r="E708" s="471">
        <f t="shared" si="68"/>
        <v>0</v>
      </c>
      <c r="F708" s="471">
        <f t="shared" si="68"/>
        <v>0</v>
      </c>
      <c r="G708" s="471">
        <f t="shared" si="68"/>
        <v>0</v>
      </c>
      <c r="H708" s="471">
        <f t="shared" si="68"/>
        <v>0</v>
      </c>
      <c r="I708" s="471">
        <f t="shared" si="68"/>
        <v>0</v>
      </c>
      <c r="J708" s="471">
        <f t="shared" si="68"/>
        <v>0</v>
      </c>
      <c r="K708" s="471">
        <f t="shared" si="68"/>
        <v>0</v>
      </c>
      <c r="L708" s="471">
        <f t="shared" si="68"/>
        <v>0</v>
      </c>
      <c r="M708" s="471">
        <f t="shared" si="68"/>
        <v>0</v>
      </c>
      <c r="N708" s="471">
        <f t="shared" si="68"/>
        <v>0</v>
      </c>
      <c r="O708" s="471">
        <f t="shared" si="68"/>
        <v>0</v>
      </c>
      <c r="P708" s="471">
        <f t="shared" si="68"/>
        <v>0</v>
      </c>
      <c r="Q708" s="319"/>
      <c r="R708" s="320">
        <f t="shared" si="62"/>
        <v>9</v>
      </c>
    </row>
    <row r="709" spans="1:18" ht="15.75" customHeight="1">
      <c r="B709" s="262" t="s">
        <v>166</v>
      </c>
      <c r="C709" s="263" t="str">
        <f>VLOOKUP(B709,NodeList!$D$5:$E$100,2,FALSE)</f>
        <v>Confluence Smiths Fork / Bear</v>
      </c>
      <c r="D709" s="259"/>
      <c r="E709" s="469">
        <f t="shared" si="68"/>
        <v>0</v>
      </c>
      <c r="F709" s="469">
        <f t="shared" si="68"/>
        <v>0</v>
      </c>
      <c r="G709" s="469">
        <f t="shared" si="68"/>
        <v>0</v>
      </c>
      <c r="H709" s="469">
        <f t="shared" si="68"/>
        <v>0</v>
      </c>
      <c r="I709" s="469">
        <f t="shared" si="68"/>
        <v>1161.4531978019772</v>
      </c>
      <c r="J709" s="469">
        <f t="shared" si="68"/>
        <v>3625.7764693524132</v>
      </c>
      <c r="K709" s="469">
        <f t="shared" si="68"/>
        <v>3551.0176316540865</v>
      </c>
      <c r="L709" s="469">
        <f t="shared" si="68"/>
        <v>2048.0654095048021</v>
      </c>
      <c r="M709" s="469">
        <f t="shared" si="68"/>
        <v>904.71036749059704</v>
      </c>
      <c r="N709" s="469">
        <f t="shared" si="68"/>
        <v>212.56486634431818</v>
      </c>
      <c r="O709" s="469">
        <f t="shared" si="68"/>
        <v>43.4805869294091</v>
      </c>
      <c r="P709" s="469">
        <f t="shared" si="68"/>
        <v>0</v>
      </c>
      <c r="R709" s="561">
        <f t="shared" si="62"/>
        <v>9</v>
      </c>
    </row>
    <row r="710" spans="1:18" ht="15.75" customHeight="1">
      <c r="B710" s="262" t="s">
        <v>327</v>
      </c>
      <c r="C710" s="263" t="str">
        <f>VLOOKUP(B710,NodeList!$D$5:$E$100,2,FALSE)</f>
        <v>AggDiv BR-4</v>
      </c>
      <c r="D710" s="259"/>
      <c r="E710" s="469">
        <f t="shared" si="68"/>
        <v>0</v>
      </c>
      <c r="F710" s="469">
        <f t="shared" si="68"/>
        <v>0</v>
      </c>
      <c r="G710" s="469">
        <f t="shared" si="68"/>
        <v>0</v>
      </c>
      <c r="H710" s="469">
        <f t="shared" si="68"/>
        <v>0</v>
      </c>
      <c r="I710" s="469">
        <f t="shared" si="68"/>
        <v>0</v>
      </c>
      <c r="J710" s="469">
        <f t="shared" si="68"/>
        <v>0</v>
      </c>
      <c r="K710" s="469">
        <f t="shared" si="68"/>
        <v>0</v>
      </c>
      <c r="L710" s="469">
        <f t="shared" si="68"/>
        <v>0</v>
      </c>
      <c r="M710" s="469">
        <f t="shared" si="68"/>
        <v>0</v>
      </c>
      <c r="N710" s="469">
        <f t="shared" si="68"/>
        <v>0</v>
      </c>
      <c r="O710" s="469">
        <f t="shared" si="68"/>
        <v>0</v>
      </c>
      <c r="P710" s="469">
        <f t="shared" si="68"/>
        <v>0</v>
      </c>
      <c r="R710" s="96">
        <f t="shared" si="62"/>
        <v>9</v>
      </c>
    </row>
    <row r="711" spans="1:18" ht="15.75" customHeight="1">
      <c r="B711" s="262"/>
      <c r="C711" s="263"/>
      <c r="D711" s="259"/>
      <c r="E711" s="469"/>
      <c r="F711" s="469"/>
      <c r="G711" s="469"/>
      <c r="H711" s="469"/>
      <c r="I711" s="469"/>
      <c r="J711" s="469"/>
      <c r="K711" s="469"/>
      <c r="L711" s="469"/>
      <c r="M711" s="469"/>
      <c r="N711" s="469"/>
      <c r="O711" s="469"/>
      <c r="P711" s="469"/>
      <c r="R711" s="96"/>
    </row>
    <row r="712" spans="1:18" ht="15.75" customHeight="1">
      <c r="B712" s="262"/>
      <c r="C712" s="263" t="s">
        <v>329</v>
      </c>
      <c r="D712" s="259"/>
      <c r="E712" s="469">
        <f>SUM(E646:E710)</f>
        <v>0</v>
      </c>
      <c r="F712" s="469">
        <f t="shared" ref="F712:P712" si="69">SUM(F646:F710)</f>
        <v>0</v>
      </c>
      <c r="G712" s="469">
        <f t="shared" si="69"/>
        <v>0</v>
      </c>
      <c r="H712" s="469">
        <f t="shared" si="69"/>
        <v>0</v>
      </c>
      <c r="I712" s="469">
        <f t="shared" si="69"/>
        <v>26991.438175321997</v>
      </c>
      <c r="J712" s="469">
        <f t="shared" si="69"/>
        <v>56599.432216482383</v>
      </c>
      <c r="K712" s="469">
        <f t="shared" si="69"/>
        <v>39017.195966454397</v>
      </c>
      <c r="L712" s="469">
        <f t="shared" si="69"/>
        <v>23344.420716029148</v>
      </c>
      <c r="M712" s="469">
        <f t="shared" si="69"/>
        <v>12727.130565245321</v>
      </c>
      <c r="N712" s="469">
        <f t="shared" si="69"/>
        <v>3666.2164562890052</v>
      </c>
      <c r="O712" s="469">
        <f t="shared" si="69"/>
        <v>1112.9385683065718</v>
      </c>
      <c r="P712" s="469">
        <f t="shared" si="69"/>
        <v>147.41177308195827</v>
      </c>
      <c r="Q712" s="289">
        <f>SUM(E712:P712)</f>
        <v>163606.18443721076</v>
      </c>
      <c r="R712" s="96"/>
    </row>
    <row r="713" spans="1:18" ht="15.75" customHeight="1">
      <c r="B713" s="262"/>
      <c r="C713" s="263"/>
      <c r="D713" s="259"/>
      <c r="E713" s="469"/>
      <c r="F713" s="469"/>
      <c r="G713" s="469"/>
      <c r="H713" s="469"/>
      <c r="I713" s="469"/>
      <c r="J713" s="469"/>
      <c r="K713" s="469"/>
      <c r="L713" s="469"/>
      <c r="M713" s="469"/>
      <c r="N713" s="469"/>
      <c r="O713" s="469"/>
      <c r="P713" s="469"/>
      <c r="R713" s="96"/>
    </row>
    <row r="714" spans="1:18" ht="15.75" customHeight="1">
      <c r="B714" s="262"/>
      <c r="C714" s="263"/>
      <c r="D714" s="259"/>
      <c r="E714" s="469"/>
      <c r="F714" s="469"/>
      <c r="G714" s="469"/>
      <c r="H714" s="469"/>
      <c r="I714" s="469"/>
      <c r="J714" s="469"/>
      <c r="K714" s="469"/>
      <c r="L714" s="469"/>
      <c r="M714" s="469"/>
      <c r="N714" s="469"/>
      <c r="O714" s="469"/>
      <c r="P714" s="469"/>
      <c r="R714" s="96"/>
    </row>
    <row r="715" spans="1:18" ht="34.5" customHeight="1">
      <c r="A715" s="666"/>
      <c r="B715" s="262"/>
      <c r="C715" s="263"/>
      <c r="D715" s="677" t="s">
        <v>199</v>
      </c>
      <c r="E715" s="677"/>
      <c r="F715" s="677"/>
      <c r="G715" s="677"/>
      <c r="H715" s="677"/>
      <c r="I715" s="677"/>
      <c r="J715" s="677"/>
      <c r="K715" s="469"/>
      <c r="L715" s="469"/>
      <c r="M715" s="469"/>
      <c r="N715" s="469"/>
      <c r="O715" s="469"/>
      <c r="P715" s="469"/>
      <c r="R715" s="96"/>
    </row>
    <row r="716" spans="1:18" ht="15.75" customHeight="1">
      <c r="A716" s="666"/>
      <c r="B716" s="262"/>
      <c r="C716" s="263"/>
      <c r="D716" s="259"/>
      <c r="E716" s="469"/>
      <c r="F716" s="469"/>
      <c r="G716" s="469"/>
      <c r="H716" s="469"/>
      <c r="I716" s="469"/>
      <c r="J716" s="469"/>
      <c r="K716" s="469"/>
      <c r="L716" s="469"/>
      <c r="M716" s="469"/>
      <c r="N716" s="469"/>
      <c r="O716" s="469"/>
      <c r="P716" s="469"/>
      <c r="R716" s="96"/>
    </row>
    <row r="717" spans="1:18" ht="15.75" customHeight="1" thickBot="1">
      <c r="A717" s="666"/>
      <c r="B717" s="264"/>
      <c r="C717" s="264"/>
      <c r="D717" s="259"/>
      <c r="E717" s="469"/>
      <c r="F717" s="469"/>
      <c r="G717" s="469"/>
      <c r="H717" s="469"/>
      <c r="I717" s="469"/>
      <c r="J717" s="469"/>
      <c r="K717" s="469"/>
      <c r="L717" s="469"/>
      <c r="M717" s="469"/>
      <c r="N717" s="469"/>
      <c r="O717" s="469"/>
      <c r="P717" s="469"/>
    </row>
    <row r="718" spans="1:18" ht="15.75" customHeight="1" thickBot="1">
      <c r="A718" s="666"/>
      <c r="B718" s="265" t="s">
        <v>193</v>
      </c>
      <c r="C718" s="266"/>
      <c r="D718" s="267"/>
      <c r="E718" s="470" t="s">
        <v>0</v>
      </c>
      <c r="F718" s="470" t="s">
        <v>1</v>
      </c>
      <c r="G718" s="470" t="s">
        <v>2</v>
      </c>
      <c r="H718" s="470" t="s">
        <v>3</v>
      </c>
      <c r="I718" s="470" t="s">
        <v>4</v>
      </c>
      <c r="J718" s="470" t="s">
        <v>5</v>
      </c>
      <c r="K718" s="470" t="s">
        <v>6</v>
      </c>
      <c r="L718" s="470" t="s">
        <v>7</v>
      </c>
      <c r="M718" s="470" t="s">
        <v>8</v>
      </c>
      <c r="N718" s="470" t="s">
        <v>9</v>
      </c>
      <c r="O718" s="470" t="s">
        <v>10</v>
      </c>
      <c r="P718" s="470" t="s">
        <v>11</v>
      </c>
    </row>
    <row r="719" spans="1:18">
      <c r="A719" s="666"/>
      <c r="B719" s="259">
        <v>1</v>
      </c>
      <c r="C719" s="259"/>
      <c r="D719" s="259"/>
      <c r="E719" s="469">
        <f t="shared" ref="E719:P730" si="70">SUMIF($R$646:$R$713,$B719,E$646:E$713)</f>
        <v>0</v>
      </c>
      <c r="F719" s="469">
        <f t="shared" si="70"/>
        <v>0</v>
      </c>
      <c r="G719" s="469">
        <f t="shared" si="70"/>
        <v>0</v>
      </c>
      <c r="H719" s="469">
        <f t="shared" si="70"/>
        <v>0</v>
      </c>
      <c r="I719" s="469">
        <f t="shared" si="70"/>
        <v>1534.7235658618999</v>
      </c>
      <c r="J719" s="469">
        <f t="shared" si="70"/>
        <v>2703.4431462730395</v>
      </c>
      <c r="K719" s="469">
        <f t="shared" si="70"/>
        <v>2229.3625005598524</v>
      </c>
      <c r="L719" s="469">
        <f t="shared" si="70"/>
        <v>1255.1477659069301</v>
      </c>
      <c r="M719" s="469">
        <f t="shared" si="70"/>
        <v>673.37054141572776</v>
      </c>
      <c r="N719" s="469">
        <f t="shared" si="70"/>
        <v>187.20866947934033</v>
      </c>
      <c r="O719" s="469">
        <f t="shared" si="70"/>
        <v>50.829117726824073</v>
      </c>
      <c r="P719" s="469">
        <f t="shared" si="70"/>
        <v>4.2434878980216926</v>
      </c>
    </row>
    <row r="720" spans="1:18">
      <c r="A720" s="666"/>
      <c r="B720" s="259">
        <v>2</v>
      </c>
      <c r="C720" s="259"/>
      <c r="D720" s="259"/>
      <c r="E720" s="469">
        <f t="shared" si="70"/>
        <v>0</v>
      </c>
      <c r="F720" s="469">
        <f t="shared" si="70"/>
        <v>0</v>
      </c>
      <c r="G720" s="469">
        <f t="shared" si="70"/>
        <v>0</v>
      </c>
      <c r="H720" s="469">
        <f t="shared" si="70"/>
        <v>0</v>
      </c>
      <c r="I720" s="469">
        <f t="shared" si="70"/>
        <v>1235.8698538501149</v>
      </c>
      <c r="J720" s="469">
        <f t="shared" si="70"/>
        <v>2645.0190541441571</v>
      </c>
      <c r="K720" s="469">
        <f t="shared" si="70"/>
        <v>2392.4334871670162</v>
      </c>
      <c r="L720" s="469">
        <f t="shared" si="70"/>
        <v>1651.946356568455</v>
      </c>
      <c r="M720" s="469">
        <f t="shared" si="70"/>
        <v>1076.4794167193909</v>
      </c>
      <c r="N720" s="469">
        <f t="shared" si="70"/>
        <v>394.05210193227578</v>
      </c>
      <c r="O720" s="469">
        <f t="shared" si="70"/>
        <v>123.10122994384011</v>
      </c>
      <c r="P720" s="469">
        <f t="shared" si="70"/>
        <v>44.964370398175419</v>
      </c>
    </row>
    <row r="721" spans="1:17">
      <c r="A721" s="666"/>
      <c r="B721" s="259">
        <v>3</v>
      </c>
      <c r="C721" s="259"/>
      <c r="D721" s="259"/>
      <c r="E721" s="469">
        <f t="shared" si="70"/>
        <v>0</v>
      </c>
      <c r="F721" s="469">
        <f t="shared" si="70"/>
        <v>0</v>
      </c>
      <c r="G721" s="469">
        <f t="shared" si="70"/>
        <v>0</v>
      </c>
      <c r="H721" s="469">
        <f t="shared" si="70"/>
        <v>0</v>
      </c>
      <c r="I721" s="469">
        <f t="shared" si="70"/>
        <v>575.7456228805579</v>
      </c>
      <c r="J721" s="469">
        <f t="shared" si="70"/>
        <v>1310.1685045230397</v>
      </c>
      <c r="K721" s="469">
        <f t="shared" si="70"/>
        <v>1346.2764541116824</v>
      </c>
      <c r="L721" s="469">
        <f t="shared" si="70"/>
        <v>952.71346611095726</v>
      </c>
      <c r="M721" s="469">
        <f t="shared" si="70"/>
        <v>543.83186888272621</v>
      </c>
      <c r="N721" s="469">
        <f t="shared" si="70"/>
        <v>149.07183498595577</v>
      </c>
      <c r="O721" s="469">
        <f t="shared" si="70"/>
        <v>37.291644224393806</v>
      </c>
      <c r="P721" s="469">
        <f t="shared" si="70"/>
        <v>0</v>
      </c>
    </row>
    <row r="722" spans="1:17">
      <c r="A722" s="666"/>
      <c r="B722" s="259">
        <v>4</v>
      </c>
      <c r="C722" s="259"/>
      <c r="D722" s="259"/>
      <c r="E722" s="469">
        <f t="shared" si="70"/>
        <v>0</v>
      </c>
      <c r="F722" s="469">
        <f t="shared" si="70"/>
        <v>0</v>
      </c>
      <c r="G722" s="469">
        <f t="shared" si="70"/>
        <v>0</v>
      </c>
      <c r="H722" s="469">
        <f t="shared" si="70"/>
        <v>0</v>
      </c>
      <c r="I722" s="469">
        <f t="shared" si="70"/>
        <v>761.38627152334914</v>
      </c>
      <c r="J722" s="469">
        <f t="shared" si="70"/>
        <v>965.84415434149537</v>
      </c>
      <c r="K722" s="469">
        <f t="shared" si="70"/>
        <v>770.99540614560271</v>
      </c>
      <c r="L722" s="469">
        <f t="shared" si="70"/>
        <v>524.3896470878035</v>
      </c>
      <c r="M722" s="469">
        <f t="shared" si="70"/>
        <v>342.88486642261302</v>
      </c>
      <c r="N722" s="469">
        <f t="shared" si="70"/>
        <v>97.380451574632445</v>
      </c>
      <c r="O722" s="469">
        <f t="shared" si="70"/>
        <v>28.021109307069835</v>
      </c>
      <c r="P722" s="469">
        <f t="shared" si="70"/>
        <v>0</v>
      </c>
    </row>
    <row r="723" spans="1:17">
      <c r="A723" s="666"/>
      <c r="B723" s="259">
        <v>5</v>
      </c>
      <c r="C723" s="259"/>
      <c r="D723" s="259"/>
      <c r="E723" s="469">
        <f t="shared" si="70"/>
        <v>0</v>
      </c>
      <c r="F723" s="469">
        <f t="shared" si="70"/>
        <v>0</v>
      </c>
      <c r="G723" s="469">
        <f t="shared" si="70"/>
        <v>0</v>
      </c>
      <c r="H723" s="469">
        <f t="shared" si="70"/>
        <v>0</v>
      </c>
      <c r="I723" s="469">
        <f t="shared" si="70"/>
        <v>2085.9147264894295</v>
      </c>
      <c r="J723" s="469">
        <f t="shared" si="70"/>
        <v>2958.3044383863862</v>
      </c>
      <c r="K723" s="469">
        <f t="shared" si="70"/>
        <v>2575.7287847277908</v>
      </c>
      <c r="L723" s="469">
        <f t="shared" si="70"/>
        <v>1398.0309835796177</v>
      </c>
      <c r="M723" s="469">
        <f t="shared" si="70"/>
        <v>785.76820742253312</v>
      </c>
      <c r="N723" s="469">
        <f t="shared" si="70"/>
        <v>149.74084992753731</v>
      </c>
      <c r="O723" s="469">
        <f t="shared" si="70"/>
        <v>42.044200482072974</v>
      </c>
      <c r="P723" s="469">
        <f t="shared" si="70"/>
        <v>0</v>
      </c>
    </row>
    <row r="724" spans="1:17">
      <c r="A724" s="666"/>
      <c r="B724" s="259">
        <v>6</v>
      </c>
      <c r="C724" s="259"/>
      <c r="D724" s="259"/>
      <c r="E724" s="469">
        <f t="shared" si="70"/>
        <v>0</v>
      </c>
      <c r="F724" s="469">
        <f t="shared" si="70"/>
        <v>0</v>
      </c>
      <c r="G724" s="469">
        <f t="shared" si="70"/>
        <v>0</v>
      </c>
      <c r="H724" s="469">
        <f t="shared" si="70"/>
        <v>0</v>
      </c>
      <c r="I724" s="469">
        <f t="shared" si="70"/>
        <v>510.74615656100104</v>
      </c>
      <c r="J724" s="469">
        <f t="shared" si="70"/>
        <v>633.84588085563291</v>
      </c>
      <c r="K724" s="469">
        <f t="shared" si="70"/>
        <v>395.15141692971042</v>
      </c>
      <c r="L724" s="469">
        <f t="shared" si="70"/>
        <v>183.42565186734942</v>
      </c>
      <c r="M724" s="469">
        <f t="shared" si="70"/>
        <v>95.578203390207605</v>
      </c>
      <c r="N724" s="469">
        <f t="shared" si="70"/>
        <v>23.612825012386779</v>
      </c>
      <c r="O724" s="469">
        <f t="shared" si="70"/>
        <v>7.4135929800290921</v>
      </c>
      <c r="P724" s="469">
        <f t="shared" si="70"/>
        <v>0</v>
      </c>
    </row>
    <row r="725" spans="1:17">
      <c r="A725" s="666"/>
      <c r="B725" s="259">
        <v>7</v>
      </c>
      <c r="C725" s="259"/>
      <c r="D725" s="259"/>
      <c r="E725" s="469">
        <f t="shared" si="70"/>
        <v>0</v>
      </c>
      <c r="F725" s="469">
        <f t="shared" si="70"/>
        <v>0</v>
      </c>
      <c r="G725" s="469">
        <f t="shared" si="70"/>
        <v>0</v>
      </c>
      <c r="H725" s="469">
        <f t="shared" si="70"/>
        <v>0</v>
      </c>
      <c r="I725" s="469">
        <f t="shared" si="70"/>
        <v>2414.0256569227777</v>
      </c>
      <c r="J725" s="469">
        <f t="shared" si="70"/>
        <v>6064.5697998968371</v>
      </c>
      <c r="K725" s="469">
        <f t="shared" si="70"/>
        <v>2952.8378583455778</v>
      </c>
      <c r="L725" s="469">
        <f t="shared" si="70"/>
        <v>1513.4141751905449</v>
      </c>
      <c r="M725" s="469">
        <f t="shared" si="70"/>
        <v>589.78903308455074</v>
      </c>
      <c r="N725" s="469">
        <f t="shared" si="70"/>
        <v>151.63368967435116</v>
      </c>
      <c r="O725" s="469">
        <f t="shared" si="70"/>
        <v>44.445020740317553</v>
      </c>
      <c r="P725" s="469">
        <f t="shared" si="70"/>
        <v>0</v>
      </c>
    </row>
    <row r="726" spans="1:17">
      <c r="A726" s="666"/>
      <c r="B726" s="259">
        <v>8</v>
      </c>
      <c r="C726" s="259"/>
      <c r="D726" s="259"/>
      <c r="E726" s="469">
        <f t="shared" si="70"/>
        <v>0</v>
      </c>
      <c r="F726" s="469">
        <f t="shared" si="70"/>
        <v>0</v>
      </c>
      <c r="G726" s="469">
        <f t="shared" si="70"/>
        <v>0</v>
      </c>
      <c r="H726" s="469">
        <f t="shared" si="70"/>
        <v>0</v>
      </c>
      <c r="I726" s="469">
        <f t="shared" si="70"/>
        <v>9273.3406059224562</v>
      </c>
      <c r="J726" s="469">
        <f t="shared" si="70"/>
        <v>24447.881091454983</v>
      </c>
      <c r="K726" s="469">
        <f t="shared" si="70"/>
        <v>13026.104041782093</v>
      </c>
      <c r="L726" s="469">
        <f t="shared" si="70"/>
        <v>6826.2021200286235</v>
      </c>
      <c r="M726" s="469">
        <f t="shared" si="70"/>
        <v>2894.4590275824567</v>
      </c>
      <c r="N726" s="469">
        <f t="shared" si="70"/>
        <v>793.69153309042451</v>
      </c>
      <c r="O726" s="469">
        <f t="shared" si="70"/>
        <v>242.9946215955799</v>
      </c>
      <c r="P726" s="469">
        <f t="shared" si="70"/>
        <v>39.263741696918188</v>
      </c>
    </row>
    <row r="727" spans="1:17">
      <c r="A727" s="666"/>
      <c r="B727" s="259">
        <v>9</v>
      </c>
      <c r="C727" s="259"/>
      <c r="D727" s="259"/>
      <c r="E727" s="469">
        <f t="shared" si="70"/>
        <v>0</v>
      </c>
      <c r="F727" s="469">
        <f t="shared" si="70"/>
        <v>0</v>
      </c>
      <c r="G727" s="469">
        <f t="shared" si="70"/>
        <v>0</v>
      </c>
      <c r="H727" s="469">
        <f t="shared" si="70"/>
        <v>0</v>
      </c>
      <c r="I727" s="469">
        <f t="shared" si="70"/>
        <v>1161.4531978019772</v>
      </c>
      <c r="J727" s="469">
        <f t="shared" si="70"/>
        <v>3625.7764693524132</v>
      </c>
      <c r="K727" s="469">
        <f t="shared" si="70"/>
        <v>3551.0176316540865</v>
      </c>
      <c r="L727" s="469">
        <f t="shared" si="70"/>
        <v>2048.0654095048021</v>
      </c>
      <c r="M727" s="469">
        <f t="shared" si="70"/>
        <v>904.71036749059704</v>
      </c>
      <c r="N727" s="469">
        <f t="shared" si="70"/>
        <v>212.56486634431818</v>
      </c>
      <c r="O727" s="469">
        <f t="shared" si="70"/>
        <v>43.4805869294091</v>
      </c>
      <c r="P727" s="469">
        <f t="shared" si="70"/>
        <v>0</v>
      </c>
    </row>
    <row r="728" spans="1:17">
      <c r="A728" s="666"/>
      <c r="B728" s="259">
        <v>10</v>
      </c>
      <c r="C728" s="259"/>
      <c r="D728" s="259"/>
      <c r="E728" s="469">
        <f t="shared" si="70"/>
        <v>0</v>
      </c>
      <c r="F728" s="469">
        <f t="shared" si="70"/>
        <v>0</v>
      </c>
      <c r="G728" s="469">
        <f t="shared" si="70"/>
        <v>0</v>
      </c>
      <c r="H728" s="469">
        <f t="shared" si="70"/>
        <v>0</v>
      </c>
      <c r="I728" s="469">
        <f t="shared" si="70"/>
        <v>571.91281298553713</v>
      </c>
      <c r="J728" s="469">
        <f t="shared" si="70"/>
        <v>1092.5969092510331</v>
      </c>
      <c r="K728" s="469">
        <f t="shared" si="70"/>
        <v>1005.0786379648761</v>
      </c>
      <c r="L728" s="469">
        <f t="shared" si="70"/>
        <v>767.08227038739676</v>
      </c>
      <c r="M728" s="469">
        <f t="shared" si="70"/>
        <v>547.53957888946275</v>
      </c>
      <c r="N728" s="469">
        <f t="shared" si="70"/>
        <v>243.89919541322314</v>
      </c>
      <c r="O728" s="469">
        <f t="shared" si="70"/>
        <v>110.25846491219008</v>
      </c>
      <c r="P728" s="469">
        <f t="shared" si="70"/>
        <v>40.039714907024788</v>
      </c>
    </row>
    <row r="729" spans="1:17">
      <c r="A729" s="666"/>
      <c r="B729" s="259">
        <v>11</v>
      </c>
      <c r="C729" s="259"/>
      <c r="D729" s="259"/>
      <c r="E729" s="469">
        <f t="shared" si="70"/>
        <v>0</v>
      </c>
      <c r="F729" s="469">
        <f t="shared" si="70"/>
        <v>0</v>
      </c>
      <c r="G729" s="469">
        <f t="shared" si="70"/>
        <v>0</v>
      </c>
      <c r="H729" s="469">
        <f t="shared" si="70"/>
        <v>0</v>
      </c>
      <c r="I729" s="469">
        <f t="shared" si="70"/>
        <v>1796.2060416942147</v>
      </c>
      <c r="J729" s="469">
        <f t="shared" si="70"/>
        <v>3302.6691540185948</v>
      </c>
      <c r="K729" s="469">
        <f t="shared" si="70"/>
        <v>3339.3986725878099</v>
      </c>
      <c r="L729" s="469">
        <f t="shared" si="70"/>
        <v>2253.7450865599171</v>
      </c>
      <c r="M729" s="469">
        <f t="shared" si="70"/>
        <v>1230.3644771332645</v>
      </c>
      <c r="N729" s="469">
        <f t="shared" si="70"/>
        <v>382.84997839876036</v>
      </c>
      <c r="O729" s="469">
        <f t="shared" si="70"/>
        <v>106.68330394628101</v>
      </c>
      <c r="P729" s="469">
        <f t="shared" si="70"/>
        <v>18.900458181818184</v>
      </c>
    </row>
    <row r="730" spans="1:17">
      <c r="A730" s="666"/>
      <c r="B730" s="259">
        <v>12</v>
      </c>
      <c r="C730" s="259"/>
      <c r="D730" s="259"/>
      <c r="E730" s="469">
        <f t="shared" si="70"/>
        <v>0</v>
      </c>
      <c r="F730" s="469">
        <f t="shared" si="70"/>
        <v>0</v>
      </c>
      <c r="G730" s="469">
        <f t="shared" si="70"/>
        <v>0</v>
      </c>
      <c r="H730" s="469">
        <f t="shared" si="70"/>
        <v>0</v>
      </c>
      <c r="I730" s="469">
        <f t="shared" si="70"/>
        <v>5070.1136628286813</v>
      </c>
      <c r="J730" s="469">
        <f t="shared" si="70"/>
        <v>6849.3136139847584</v>
      </c>
      <c r="K730" s="469">
        <f t="shared" si="70"/>
        <v>5432.8110744782907</v>
      </c>
      <c r="L730" s="469">
        <f t="shared" si="70"/>
        <v>3970.2577832367551</v>
      </c>
      <c r="M730" s="469">
        <f t="shared" si="70"/>
        <v>3042.3549768117905</v>
      </c>
      <c r="N730" s="469">
        <f t="shared" si="70"/>
        <v>880.51046045579892</v>
      </c>
      <c r="O730" s="469">
        <f t="shared" si="70"/>
        <v>276.37567551856415</v>
      </c>
      <c r="P730" s="469">
        <f t="shared" si="70"/>
        <v>0</v>
      </c>
    </row>
    <row r="731" spans="1:17">
      <c r="B731" s="259"/>
      <c r="C731" s="259"/>
      <c r="D731" s="259"/>
      <c r="E731" s="472"/>
      <c r="F731" s="472"/>
      <c r="G731" s="472"/>
      <c r="H731" s="472"/>
      <c r="I731" s="472"/>
      <c r="J731" s="472"/>
      <c r="K731" s="472"/>
      <c r="L731" s="472"/>
      <c r="M731" s="472"/>
      <c r="N731" s="472"/>
      <c r="O731" s="472"/>
      <c r="P731" s="472"/>
    </row>
    <row r="732" spans="1:17">
      <c r="B732" s="259"/>
      <c r="C732" s="259"/>
      <c r="D732" s="259"/>
      <c r="E732" s="472"/>
      <c r="F732" s="472"/>
      <c r="G732" s="472"/>
      <c r="H732" s="472"/>
      <c r="I732" s="472"/>
      <c r="J732" s="472"/>
      <c r="K732" s="472"/>
      <c r="L732" s="472"/>
      <c r="M732" s="472"/>
      <c r="N732" s="472"/>
      <c r="O732" s="472"/>
      <c r="P732" s="472"/>
      <c r="Q732" s="289"/>
    </row>
    <row r="733" spans="1:17">
      <c r="E733" s="363"/>
      <c r="F733" s="363"/>
      <c r="G733" s="363"/>
      <c r="H733" s="363"/>
      <c r="I733" s="363"/>
      <c r="J733" s="363"/>
      <c r="K733" s="363"/>
      <c r="L733" s="363"/>
      <c r="M733" s="363"/>
      <c r="N733" s="363"/>
      <c r="O733" s="363"/>
      <c r="P733" s="363"/>
    </row>
    <row r="734" spans="1:17">
      <c r="E734" s="363"/>
      <c r="F734" s="363"/>
      <c r="G734" s="363"/>
      <c r="H734" s="363"/>
      <c r="I734" s="363"/>
      <c r="J734" s="363"/>
      <c r="K734" s="363"/>
      <c r="L734" s="363"/>
      <c r="M734" s="363"/>
      <c r="N734" s="363"/>
      <c r="O734" s="363"/>
      <c r="P734" s="363"/>
    </row>
  </sheetData>
  <mergeCells count="19">
    <mergeCell ref="A715:A730"/>
    <mergeCell ref="D1:H1"/>
    <mergeCell ref="B4:J4"/>
    <mergeCell ref="D642:J642"/>
    <mergeCell ref="D715:J715"/>
    <mergeCell ref="B182:B183"/>
    <mergeCell ref="B281:B283"/>
    <mergeCell ref="B192:B193"/>
    <mergeCell ref="B151:B152"/>
    <mergeCell ref="I1:M1"/>
    <mergeCell ref="AD2:AQ2"/>
    <mergeCell ref="A642:A658"/>
    <mergeCell ref="AE5:AM7"/>
    <mergeCell ref="AG13:AJ13"/>
    <mergeCell ref="AG9:AJ9"/>
    <mergeCell ref="AF35:AM37"/>
    <mergeCell ref="AF31:AO32"/>
    <mergeCell ref="B172:B173"/>
    <mergeCell ref="C644:D644"/>
  </mergeCells>
  <phoneticPr fontId="0" type="noConversion"/>
  <conditionalFormatting sqref="D15 D25 D35 D45 D55 D454:D455 D85 D95 D105 D115 D125 D135 D145 D279 D176 D166 D217 D227:D228 D238 D248 D555:D556 D75 D207 D268:D269 D299 D289 D330 D340:D341 D351 D361 AF18 D402 D319:D320 D433 D422:D423 D371 D65 D155:D156 D258 D309 D412 D443:D444 D627:D637 D465 D475 D485 D495 D505 D515 D525 D535 D196:D197 D566 D576 D586 D596:D597 D607 D186 D545 D617 D381 D391:D392">
    <cfRule type="cellIs" dxfId="0" priority="1" stopIfTrue="1" operator="notEqual">
      <formula>1</formula>
    </cfRule>
  </conditionalFormatting>
  <pageMargins left="0.75" right="0.75" top="1" bottom="1" header="0.5" footer="0.5"/>
  <pageSetup scale="60" fitToHeight="14" orientation="landscape" horizontalDpi="4294967292" verticalDpi="0" r:id="rId1"/>
  <headerFooter alignWithMargins="0">
    <oddHeader>&amp;C&amp;"Arial,Bold"&amp;12Bear River Spreadsheet Model
Dry Year Conditions</oddHeader>
    <oddFooter>&amp;L&amp;F &amp;A&amp;RAPPENDIX A (Page &amp;P of &amp;N)</oddFooter>
  </headerFooter>
  <rowBreaks count="15" manualBreakCount="15">
    <brk id="45" max="15" man="1"/>
    <brk id="75" max="15" man="1"/>
    <brk id="125" max="15" man="1"/>
    <brk id="155" max="15" man="1"/>
    <brk id="196" max="15" man="1"/>
    <brk id="238" max="15" man="1"/>
    <brk id="319" max="15" man="1"/>
    <brk id="361" max="15" man="1"/>
    <brk id="412" max="15" man="1"/>
    <brk id="454" max="15" man="1"/>
    <brk id="485" max="15" man="1"/>
    <brk id="535" max="15" man="1"/>
    <brk id="566" max="15" man="1"/>
    <brk id="639" max="15" man="1"/>
    <brk id="713" max="15" man="1"/>
  </rowBreaks>
  <legacyDrawing r:id="rId2"/>
</worksheet>
</file>

<file path=xl/worksheets/sheet17.xml><?xml version="1.0" encoding="utf-8"?>
<worksheet xmlns="http://schemas.openxmlformats.org/spreadsheetml/2006/main" xmlns:r="http://schemas.openxmlformats.org/officeDocument/2006/relationships">
  <sheetPr codeName="Sheet8">
    <pageSetUpPr autoPageBreaks="0"/>
  </sheetPr>
  <dimension ref="B1:S28"/>
  <sheetViews>
    <sheetView showGridLines="0" showRowColHeaders="0" zoomScale="75" zoomScaleNormal="75" workbookViewId="0">
      <pane ySplit="1" topLeftCell="A2" activePane="bottomLeft" state="frozen"/>
      <selection activeCell="B26" sqref="B26"/>
      <selection pane="bottomLeft" activeCell="C10" sqref="C10"/>
    </sheetView>
  </sheetViews>
  <sheetFormatPr defaultRowHeight="14.25"/>
  <cols>
    <col min="1" max="1" width="9.140625" style="129"/>
    <col min="2" max="2" width="16.85546875" style="129" bestFit="1" customWidth="1"/>
    <col min="3" max="3" width="27.7109375" style="129" customWidth="1"/>
    <col min="4" max="16384" width="9.140625" style="129"/>
  </cols>
  <sheetData>
    <row r="1" spans="2:19" ht="49.5" customHeight="1">
      <c r="C1" s="675" t="s">
        <v>89</v>
      </c>
      <c r="D1" s="675"/>
      <c r="E1" s="675"/>
      <c r="F1" s="675"/>
    </row>
    <row r="2" spans="2:19" ht="15.75" thickBot="1">
      <c r="D2" s="238" t="s">
        <v>513</v>
      </c>
    </row>
    <row r="3" spans="2:19" ht="15.75" thickBot="1">
      <c r="B3" s="590" t="s">
        <v>37</v>
      </c>
      <c r="C3" s="589" t="s">
        <v>36</v>
      </c>
      <c r="D3" s="588" t="s">
        <v>0</v>
      </c>
      <c r="E3" s="588" t="s">
        <v>1</v>
      </c>
      <c r="F3" s="588" t="s">
        <v>2</v>
      </c>
      <c r="G3" s="588" t="s">
        <v>3</v>
      </c>
      <c r="H3" s="588" t="s">
        <v>4</v>
      </c>
      <c r="I3" s="588" t="s">
        <v>5</v>
      </c>
      <c r="J3" s="588" t="s">
        <v>6</v>
      </c>
      <c r="K3" s="588" t="s">
        <v>7</v>
      </c>
      <c r="L3" s="588" t="s">
        <v>8</v>
      </c>
      <c r="M3" s="588" t="s">
        <v>9</v>
      </c>
      <c r="N3" s="588" t="s">
        <v>10</v>
      </c>
      <c r="O3" s="588" t="s">
        <v>11</v>
      </c>
      <c r="P3" s="588" t="s">
        <v>18</v>
      </c>
      <c r="Q3" s="587" t="s">
        <v>573</v>
      </c>
      <c r="R3" s="421"/>
      <c r="S3" s="421"/>
    </row>
    <row r="4" spans="2:19">
      <c r="B4" s="586" t="s">
        <v>78</v>
      </c>
      <c r="C4" s="593" t="s">
        <v>75</v>
      </c>
      <c r="D4" s="585">
        <f t="shared" ref="D4:O4" si="0">+$C$9*D17/12</f>
        <v>-3.6478958333333331</v>
      </c>
      <c r="E4" s="585">
        <f t="shared" si="0"/>
        <v>-6.6896458333333308</v>
      </c>
      <c r="F4" s="585">
        <f t="shared" si="0"/>
        <v>0.47389583333334473</v>
      </c>
      <c r="G4" s="585">
        <f t="shared" si="0"/>
        <v>82.997895833333317</v>
      </c>
      <c r="H4" s="585">
        <f t="shared" si="0"/>
        <v>132.67981249999994</v>
      </c>
      <c r="I4" s="585">
        <f t="shared" si="0"/>
        <v>209.8697291666667</v>
      </c>
      <c r="J4" s="585">
        <f t="shared" si="0"/>
        <v>246.39277083333332</v>
      </c>
      <c r="K4" s="585">
        <f t="shared" si="0"/>
        <v>198.72766666666664</v>
      </c>
      <c r="L4" s="585">
        <f t="shared" si="0"/>
        <v>116.181625</v>
      </c>
      <c r="M4" s="585">
        <f t="shared" si="0"/>
        <v>43.389020833333348</v>
      </c>
      <c r="N4" s="585">
        <f t="shared" si="0"/>
        <v>-4.0997499999999993</v>
      </c>
      <c r="O4" s="585">
        <f t="shared" si="0"/>
        <v>-3.5707499999999985</v>
      </c>
      <c r="P4" s="585">
        <f>SUM(D4:O4)</f>
        <v>1012.7043749999999</v>
      </c>
      <c r="Q4" s="585">
        <f>SUM(H4:M4)</f>
        <v>947.24062500000002</v>
      </c>
    </row>
    <row r="5" spans="2:19">
      <c r="B5" s="586" t="s">
        <v>71</v>
      </c>
      <c r="C5" s="593" t="s">
        <v>88</v>
      </c>
      <c r="D5" s="585">
        <f t="shared" ref="D5:O5" si="1">+$C$22*D28/12</f>
        <v>36.384541666666671</v>
      </c>
      <c r="E5" s="585">
        <f t="shared" si="1"/>
        <v>32.43129166666666</v>
      </c>
      <c r="F5" s="585">
        <f t="shared" si="1"/>
        <v>87.959812499999998</v>
      </c>
      <c r="G5" s="585">
        <f t="shared" si="1"/>
        <v>357.32987500000007</v>
      </c>
      <c r="H5" s="585">
        <f t="shared" si="1"/>
        <v>493.3875625</v>
      </c>
      <c r="I5" s="585">
        <f t="shared" si="1"/>
        <v>718.72281250000003</v>
      </c>
      <c r="J5" s="585">
        <f t="shared" si="1"/>
        <v>849.61931250000009</v>
      </c>
      <c r="K5" s="585">
        <f t="shared" si="1"/>
        <v>683.61941666666655</v>
      </c>
      <c r="L5" s="585">
        <f t="shared" si="1"/>
        <v>425.19399999999996</v>
      </c>
      <c r="M5" s="585">
        <f t="shared" si="1"/>
        <v>201.65235416666664</v>
      </c>
      <c r="N5" s="585">
        <f t="shared" si="1"/>
        <v>58.456854166666695</v>
      </c>
      <c r="O5" s="585">
        <f t="shared" si="1"/>
        <v>41.143083333333387</v>
      </c>
      <c r="P5" s="585">
        <f>SUM(D5:O5)</f>
        <v>3985.9009166666665</v>
      </c>
      <c r="Q5" s="585">
        <f>SUM(H5:M5)</f>
        <v>3372.1954583333331</v>
      </c>
    </row>
    <row r="6" spans="2:19">
      <c r="B6" s="577"/>
      <c r="C6" s="577"/>
      <c r="D6" s="577"/>
      <c r="E6" s="577"/>
      <c r="F6" s="577"/>
      <c r="G6" s="577"/>
      <c r="H6" s="577"/>
      <c r="I6" s="577"/>
      <c r="J6" s="577"/>
      <c r="K6" s="577"/>
      <c r="L6" s="577"/>
      <c r="M6" s="577"/>
      <c r="N6" s="577"/>
      <c r="O6" s="577"/>
      <c r="P6" s="577"/>
      <c r="Q6" s="577"/>
    </row>
    <row r="7" spans="2:19">
      <c r="B7" s="577"/>
      <c r="C7" s="577"/>
      <c r="D7" s="577"/>
      <c r="E7" s="577"/>
      <c r="F7" s="577"/>
      <c r="G7" s="577"/>
      <c r="H7" s="577"/>
      <c r="I7" s="577"/>
      <c r="J7" s="577"/>
      <c r="K7" s="577"/>
      <c r="L7" s="577"/>
      <c r="M7" s="577"/>
      <c r="N7" s="577"/>
      <c r="O7" s="577"/>
      <c r="P7" s="577"/>
      <c r="Q7" s="577"/>
    </row>
    <row r="8" spans="2:19">
      <c r="B8" s="584" t="s">
        <v>251</v>
      </c>
      <c r="C8" s="583"/>
      <c r="D8" s="577"/>
      <c r="E8" s="577"/>
      <c r="F8" s="577"/>
      <c r="G8" s="577"/>
      <c r="H8" s="577"/>
      <c r="I8" s="577"/>
      <c r="J8" s="577"/>
      <c r="K8" s="577"/>
      <c r="L8" s="577"/>
      <c r="M8" s="577"/>
      <c r="N8" s="577"/>
      <c r="O8" s="577"/>
      <c r="P8" s="577"/>
      <c r="Q8" s="577"/>
    </row>
    <row r="9" spans="2:19">
      <c r="B9" s="582" t="s">
        <v>250</v>
      </c>
      <c r="C9" s="581">
        <v>529</v>
      </c>
      <c r="D9" s="577"/>
      <c r="E9" s="577"/>
      <c r="F9" s="577"/>
      <c r="G9" s="577"/>
      <c r="H9" s="577"/>
      <c r="I9" s="577"/>
      <c r="J9" s="577"/>
      <c r="K9" s="577"/>
      <c r="L9" s="577"/>
      <c r="M9" s="577"/>
      <c r="N9" s="577"/>
      <c r="O9" s="577"/>
      <c r="P9" s="577"/>
      <c r="Q9" s="577"/>
    </row>
    <row r="10" spans="2:19">
      <c r="B10" s="577"/>
      <c r="C10" s="577"/>
      <c r="D10" s="577"/>
      <c r="E10" s="577"/>
      <c r="F10" s="577"/>
      <c r="G10" s="577"/>
      <c r="H10" s="577"/>
      <c r="I10" s="577"/>
      <c r="J10" s="577"/>
      <c r="K10" s="577"/>
      <c r="L10" s="577"/>
      <c r="M10" s="577"/>
      <c r="N10" s="577"/>
      <c r="O10" s="577"/>
      <c r="P10" s="577"/>
      <c r="Q10" s="577"/>
    </row>
    <row r="11" spans="2:19">
      <c r="B11" s="577"/>
      <c r="C11" s="577"/>
      <c r="D11" s="577"/>
      <c r="E11" s="577"/>
      <c r="F11" s="577"/>
      <c r="G11" s="577"/>
      <c r="H11" s="577"/>
      <c r="I11" s="577"/>
      <c r="J11" s="577"/>
      <c r="K11" s="577"/>
      <c r="L11" s="577"/>
      <c r="M11" s="577"/>
      <c r="N11" s="577"/>
      <c r="O11" s="577"/>
      <c r="P11" s="577"/>
      <c r="Q11" s="577"/>
    </row>
    <row r="12" spans="2:19">
      <c r="B12" s="577"/>
      <c r="C12" s="577"/>
      <c r="D12" s="577"/>
      <c r="E12" s="577"/>
      <c r="F12" s="577"/>
      <c r="G12" s="577"/>
      <c r="H12" s="577"/>
      <c r="I12" s="577"/>
      <c r="J12" s="577"/>
      <c r="K12" s="577"/>
      <c r="L12" s="577"/>
      <c r="M12" s="577"/>
      <c r="N12" s="577"/>
      <c r="O12" s="577"/>
      <c r="P12" s="577"/>
      <c r="Q12" s="577"/>
    </row>
    <row r="13" spans="2:19" ht="15.75" thickBot="1">
      <c r="B13" s="577" t="s">
        <v>251</v>
      </c>
      <c r="C13" s="577"/>
      <c r="D13" s="592" t="s">
        <v>249</v>
      </c>
      <c r="E13" s="577"/>
      <c r="F13" s="577"/>
      <c r="G13" s="577"/>
      <c r="H13" s="577"/>
      <c r="I13" s="577"/>
      <c r="J13" s="577"/>
      <c r="K13" s="577"/>
      <c r="L13" s="577"/>
      <c r="M13" s="577"/>
      <c r="N13" s="577"/>
      <c r="O13" s="577"/>
      <c r="P13" s="577"/>
      <c r="Q13" s="577"/>
    </row>
    <row r="14" spans="2:19" ht="15.75" thickBot="1">
      <c r="B14" s="681" t="s">
        <v>252</v>
      </c>
      <c r="C14" s="682"/>
      <c r="D14" s="588" t="s">
        <v>0</v>
      </c>
      <c r="E14" s="588" t="s">
        <v>1</v>
      </c>
      <c r="F14" s="588" t="s">
        <v>2</v>
      </c>
      <c r="G14" s="588" t="s">
        <v>3</v>
      </c>
      <c r="H14" s="588" t="s">
        <v>4</v>
      </c>
      <c r="I14" s="588" t="s">
        <v>5</v>
      </c>
      <c r="J14" s="588" t="s">
        <v>6</v>
      </c>
      <c r="K14" s="588" t="s">
        <v>7</v>
      </c>
      <c r="L14" s="588" t="s">
        <v>8</v>
      </c>
      <c r="M14" s="588" t="s">
        <v>9</v>
      </c>
      <c r="N14" s="588" t="s">
        <v>10</v>
      </c>
      <c r="O14" s="588" t="s">
        <v>11</v>
      </c>
      <c r="P14" s="588" t="s">
        <v>18</v>
      </c>
      <c r="Q14" s="577"/>
    </row>
    <row r="15" spans="2:19">
      <c r="B15" s="577" t="s">
        <v>535</v>
      </c>
      <c r="C15" s="577"/>
      <c r="D15" s="591">
        <v>0.91</v>
      </c>
      <c r="E15" s="591">
        <v>0.83</v>
      </c>
      <c r="F15" s="591">
        <v>1.33</v>
      </c>
      <c r="G15" s="591">
        <v>3.46</v>
      </c>
      <c r="H15" s="591">
        <v>4.7699999999999996</v>
      </c>
      <c r="I15" s="591">
        <v>5.95</v>
      </c>
      <c r="J15" s="591">
        <v>6.5</v>
      </c>
      <c r="K15" s="591">
        <v>5.6</v>
      </c>
      <c r="L15" s="591">
        <v>4.05</v>
      </c>
      <c r="M15" s="591">
        <v>2.4300000000000002</v>
      </c>
      <c r="N15" s="591">
        <v>1.23</v>
      </c>
      <c r="O15" s="591">
        <v>0.96</v>
      </c>
      <c r="P15" s="591">
        <v>44.589070158102764</v>
      </c>
      <c r="Q15" s="577"/>
    </row>
    <row r="16" spans="2:19" ht="15">
      <c r="B16" s="577" t="s">
        <v>253</v>
      </c>
      <c r="C16" s="577"/>
      <c r="D16" s="580">
        <v>0.99275000000000002</v>
      </c>
      <c r="E16" s="580">
        <v>0.9817499999999999</v>
      </c>
      <c r="F16" s="580">
        <v>1.3192499999999998</v>
      </c>
      <c r="G16" s="580">
        <v>1.5772500000000003</v>
      </c>
      <c r="H16" s="580">
        <v>1.7602500000000005</v>
      </c>
      <c r="I16" s="580">
        <v>1.1892499999999997</v>
      </c>
      <c r="J16" s="580">
        <v>0.91074999999999995</v>
      </c>
      <c r="K16" s="580">
        <v>1.0920000000000001</v>
      </c>
      <c r="L16" s="580">
        <v>1.4144999999999999</v>
      </c>
      <c r="M16" s="580">
        <v>1.4457499999999999</v>
      </c>
      <c r="N16" s="580">
        <v>1.323</v>
      </c>
      <c r="O16" s="580">
        <v>1.0409999999999999</v>
      </c>
      <c r="P16" s="579">
        <f>SUM(D16:O16)</f>
        <v>15.047500000000003</v>
      </c>
      <c r="Q16" s="577"/>
    </row>
    <row r="17" spans="2:17">
      <c r="B17" s="577" t="s">
        <v>254</v>
      </c>
      <c r="C17" s="577"/>
      <c r="D17" s="591">
        <f t="shared" ref="D17:O17" si="2">+D15-D16</f>
        <v>-8.274999999999999E-2</v>
      </c>
      <c r="E17" s="591">
        <f t="shared" si="2"/>
        <v>-0.15174999999999994</v>
      </c>
      <c r="F17" s="591">
        <f t="shared" si="2"/>
        <v>1.0750000000000259E-2</v>
      </c>
      <c r="G17" s="591">
        <f t="shared" si="2"/>
        <v>1.8827499999999997</v>
      </c>
      <c r="H17" s="591">
        <f t="shared" si="2"/>
        <v>3.009749999999999</v>
      </c>
      <c r="I17" s="591">
        <f t="shared" si="2"/>
        <v>4.7607500000000007</v>
      </c>
      <c r="J17" s="591">
        <f t="shared" si="2"/>
        <v>5.5892499999999998</v>
      </c>
      <c r="K17" s="591">
        <f t="shared" si="2"/>
        <v>4.5079999999999991</v>
      </c>
      <c r="L17" s="591">
        <f t="shared" si="2"/>
        <v>2.6355</v>
      </c>
      <c r="M17" s="591">
        <f t="shared" si="2"/>
        <v>0.98425000000000029</v>
      </c>
      <c r="N17" s="591">
        <f t="shared" si="2"/>
        <v>-9.2999999999999972E-2</v>
      </c>
      <c r="O17" s="591">
        <f t="shared" si="2"/>
        <v>-8.0999999999999961E-2</v>
      </c>
      <c r="P17" s="591">
        <f>SUM(D17:O17)</f>
        <v>22.9725</v>
      </c>
      <c r="Q17" s="577"/>
    </row>
    <row r="18" spans="2:17">
      <c r="B18" s="577"/>
      <c r="C18" s="577"/>
      <c r="D18" s="591"/>
      <c r="E18" s="591"/>
      <c r="F18" s="591"/>
      <c r="G18" s="591"/>
      <c r="H18" s="591"/>
      <c r="I18" s="591"/>
      <c r="J18" s="591"/>
      <c r="K18" s="591"/>
      <c r="L18" s="591"/>
      <c r="M18" s="591"/>
      <c r="N18" s="591"/>
      <c r="O18" s="591"/>
      <c r="P18" s="591"/>
      <c r="Q18" s="577"/>
    </row>
    <row r="19" spans="2:17">
      <c r="B19" s="577"/>
      <c r="C19" s="577"/>
      <c r="D19" s="591"/>
      <c r="E19" s="591"/>
      <c r="F19" s="591"/>
      <c r="G19" s="591"/>
      <c r="H19" s="591"/>
      <c r="I19" s="591"/>
      <c r="J19" s="591"/>
      <c r="K19" s="591"/>
      <c r="L19" s="591"/>
      <c r="M19" s="591"/>
      <c r="N19" s="591"/>
      <c r="O19" s="591"/>
      <c r="P19" s="591"/>
      <c r="Q19" s="577"/>
    </row>
    <row r="20" spans="2:17">
      <c r="B20" s="577"/>
      <c r="C20" s="577"/>
      <c r="D20" s="591"/>
      <c r="E20" s="591"/>
      <c r="F20" s="591"/>
      <c r="G20" s="591"/>
      <c r="H20" s="591"/>
      <c r="I20" s="591"/>
      <c r="J20" s="591"/>
      <c r="K20" s="591"/>
      <c r="L20" s="591"/>
      <c r="M20" s="591"/>
      <c r="N20" s="591"/>
      <c r="O20" s="591"/>
      <c r="P20" s="591"/>
      <c r="Q20" s="577"/>
    </row>
    <row r="21" spans="2:17">
      <c r="B21" s="584" t="s">
        <v>88</v>
      </c>
      <c r="C21" s="578"/>
      <c r="D21" s="591"/>
      <c r="E21" s="591"/>
      <c r="F21" s="591"/>
      <c r="G21" s="591"/>
      <c r="H21" s="591"/>
      <c r="I21" s="591"/>
      <c r="J21" s="591"/>
      <c r="K21" s="591"/>
      <c r="L21" s="591"/>
      <c r="M21" s="591"/>
      <c r="N21" s="591"/>
      <c r="O21" s="591"/>
      <c r="P21" s="591"/>
      <c r="Q21" s="577"/>
    </row>
    <row r="22" spans="2:17">
      <c r="B22" s="582" t="s">
        <v>250</v>
      </c>
      <c r="C22" s="581">
        <v>1757</v>
      </c>
      <c r="D22" s="591"/>
      <c r="E22" s="591"/>
      <c r="F22" s="591"/>
      <c r="G22" s="591"/>
      <c r="H22" s="591"/>
      <c r="I22" s="591"/>
      <c r="J22" s="591"/>
      <c r="K22" s="591"/>
      <c r="L22" s="591"/>
      <c r="M22" s="591"/>
      <c r="N22" s="591"/>
      <c r="O22" s="591"/>
      <c r="P22" s="591"/>
      <c r="Q22" s="577"/>
    </row>
    <row r="23" spans="2:17">
      <c r="B23" s="577"/>
      <c r="C23" s="577"/>
      <c r="D23" s="591"/>
      <c r="E23" s="591"/>
      <c r="F23" s="591"/>
      <c r="G23" s="591"/>
      <c r="H23" s="591"/>
      <c r="I23" s="591"/>
      <c r="J23" s="591"/>
      <c r="K23" s="591"/>
      <c r="L23" s="591"/>
      <c r="M23" s="591"/>
      <c r="N23" s="591"/>
      <c r="O23" s="591"/>
      <c r="P23" s="591"/>
      <c r="Q23" s="577"/>
    </row>
    <row r="24" spans="2:17" ht="15.75" thickBot="1">
      <c r="B24" s="577" t="s">
        <v>88</v>
      </c>
      <c r="C24" s="577"/>
      <c r="D24" s="592" t="s">
        <v>249</v>
      </c>
      <c r="E24" s="577"/>
      <c r="F24" s="577"/>
      <c r="G24" s="577"/>
      <c r="H24" s="577"/>
      <c r="I24" s="577"/>
      <c r="J24" s="577"/>
      <c r="K24" s="577"/>
      <c r="L24" s="577"/>
      <c r="M24" s="577"/>
      <c r="N24" s="577"/>
      <c r="O24" s="577"/>
      <c r="P24" s="577"/>
      <c r="Q24" s="577"/>
    </row>
    <row r="25" spans="2:17" ht="15.75" thickBot="1">
      <c r="B25" s="681" t="s">
        <v>252</v>
      </c>
      <c r="C25" s="682"/>
      <c r="D25" s="588" t="s">
        <v>0</v>
      </c>
      <c r="E25" s="588" t="s">
        <v>1</v>
      </c>
      <c r="F25" s="588" t="s">
        <v>2</v>
      </c>
      <c r="G25" s="588" t="s">
        <v>3</v>
      </c>
      <c r="H25" s="588" t="s">
        <v>4</v>
      </c>
      <c r="I25" s="588" t="s">
        <v>5</v>
      </c>
      <c r="J25" s="588" t="s">
        <v>6</v>
      </c>
      <c r="K25" s="588" t="s">
        <v>7</v>
      </c>
      <c r="L25" s="588" t="s">
        <v>8</v>
      </c>
      <c r="M25" s="588" t="s">
        <v>9</v>
      </c>
      <c r="N25" s="588" t="s">
        <v>10</v>
      </c>
      <c r="O25" s="588" t="s">
        <v>11</v>
      </c>
      <c r="P25" s="588" t="s">
        <v>18</v>
      </c>
      <c r="Q25" s="577"/>
    </row>
    <row r="26" spans="2:17">
      <c r="B26" s="577" t="s">
        <v>535</v>
      </c>
      <c r="C26" s="577"/>
      <c r="D26" s="591">
        <v>0.91</v>
      </c>
      <c r="E26" s="591">
        <v>0.83</v>
      </c>
      <c r="F26" s="591">
        <v>1.33</v>
      </c>
      <c r="G26" s="591">
        <v>3.46</v>
      </c>
      <c r="H26" s="591">
        <v>4.7699999999999996</v>
      </c>
      <c r="I26" s="591">
        <v>5.95</v>
      </c>
      <c r="J26" s="591">
        <v>6.5</v>
      </c>
      <c r="K26" s="591">
        <v>5.6</v>
      </c>
      <c r="L26" s="591">
        <v>4.05</v>
      </c>
      <c r="M26" s="591">
        <v>2.4300000000000002</v>
      </c>
      <c r="N26" s="591">
        <v>1.23</v>
      </c>
      <c r="O26" s="591">
        <v>0.96</v>
      </c>
      <c r="P26" s="591">
        <v>44.589070158102764</v>
      </c>
      <c r="Q26" s="577"/>
    </row>
    <row r="27" spans="2:17" ht="15">
      <c r="B27" s="577" t="s">
        <v>253</v>
      </c>
      <c r="C27" s="577"/>
      <c r="D27" s="580">
        <v>0.66149999999999998</v>
      </c>
      <c r="E27" s="580">
        <v>0.60850000000000004</v>
      </c>
      <c r="F27" s="580">
        <v>0.72925000000000006</v>
      </c>
      <c r="G27" s="580">
        <v>1.0195000000000001</v>
      </c>
      <c r="H27" s="580">
        <v>1.40025</v>
      </c>
      <c r="I27" s="580">
        <v>1.04125</v>
      </c>
      <c r="J27" s="580">
        <v>0.69724999999999981</v>
      </c>
      <c r="K27" s="580">
        <v>0.93099999999999983</v>
      </c>
      <c r="L27" s="580">
        <v>1.1459999999999999</v>
      </c>
      <c r="M27" s="580">
        <v>1.0527500000000003</v>
      </c>
      <c r="N27" s="580">
        <v>0.83074999999999977</v>
      </c>
      <c r="O27" s="580">
        <v>0.6789999999999996</v>
      </c>
      <c r="P27" s="579">
        <f>SUM(D27:O27)</f>
        <v>10.796999999999999</v>
      </c>
      <c r="Q27" s="577"/>
    </row>
    <row r="28" spans="2:17">
      <c r="B28" s="577" t="s">
        <v>254</v>
      </c>
      <c r="C28" s="577"/>
      <c r="D28" s="591">
        <f t="shared" ref="D28:O28" si="3">+D26-D27</f>
        <v>0.24850000000000005</v>
      </c>
      <c r="E28" s="591">
        <f t="shared" si="3"/>
        <v>0.22149999999999992</v>
      </c>
      <c r="F28" s="591">
        <f t="shared" si="3"/>
        <v>0.60075000000000001</v>
      </c>
      <c r="G28" s="591">
        <f t="shared" si="3"/>
        <v>2.4405000000000001</v>
      </c>
      <c r="H28" s="591">
        <f t="shared" si="3"/>
        <v>3.3697499999999998</v>
      </c>
      <c r="I28" s="591">
        <f t="shared" si="3"/>
        <v>4.9087500000000004</v>
      </c>
      <c r="J28" s="591">
        <f t="shared" si="3"/>
        <v>5.8027500000000005</v>
      </c>
      <c r="K28" s="591">
        <f t="shared" si="3"/>
        <v>4.6689999999999996</v>
      </c>
      <c r="L28" s="591">
        <f t="shared" si="3"/>
        <v>2.9039999999999999</v>
      </c>
      <c r="M28" s="591">
        <f t="shared" si="3"/>
        <v>1.3772499999999999</v>
      </c>
      <c r="N28" s="591">
        <f t="shared" si="3"/>
        <v>0.39925000000000022</v>
      </c>
      <c r="O28" s="591">
        <f t="shared" si="3"/>
        <v>0.28100000000000036</v>
      </c>
      <c r="P28" s="591">
        <f>SUM(D28:O28)</f>
        <v>27.222999999999999</v>
      </c>
      <c r="Q28" s="577"/>
    </row>
  </sheetData>
  <sheetProtection objects="1" scenarios="1"/>
  <mergeCells count="3">
    <mergeCell ref="C1:F1"/>
    <mergeCell ref="B14:C14"/>
    <mergeCell ref="B25:C25"/>
  </mergeCells>
  <phoneticPr fontId="0" type="noConversion"/>
  <pageMargins left="0.75" right="0.75" top="1" bottom="1" header="0.5" footer="0.5"/>
  <pageSetup scale="65" orientation="landscape" horizontalDpi="4294967292" verticalDpi="0" r:id="rId1"/>
  <headerFooter alignWithMargins="0">
    <oddHeader>&amp;C&amp;"Arial,Bold"&amp;12Bear River Spreadsheet Model
Dry Year Conditions</oddHeader>
    <oddFooter>&amp;L&amp;F &amp;A&amp;RAPPENDIX A (Page &amp;P of &amp;N)</oddFooter>
  </headerFooter>
  <legacyDrawing r:id="rId2"/>
</worksheet>
</file>

<file path=xl/worksheets/sheet18.xml><?xml version="1.0" encoding="utf-8"?>
<worksheet xmlns="http://schemas.openxmlformats.org/spreadsheetml/2006/main" xmlns:r="http://schemas.openxmlformats.org/officeDocument/2006/relationships">
  <sheetPr codeName="Sheet5">
    <pageSetUpPr autoPageBreaks="0"/>
  </sheetPr>
  <dimension ref="B1:S31"/>
  <sheetViews>
    <sheetView showGridLines="0" showRowColHeaders="0" zoomScale="75" zoomScaleNormal="75" workbookViewId="0">
      <pane ySplit="1" topLeftCell="A2" activePane="bottomLeft" state="frozen"/>
      <selection activeCell="B26" sqref="B26"/>
      <selection pane="bottomLeft" activeCell="E24" sqref="E24"/>
    </sheetView>
  </sheetViews>
  <sheetFormatPr defaultColWidth="10.28515625" defaultRowHeight="14.25"/>
  <cols>
    <col min="1" max="1" width="9.140625" style="1" customWidth="1"/>
    <col min="2" max="2" width="11.7109375" style="1" customWidth="1"/>
    <col min="3" max="16384" width="10.28515625" style="1"/>
  </cols>
  <sheetData>
    <row r="1" spans="2:19" ht="45.75" customHeight="1">
      <c r="D1" s="386"/>
      <c r="E1" s="386"/>
      <c r="F1" s="683" t="s">
        <v>213</v>
      </c>
      <c r="G1" s="683"/>
      <c r="H1" s="683"/>
      <c r="I1" s="683"/>
      <c r="J1" s="683"/>
      <c r="K1" s="683"/>
      <c r="L1" s="683"/>
      <c r="M1" s="386"/>
    </row>
    <row r="2" spans="2:19" ht="15">
      <c r="B2" s="81" t="s">
        <v>12</v>
      </c>
      <c r="C2" s="79" t="s">
        <v>0</v>
      </c>
      <c r="D2" s="79" t="s">
        <v>1</v>
      </c>
      <c r="E2" s="79" t="s">
        <v>2</v>
      </c>
      <c r="F2" s="79" t="s">
        <v>3</v>
      </c>
      <c r="G2" s="79" t="s">
        <v>4</v>
      </c>
      <c r="H2" s="79" t="s">
        <v>5</v>
      </c>
      <c r="I2" s="79" t="s">
        <v>6</v>
      </c>
      <c r="J2" s="79" t="s">
        <v>7</v>
      </c>
      <c r="K2" s="79" t="s">
        <v>8</v>
      </c>
      <c r="L2" s="79" t="s">
        <v>9</v>
      </c>
      <c r="M2" s="79" t="s">
        <v>10</v>
      </c>
      <c r="N2" s="80" t="s">
        <v>11</v>
      </c>
    </row>
    <row r="3" spans="2:19">
      <c r="B3" s="60">
        <v>0</v>
      </c>
      <c r="C3" s="204">
        <v>1</v>
      </c>
      <c r="D3" s="204">
        <v>1</v>
      </c>
      <c r="E3" s="204">
        <v>1</v>
      </c>
      <c r="F3" s="204">
        <v>1</v>
      </c>
      <c r="G3" s="204">
        <v>1</v>
      </c>
      <c r="H3" s="422">
        <v>1</v>
      </c>
      <c r="I3" s="422">
        <v>1</v>
      </c>
      <c r="J3" s="422">
        <v>1</v>
      </c>
      <c r="K3" s="422">
        <v>1</v>
      </c>
      <c r="L3" s="422">
        <v>1</v>
      </c>
      <c r="M3" s="422">
        <v>1</v>
      </c>
      <c r="N3" s="422">
        <v>1</v>
      </c>
      <c r="O3" s="423"/>
      <c r="P3" s="423"/>
      <c r="Q3" s="423"/>
      <c r="R3" s="423"/>
      <c r="S3" s="423"/>
    </row>
    <row r="4" spans="2:19">
      <c r="B4" s="60">
        <v>15</v>
      </c>
      <c r="C4" s="204">
        <v>0.85</v>
      </c>
      <c r="D4" s="204">
        <v>0.85</v>
      </c>
      <c r="E4" s="204">
        <v>0.85</v>
      </c>
      <c r="F4" s="204">
        <v>0.85</v>
      </c>
      <c r="G4" s="204">
        <v>0.85</v>
      </c>
      <c r="H4" s="204">
        <v>0.85</v>
      </c>
      <c r="I4" s="204">
        <v>0.85</v>
      </c>
      <c r="J4" s="204">
        <v>0.85</v>
      </c>
      <c r="K4" s="204">
        <v>0.85</v>
      </c>
      <c r="L4" s="204">
        <v>0.85</v>
      </c>
      <c r="M4" s="204">
        <v>0.85</v>
      </c>
      <c r="N4" s="204">
        <v>0.85</v>
      </c>
    </row>
    <row r="5" spans="2:19">
      <c r="B5" s="60">
        <v>20</v>
      </c>
      <c r="C5" s="204">
        <v>0.8</v>
      </c>
      <c r="D5" s="204">
        <v>0.8</v>
      </c>
      <c r="E5" s="204">
        <v>0.8</v>
      </c>
      <c r="F5" s="204">
        <v>0.8</v>
      </c>
      <c r="G5" s="204">
        <v>0.8</v>
      </c>
      <c r="H5" s="204">
        <v>0.8</v>
      </c>
      <c r="I5" s="204">
        <v>0.8</v>
      </c>
      <c r="J5" s="204">
        <v>0.8</v>
      </c>
      <c r="K5" s="204">
        <v>0.8</v>
      </c>
      <c r="L5" s="204">
        <v>0.8</v>
      </c>
      <c r="M5" s="204">
        <v>0.8</v>
      </c>
      <c r="N5" s="204">
        <v>0.8</v>
      </c>
    </row>
    <row r="6" spans="2:19">
      <c r="B6" s="60">
        <v>22</v>
      </c>
      <c r="C6" s="204">
        <v>0.78</v>
      </c>
      <c r="D6" s="204">
        <v>0.78</v>
      </c>
      <c r="E6" s="204">
        <v>0.78</v>
      </c>
      <c r="F6" s="204">
        <v>0.78</v>
      </c>
      <c r="G6" s="204">
        <v>0.78</v>
      </c>
      <c r="H6" s="204">
        <v>0.78</v>
      </c>
      <c r="I6" s="204">
        <v>0.78</v>
      </c>
      <c r="J6" s="204">
        <v>0.78</v>
      </c>
      <c r="K6" s="204">
        <v>0.78</v>
      </c>
      <c r="L6" s="204">
        <v>0.78</v>
      </c>
      <c r="M6" s="204">
        <v>0.78</v>
      </c>
      <c r="N6" s="204">
        <v>0.78</v>
      </c>
    </row>
    <row r="7" spans="2:19">
      <c r="B7" s="60">
        <v>27</v>
      </c>
      <c r="C7" s="204">
        <v>0.73</v>
      </c>
      <c r="D7" s="204">
        <v>0.73</v>
      </c>
      <c r="E7" s="204">
        <v>0.73</v>
      </c>
      <c r="F7" s="204">
        <v>0.73</v>
      </c>
      <c r="G7" s="204">
        <v>0.73</v>
      </c>
      <c r="H7" s="204">
        <v>0.73</v>
      </c>
      <c r="I7" s="204">
        <v>0.73</v>
      </c>
      <c r="J7" s="204">
        <v>0.73</v>
      </c>
      <c r="K7" s="204">
        <v>0.73</v>
      </c>
      <c r="L7" s="204">
        <v>0.73</v>
      </c>
      <c r="M7" s="204">
        <v>0.73</v>
      </c>
      <c r="N7" s="204">
        <v>0.73</v>
      </c>
    </row>
    <row r="8" spans="2:19">
      <c r="B8" s="60">
        <v>25</v>
      </c>
      <c r="C8" s="204">
        <v>0.75</v>
      </c>
      <c r="D8" s="204">
        <v>0.75</v>
      </c>
      <c r="E8" s="204">
        <v>0.75</v>
      </c>
      <c r="F8" s="204">
        <v>0.75</v>
      </c>
      <c r="G8" s="204">
        <v>0.75</v>
      </c>
      <c r="H8" s="204">
        <v>0.75</v>
      </c>
      <c r="I8" s="204">
        <v>0.75</v>
      </c>
      <c r="J8" s="204">
        <v>0.75</v>
      </c>
      <c r="K8" s="204">
        <v>0.75</v>
      </c>
      <c r="L8" s="204">
        <v>0.75</v>
      </c>
      <c r="M8" s="204">
        <v>0.75</v>
      </c>
      <c r="N8" s="204">
        <v>0.75</v>
      </c>
    </row>
    <row r="9" spans="2:19">
      <c r="B9" s="60">
        <v>28</v>
      </c>
      <c r="C9" s="204">
        <v>0.72</v>
      </c>
      <c r="D9" s="204">
        <v>0.72</v>
      </c>
      <c r="E9" s="204">
        <v>0.72</v>
      </c>
      <c r="F9" s="204">
        <v>0.72</v>
      </c>
      <c r="G9" s="204">
        <v>0.72</v>
      </c>
      <c r="H9" s="204">
        <v>0.72</v>
      </c>
      <c r="I9" s="204">
        <v>0.72</v>
      </c>
      <c r="J9" s="204">
        <v>0.72</v>
      </c>
      <c r="K9" s="204">
        <v>0.72</v>
      </c>
      <c r="L9" s="204">
        <v>0.72</v>
      </c>
      <c r="M9" s="204">
        <v>0.72</v>
      </c>
      <c r="N9" s="204">
        <v>0.72</v>
      </c>
    </row>
    <row r="10" spans="2:19">
      <c r="B10" s="60">
        <v>30</v>
      </c>
      <c r="C10" s="56">
        <v>0.7</v>
      </c>
      <c r="D10" s="56">
        <v>0.7</v>
      </c>
      <c r="E10" s="56">
        <v>0.7</v>
      </c>
      <c r="F10" s="56">
        <v>0.7</v>
      </c>
      <c r="G10" s="56">
        <v>0.7</v>
      </c>
      <c r="H10" s="56">
        <v>0.7</v>
      </c>
      <c r="I10" s="56">
        <v>0.7</v>
      </c>
      <c r="J10" s="56">
        <v>0.7</v>
      </c>
      <c r="K10" s="56">
        <v>0.7</v>
      </c>
      <c r="L10" s="56">
        <v>0.7</v>
      </c>
      <c r="M10" s="56">
        <v>0.7</v>
      </c>
      <c r="N10" s="56">
        <v>0.7</v>
      </c>
    </row>
    <row r="11" spans="2:19">
      <c r="B11" s="60">
        <v>33</v>
      </c>
      <c r="C11" s="56">
        <v>0.66</v>
      </c>
      <c r="D11" s="56">
        <v>0.66</v>
      </c>
      <c r="E11" s="56">
        <v>0.66</v>
      </c>
      <c r="F11" s="56">
        <v>0.66</v>
      </c>
      <c r="G11" s="56">
        <v>0.66</v>
      </c>
      <c r="H11" s="56">
        <v>0.66</v>
      </c>
      <c r="I11" s="56">
        <v>0.66</v>
      </c>
      <c r="J11" s="56">
        <v>0.66</v>
      </c>
      <c r="K11" s="56">
        <v>0.66</v>
      </c>
      <c r="L11" s="56">
        <v>0.66</v>
      </c>
      <c r="M11" s="56">
        <v>0.66</v>
      </c>
      <c r="N11" s="56">
        <v>0.66</v>
      </c>
    </row>
    <row r="12" spans="2:19">
      <c r="B12" s="60">
        <v>35</v>
      </c>
      <c r="C12" s="56">
        <v>0.65</v>
      </c>
      <c r="D12" s="56">
        <v>0.65</v>
      </c>
      <c r="E12" s="56">
        <v>0.65</v>
      </c>
      <c r="F12" s="56">
        <v>0.65</v>
      </c>
      <c r="G12" s="56">
        <v>0.65</v>
      </c>
      <c r="H12" s="56">
        <v>0.65</v>
      </c>
      <c r="I12" s="56">
        <v>0.65</v>
      </c>
      <c r="J12" s="56">
        <v>0.65</v>
      </c>
      <c r="K12" s="56">
        <v>0.65</v>
      </c>
      <c r="L12" s="56">
        <v>0.65</v>
      </c>
      <c r="M12" s="56">
        <v>0.65</v>
      </c>
      <c r="N12" s="56">
        <v>0.65</v>
      </c>
    </row>
    <row r="13" spans="2:19">
      <c r="B13" s="60">
        <v>36</v>
      </c>
      <c r="C13" s="56">
        <v>0.64</v>
      </c>
      <c r="D13" s="56">
        <v>0.64</v>
      </c>
      <c r="E13" s="56">
        <v>0.64</v>
      </c>
      <c r="F13" s="56">
        <v>0.64</v>
      </c>
      <c r="G13" s="56">
        <v>0.64</v>
      </c>
      <c r="H13" s="56">
        <v>0.64</v>
      </c>
      <c r="I13" s="56">
        <v>0.64</v>
      </c>
      <c r="J13" s="56">
        <v>0.64</v>
      </c>
      <c r="K13" s="56">
        <v>0.64</v>
      </c>
      <c r="L13" s="56">
        <v>0.64</v>
      </c>
      <c r="M13" s="56">
        <v>0.64</v>
      </c>
      <c r="N13" s="56">
        <v>0.64</v>
      </c>
    </row>
    <row r="14" spans="2:19">
      <c r="B14" s="60">
        <v>40</v>
      </c>
      <c r="C14" s="56">
        <v>0.6</v>
      </c>
      <c r="D14" s="56">
        <v>0.6</v>
      </c>
      <c r="E14" s="56">
        <v>0.6</v>
      </c>
      <c r="F14" s="56">
        <v>0.6</v>
      </c>
      <c r="G14" s="56">
        <v>0.6</v>
      </c>
      <c r="H14" s="56">
        <v>0.6</v>
      </c>
      <c r="I14" s="56">
        <v>0.6</v>
      </c>
      <c r="J14" s="56">
        <v>0.6</v>
      </c>
      <c r="K14" s="56">
        <v>0.6</v>
      </c>
      <c r="L14" s="56">
        <v>0.6</v>
      </c>
      <c r="M14" s="56">
        <v>0.6</v>
      </c>
      <c r="N14" s="56">
        <v>0.6</v>
      </c>
    </row>
    <row r="15" spans="2:19">
      <c r="B15" s="60">
        <v>42</v>
      </c>
      <c r="C15" s="56">
        <v>0.57999999999999996</v>
      </c>
      <c r="D15" s="56">
        <v>0.57999999999999996</v>
      </c>
      <c r="E15" s="56">
        <v>0.57999999999999996</v>
      </c>
      <c r="F15" s="56">
        <v>0.57999999999999996</v>
      </c>
      <c r="G15" s="56">
        <v>0.57999999999999996</v>
      </c>
      <c r="H15" s="56">
        <v>0.57999999999999996</v>
      </c>
      <c r="I15" s="56">
        <v>0.57999999999999996</v>
      </c>
      <c r="J15" s="56">
        <v>0.57999999999999996</v>
      </c>
      <c r="K15" s="56">
        <v>0.57999999999999996</v>
      </c>
      <c r="L15" s="56">
        <v>0.57999999999999996</v>
      </c>
      <c r="M15" s="56">
        <v>0.57999999999999996</v>
      </c>
      <c r="N15" s="56">
        <v>0.57999999999999996</v>
      </c>
    </row>
    <row r="16" spans="2:19">
      <c r="B16" s="60">
        <v>47</v>
      </c>
      <c r="C16" s="56">
        <v>0.53</v>
      </c>
      <c r="D16" s="56">
        <v>0.53</v>
      </c>
      <c r="E16" s="56">
        <v>0.53</v>
      </c>
      <c r="F16" s="56">
        <v>0.53</v>
      </c>
      <c r="G16" s="56">
        <v>0.53</v>
      </c>
      <c r="H16" s="56">
        <v>0.53</v>
      </c>
      <c r="I16" s="56">
        <v>0.53</v>
      </c>
      <c r="J16" s="56">
        <v>0.53</v>
      </c>
      <c r="K16" s="56">
        <v>0.53</v>
      </c>
      <c r="L16" s="56">
        <v>0.53</v>
      </c>
      <c r="M16" s="56">
        <v>0.53</v>
      </c>
      <c r="N16" s="56">
        <v>0.53</v>
      </c>
    </row>
    <row r="17" spans="2:15">
      <c r="B17" s="60">
        <v>60</v>
      </c>
      <c r="C17" s="56">
        <v>0.4</v>
      </c>
      <c r="D17" s="56">
        <v>0.4</v>
      </c>
      <c r="E17" s="56">
        <v>0.4</v>
      </c>
      <c r="F17" s="56">
        <v>0.4</v>
      </c>
      <c r="G17" s="56">
        <v>0.4</v>
      </c>
      <c r="H17" s="56">
        <v>0.4</v>
      </c>
      <c r="I17" s="56">
        <v>0.4</v>
      </c>
      <c r="J17" s="56">
        <v>0.4</v>
      </c>
      <c r="K17" s="56">
        <v>0.4</v>
      </c>
      <c r="L17" s="56">
        <v>0.4</v>
      </c>
      <c r="M17" s="56">
        <v>0.4</v>
      </c>
      <c r="N17" s="56">
        <v>0.4</v>
      </c>
    </row>
    <row r="18" spans="2:15">
      <c r="B18" s="60">
        <v>70</v>
      </c>
      <c r="C18" s="56">
        <v>0.3</v>
      </c>
      <c r="D18" s="56">
        <v>0.3</v>
      </c>
      <c r="E18" s="56">
        <v>0.3</v>
      </c>
      <c r="F18" s="56">
        <v>0.3</v>
      </c>
      <c r="G18" s="56">
        <v>0.3</v>
      </c>
      <c r="H18" s="56">
        <v>0.3</v>
      </c>
      <c r="I18" s="56">
        <v>0.3</v>
      </c>
      <c r="J18" s="56">
        <v>0.3</v>
      </c>
      <c r="K18" s="56">
        <v>0.3</v>
      </c>
      <c r="L18" s="56">
        <v>0.3</v>
      </c>
      <c r="M18" s="56">
        <v>0.3</v>
      </c>
      <c r="N18" s="56">
        <v>0.3</v>
      </c>
    </row>
    <row r="19" spans="2:15">
      <c r="B19" s="61">
        <v>100</v>
      </c>
      <c r="C19" s="78">
        <v>0</v>
      </c>
      <c r="D19" s="78">
        <v>0</v>
      </c>
      <c r="E19" s="78">
        <v>0</v>
      </c>
      <c r="F19" s="78">
        <v>0</v>
      </c>
      <c r="G19" s="78">
        <v>0</v>
      </c>
      <c r="H19" s="78">
        <v>0</v>
      </c>
      <c r="I19" s="78">
        <v>0</v>
      </c>
      <c r="J19" s="78">
        <v>0</v>
      </c>
      <c r="K19" s="78">
        <v>0</v>
      </c>
      <c r="L19" s="78">
        <v>0</v>
      </c>
      <c r="M19" s="78">
        <v>0</v>
      </c>
      <c r="N19" s="78">
        <v>0</v>
      </c>
    </row>
    <row r="20" spans="2:15">
      <c r="I20" s="55"/>
    </row>
    <row r="21" spans="2:15" ht="26.25">
      <c r="B21" s="202" t="s">
        <v>118</v>
      </c>
      <c r="C21" s="55"/>
    </row>
    <row r="22" spans="2:15" ht="15">
      <c r="B22" s="82" t="s">
        <v>13</v>
      </c>
      <c r="C22" s="77">
        <v>0</v>
      </c>
      <c r="D22" s="77">
        <v>1</v>
      </c>
      <c r="E22" s="77">
        <v>2</v>
      </c>
      <c r="F22" s="77">
        <v>3</v>
      </c>
      <c r="G22" s="83" t="s">
        <v>18</v>
      </c>
      <c r="H22" s="87"/>
      <c r="I22"/>
      <c r="J22"/>
      <c r="K22"/>
      <c r="L22"/>
      <c r="M22"/>
      <c r="N22"/>
      <c r="O22"/>
    </row>
    <row r="23" spans="2:15" ht="15">
      <c r="B23" s="59">
        <v>1</v>
      </c>
      <c r="C23" s="58">
        <v>0.5</v>
      </c>
      <c r="D23" s="58">
        <v>0.25</v>
      </c>
      <c r="E23" s="58">
        <v>0.15</v>
      </c>
      <c r="F23" s="58">
        <v>0.1</v>
      </c>
      <c r="G23" s="167">
        <f>SUM(C23:F23)</f>
        <v>1</v>
      </c>
      <c r="H23" s="203" t="str">
        <f>IF(G23&lt;&gt;1,"&lt;------ Warning:  The Lag pattern must total 100 percent","")</f>
        <v/>
      </c>
      <c r="I23"/>
      <c r="J23"/>
      <c r="K23"/>
      <c r="L23"/>
      <c r="M23"/>
      <c r="N23"/>
      <c r="O23"/>
    </row>
    <row r="24" spans="2:15" ht="15">
      <c r="B24" s="60">
        <v>2</v>
      </c>
      <c r="C24" s="56">
        <v>0.7</v>
      </c>
      <c r="D24" s="56">
        <v>0.2</v>
      </c>
      <c r="E24" s="56">
        <v>0.1</v>
      </c>
      <c r="F24" s="56">
        <v>0</v>
      </c>
      <c r="G24" s="221">
        <f>SUM(C24:F24)</f>
        <v>0.99999999999999989</v>
      </c>
      <c r="H24" s="203" t="str">
        <f>IF(G24&lt;&gt;1,"&lt;------ Warning:  The Lag pattern must total 100 percent","")</f>
        <v/>
      </c>
      <c r="I24"/>
      <c r="J24"/>
      <c r="K24"/>
      <c r="L24"/>
      <c r="M24"/>
      <c r="N24"/>
      <c r="O24"/>
    </row>
    <row r="25" spans="2:15" ht="15">
      <c r="B25" s="60">
        <v>3</v>
      </c>
      <c r="C25" s="56">
        <v>1</v>
      </c>
      <c r="D25" s="56">
        <v>0</v>
      </c>
      <c r="E25" s="56">
        <v>0</v>
      </c>
      <c r="F25" s="56">
        <v>0</v>
      </c>
      <c r="G25" s="221">
        <f>SUM(C25:F25)</f>
        <v>1</v>
      </c>
      <c r="H25" s="203"/>
      <c r="I25"/>
      <c r="J25"/>
      <c r="K25"/>
      <c r="L25"/>
      <c r="M25"/>
      <c r="N25"/>
      <c r="O25"/>
    </row>
    <row r="26" spans="2:15" ht="15">
      <c r="B26" s="61">
        <v>4</v>
      </c>
      <c r="C26" s="57">
        <v>1</v>
      </c>
      <c r="D26" s="57">
        <v>0</v>
      </c>
      <c r="E26" s="57">
        <v>0</v>
      </c>
      <c r="F26" s="57">
        <v>0</v>
      </c>
      <c r="G26" s="222">
        <f>SUM(C26:F26)</f>
        <v>1</v>
      </c>
      <c r="H26" s="203" t="str">
        <f>IF(G26&lt;&gt;1,"&lt;------ Warning:  The Lag pattern must total 100 percent","")</f>
        <v/>
      </c>
      <c r="I26"/>
      <c r="J26"/>
      <c r="K26"/>
      <c r="L26"/>
      <c r="M26"/>
      <c r="N26"/>
      <c r="O26"/>
    </row>
    <row r="28" spans="2:15">
      <c r="C28" s="55" t="s">
        <v>49</v>
      </c>
      <c r="D28" s="55" t="s">
        <v>50</v>
      </c>
    </row>
    <row r="29" spans="2:15">
      <c r="D29" s="55" t="s">
        <v>51</v>
      </c>
    </row>
    <row r="30" spans="2:15">
      <c r="D30" s="55" t="s">
        <v>52</v>
      </c>
    </row>
    <row r="31" spans="2:15">
      <c r="D31" s="55" t="s">
        <v>53</v>
      </c>
    </row>
  </sheetData>
  <sheetProtection objects="1" scenarios="1"/>
  <mergeCells count="1">
    <mergeCell ref="F1:L1"/>
  </mergeCells>
  <phoneticPr fontId="0" type="noConversion"/>
  <pageMargins left="0.75" right="0.75" top="1" bottom="1" header="0.5" footer="0.5"/>
  <pageSetup scale="65" orientation="landscape" horizontalDpi="4294967292" verticalDpi="300" r:id="rId1"/>
  <headerFooter alignWithMargins="0">
    <oddHeader>&amp;C&amp;"Arial,Bold"&amp;12Bear River Spreadsheet Model
Dry Year Conditions</oddHeader>
    <oddFooter>&amp;L&amp;F &amp;A&amp;RAPPENDIX A (Page &amp;P of &amp;N)</oddFooter>
  </headerFooter>
  <legacyDrawing r:id="rId2"/>
</worksheet>
</file>

<file path=xl/worksheets/sheet19.xml><?xml version="1.0" encoding="utf-8"?>
<worksheet xmlns="http://schemas.openxmlformats.org/spreadsheetml/2006/main" xmlns:r="http://schemas.openxmlformats.org/officeDocument/2006/relationships">
  <sheetPr codeName="Sheet7">
    <pageSetUpPr autoPageBreaks="0"/>
  </sheetPr>
  <dimension ref="A1:S31"/>
  <sheetViews>
    <sheetView showGridLines="0" showRowColHeaders="0" zoomScale="75" zoomScaleNormal="75" workbookViewId="0">
      <pane ySplit="1" topLeftCell="A2" activePane="bottomLeft" state="frozen"/>
      <selection activeCell="B26" sqref="B26"/>
      <selection pane="bottomLeft" activeCell="P28" sqref="P28"/>
    </sheetView>
  </sheetViews>
  <sheetFormatPr defaultRowHeight="12.75"/>
  <cols>
    <col min="2" max="2" width="15.140625" bestFit="1" customWidth="1"/>
    <col min="4" max="7" width="9.28515625" bestFit="1" customWidth="1"/>
    <col min="8" max="10" width="10.42578125" bestFit="1" customWidth="1"/>
    <col min="11" max="15" width="9.28515625" bestFit="1" customWidth="1"/>
  </cols>
  <sheetData>
    <row r="1" spans="1:19" ht="40.5" customHeight="1">
      <c r="K1" s="674" t="s">
        <v>541</v>
      </c>
      <c r="L1" s="674"/>
      <c r="M1" s="674"/>
      <c r="N1" s="674"/>
      <c r="O1" s="674"/>
    </row>
    <row r="2" spans="1:19" ht="26.25">
      <c r="A2" s="658"/>
      <c r="B2" s="675" t="s">
        <v>243</v>
      </c>
      <c r="C2" s="675"/>
      <c r="D2" s="675"/>
      <c r="E2" s="675"/>
      <c r="F2" s="675"/>
    </row>
    <row r="3" spans="1:19">
      <c r="A3" s="658"/>
      <c r="H3" s="420"/>
      <c r="I3" s="420"/>
      <c r="J3" s="420"/>
      <c r="K3" s="420"/>
      <c r="L3" s="420"/>
      <c r="M3" s="420"/>
      <c r="N3" s="420"/>
      <c r="O3" s="420"/>
      <c r="P3" s="420"/>
      <c r="Q3" s="420"/>
      <c r="R3" s="420"/>
      <c r="S3" s="420"/>
    </row>
    <row r="4" spans="1:19">
      <c r="A4" s="658"/>
    </row>
    <row r="5" spans="1:19" ht="15">
      <c r="A5" s="658"/>
      <c r="B5" s="81" t="s">
        <v>514</v>
      </c>
      <c r="C5" s="123"/>
      <c r="D5" s="79" t="s">
        <v>0</v>
      </c>
      <c r="E5" s="79" t="s">
        <v>1</v>
      </c>
      <c r="F5" s="79" t="s">
        <v>2</v>
      </c>
      <c r="G5" s="79" t="s">
        <v>3</v>
      </c>
      <c r="H5" s="79" t="s">
        <v>4</v>
      </c>
      <c r="I5" s="79" t="s">
        <v>5</v>
      </c>
      <c r="J5" s="79" t="s">
        <v>6</v>
      </c>
      <c r="K5" s="79" t="s">
        <v>7</v>
      </c>
      <c r="L5" s="79" t="s">
        <v>8</v>
      </c>
      <c r="M5" s="79" t="s">
        <v>9</v>
      </c>
      <c r="N5" s="79" t="s">
        <v>10</v>
      </c>
      <c r="O5" s="80" t="s">
        <v>11</v>
      </c>
      <c r="P5" s="532" t="s">
        <v>568</v>
      </c>
      <c r="Q5" s="532" t="s">
        <v>579</v>
      </c>
    </row>
    <row r="6" spans="1:19" ht="14.25">
      <c r="A6" s="658"/>
      <c r="B6" s="60" t="s">
        <v>338</v>
      </c>
      <c r="C6" s="124"/>
      <c r="D6" s="368">
        <f>IF(VLOOKUP($B6,GainLossCalcs!$C$18:$P$176,3,FALSE)&gt;0,VLOOKUP($B6,GainLossCalcs!$C$18:$P$176,3,FALSE),0)</f>
        <v>53.202033151855602</v>
      </c>
      <c r="E6" s="368">
        <f>IF(VLOOKUP($B6,GainLossCalcs!$C$18:$P$176,4,FALSE)&gt;0,VLOOKUP($B6,GainLossCalcs!$C$18:$P$176,4,FALSE),0)</f>
        <v>792.56669749825835</v>
      </c>
      <c r="F6" s="368">
        <f>IF(VLOOKUP($B6,GainLossCalcs!$C$18:$P$176,5,FALSE)&gt;0,VLOOKUP($B6,GainLossCalcs!$C$18:$P$176,5,FALSE),0)</f>
        <v>5317.5588282999788</v>
      </c>
      <c r="G6" s="368">
        <f>IF(VLOOKUP($B6,GainLossCalcs!$C$18:$P$176,6,FALSE)&gt;0,VLOOKUP($B6,GainLossCalcs!$C$18:$P$176,6,FALSE),0)</f>
        <v>3432.0999425175874</v>
      </c>
      <c r="H6" s="368">
        <f>IF(VLOOKUP($B6,GainLossCalcs!$C$18:$P$176,7,FALSE)&gt;0,VLOOKUP($B6,GainLossCalcs!$C$18:$P$176,7,FALSE),0)</f>
        <v>2936.592350991833</v>
      </c>
      <c r="I6" s="368">
        <f>IF(VLOOKUP($B6,GainLossCalcs!$C$18:$P$176,8,FALSE)&gt;0,VLOOKUP($B6,GainLossCalcs!$C$18:$P$176,8,FALSE),0)</f>
        <v>2416.7021593716972</v>
      </c>
      <c r="J6" s="368">
        <f>IF(VLOOKUP($B6,GainLossCalcs!$C$18:$P$176,9,FALSE)&gt;0,VLOOKUP($B6,GainLossCalcs!$C$18:$P$176,9,FALSE),0)</f>
        <v>0</v>
      </c>
      <c r="K6" s="368">
        <f>IF(VLOOKUP($B6,GainLossCalcs!$C$18:$P$176,10,FALSE)&gt;0,VLOOKUP($B6,GainLossCalcs!$C$18:$P$176,10,FALSE),0)</f>
        <v>0</v>
      </c>
      <c r="L6" s="368">
        <f>IF(VLOOKUP($B6,GainLossCalcs!$C$18:$P$176,11,FALSE)&gt;0,VLOOKUP($B6,GainLossCalcs!$C$18:$P$176,11,FALSE),0)</f>
        <v>0</v>
      </c>
      <c r="M6" s="368">
        <f>IF(VLOOKUP($B6,GainLossCalcs!$C$18:$P$176,12,FALSE)&gt;0,VLOOKUP($B6,GainLossCalcs!$C$18:$P$176,12,FALSE),0)</f>
        <v>0</v>
      </c>
      <c r="N6" s="368">
        <f>IF(VLOOKUP($B6,GainLossCalcs!$C$18:$P$176,13,FALSE)&gt;0,VLOOKUP($B6,GainLossCalcs!$C$18:$P$176,13,FALSE),0)</f>
        <v>0</v>
      </c>
      <c r="O6" s="391">
        <f>IF(VLOOKUP($B6,GainLossCalcs!$C$18:$P$176,14,FALSE)&gt;0,VLOOKUP($B6,GainLossCalcs!$C$18:$P$176,14,FALSE),0)</f>
        <v>0</v>
      </c>
      <c r="P6" s="563">
        <f>SUM(D6:O6)</f>
        <v>14948.722011831211</v>
      </c>
      <c r="Q6" s="241">
        <f>SUM(H6:L6)</f>
        <v>5353.2945103635302</v>
      </c>
    </row>
    <row r="7" spans="1:19" ht="14.25">
      <c r="A7" s="658"/>
      <c r="B7" s="60" t="s">
        <v>336</v>
      </c>
      <c r="C7" s="124"/>
      <c r="D7" s="368">
        <f>IF(VLOOKUP($B7,GainLossCalcs!$C$18:$P$176,3,FALSE)&gt;0,VLOOKUP($B7,GainLossCalcs!$C$18:$P$176,3,FALSE),0)</f>
        <v>0</v>
      </c>
      <c r="E7" s="368">
        <f>IF(VLOOKUP($B7,GainLossCalcs!$C$18:$P$176,4,FALSE)&gt;0,VLOOKUP($B7,GainLossCalcs!$C$18:$P$176,4,FALSE),0)</f>
        <v>0</v>
      </c>
      <c r="F7" s="368">
        <f>IF(VLOOKUP($B7,GainLossCalcs!$C$18:$P$176,5,FALSE)&gt;0,VLOOKUP($B7,GainLossCalcs!$C$18:$P$176,5,FALSE),0)</f>
        <v>0</v>
      </c>
      <c r="G7" s="368">
        <f>IF(VLOOKUP($B7,GainLossCalcs!$C$18:$P$176,6,FALSE)&gt;0,VLOOKUP($B7,GainLossCalcs!$C$18:$P$176,6,FALSE),0)</f>
        <v>0</v>
      </c>
      <c r="H7" s="368">
        <f>IF(VLOOKUP($B7,GainLossCalcs!$C$18:$P$176,7,FALSE)&gt;0,VLOOKUP($B7,GainLossCalcs!$C$18:$P$176,7,FALSE),0)</f>
        <v>0</v>
      </c>
      <c r="I7" s="368">
        <f>IF(VLOOKUP($B7,GainLossCalcs!$C$18:$P$176,8,FALSE)&gt;0,VLOOKUP($B7,GainLossCalcs!$C$18:$P$176,8,FALSE),0)</f>
        <v>0</v>
      </c>
      <c r="J7" s="368">
        <f>IF(VLOOKUP($B7,GainLossCalcs!$C$18:$P$176,9,FALSE)&gt;0,VLOOKUP($B7,GainLossCalcs!$C$18:$P$176,9,FALSE),0)</f>
        <v>0</v>
      </c>
      <c r="K7" s="368">
        <f>IF(VLOOKUP($B7,GainLossCalcs!$C$18:$P$176,10,FALSE)&gt;0,VLOOKUP($B7,GainLossCalcs!$C$18:$P$176,10,FALSE),0)</f>
        <v>0</v>
      </c>
      <c r="L7" s="368">
        <f>IF(VLOOKUP($B7,GainLossCalcs!$C$18:$P$176,11,FALSE)&gt;0,VLOOKUP($B7,GainLossCalcs!$C$18:$P$176,11,FALSE),0)</f>
        <v>0</v>
      </c>
      <c r="M7" s="368">
        <f>IF(VLOOKUP($B7,GainLossCalcs!$C$18:$P$176,12,FALSE)&gt;0,VLOOKUP($B7,GainLossCalcs!$C$18:$P$176,12,FALSE),0)</f>
        <v>0</v>
      </c>
      <c r="N7" s="368">
        <f>IF(VLOOKUP($B7,GainLossCalcs!$C$18:$P$176,13,FALSE)&gt;0,VLOOKUP($B7,GainLossCalcs!$C$18:$P$176,13,FALSE),0)</f>
        <v>0</v>
      </c>
      <c r="O7" s="391">
        <f>IF(VLOOKUP($B7,GainLossCalcs!$C$18:$P$176,14,FALSE)&gt;0,VLOOKUP($B7,GainLossCalcs!$C$18:$P$176,14,FALSE),0)</f>
        <v>0</v>
      </c>
      <c r="P7" s="563">
        <f t="shared" ref="P7:P13" si="0">SUM(D7:O7)</f>
        <v>0</v>
      </c>
      <c r="Q7" s="241">
        <f t="shared" ref="Q7:Q13" si="1">SUM(H7:L7)</f>
        <v>0</v>
      </c>
    </row>
    <row r="8" spans="1:19" ht="14.25">
      <c r="A8" s="237"/>
      <c r="B8" s="60" t="s">
        <v>24</v>
      </c>
      <c r="C8" s="124"/>
      <c r="D8" s="368">
        <f>IF(VLOOKUP($B8,GainLossCalcs!$C$18:$P$176,3,FALSE)&gt;0,VLOOKUP($B8,GainLossCalcs!$C$18:$P$176,3,FALSE),0)</f>
        <v>20.172727272727343</v>
      </c>
      <c r="E8" s="368">
        <f>IF(VLOOKUP($B8,GainLossCalcs!$C$18:$P$176,4,FALSE)&gt;0,VLOOKUP($B8,GainLossCalcs!$C$18:$P$176,4,FALSE),0)</f>
        <v>6.5088547815819311</v>
      </c>
      <c r="F8" s="368">
        <f>IF(VLOOKUP($B8,GainLossCalcs!$C$18:$P$176,5,FALSE)&gt;0,VLOOKUP($B8,GainLossCalcs!$C$18:$P$176,5,FALSE),0)</f>
        <v>9.1349468713106035</v>
      </c>
      <c r="G8" s="368">
        <f>IF(VLOOKUP($B8,GainLossCalcs!$C$18:$P$176,6,FALSE)&gt;0,VLOOKUP($B8,GainLossCalcs!$C$18:$P$176,6,FALSE),0)</f>
        <v>0</v>
      </c>
      <c r="H8" s="368">
        <f>IF(VLOOKUP($B8,GainLossCalcs!$C$18:$P$176,7,FALSE)&gt;0,VLOOKUP($B8,GainLossCalcs!$C$18:$P$176,7,FALSE),0)</f>
        <v>0</v>
      </c>
      <c r="I8" s="368">
        <f>IF(VLOOKUP($B8,GainLossCalcs!$C$18:$P$176,8,FALSE)&gt;0,VLOOKUP($B8,GainLossCalcs!$C$18:$P$176,8,FALSE),0)</f>
        <v>0</v>
      </c>
      <c r="J8" s="368">
        <f>IF(VLOOKUP($B8,GainLossCalcs!$C$18:$P$176,9,FALSE)&gt;0,VLOOKUP($B8,GainLossCalcs!$C$18:$P$176,9,FALSE),0)</f>
        <v>0</v>
      </c>
      <c r="K8" s="368">
        <f>IF(VLOOKUP($B8,GainLossCalcs!$C$18:$P$176,10,FALSE)&gt;0,VLOOKUP($B8,GainLossCalcs!$C$18:$P$176,10,FALSE),0)</f>
        <v>0</v>
      </c>
      <c r="L8" s="368">
        <f>IF(VLOOKUP($B8,GainLossCalcs!$C$18:$P$176,11,FALSE)&gt;0,VLOOKUP($B8,GainLossCalcs!$C$18:$P$176,11,FALSE),0)</f>
        <v>0</v>
      </c>
      <c r="M8" s="368">
        <f>IF(VLOOKUP($B8,GainLossCalcs!$C$18:$P$176,12,FALSE)&gt;0,VLOOKUP($B8,GainLossCalcs!$C$18:$P$176,12,FALSE),0)</f>
        <v>217.03258559622191</v>
      </c>
      <c r="N8" s="368">
        <f>IF(VLOOKUP($B8,GainLossCalcs!$C$18:$P$176,13,FALSE)&gt;0,VLOOKUP($B8,GainLossCalcs!$C$18:$P$176,13,FALSE),0)</f>
        <v>181.68949232585601</v>
      </c>
      <c r="O8" s="391">
        <f>IF(VLOOKUP($B8,GainLossCalcs!$C$18:$P$176,14,FALSE)&gt;0,VLOOKUP($B8,GainLossCalcs!$C$18:$P$176,14,FALSE),0)</f>
        <v>226.03624557260923</v>
      </c>
      <c r="P8" s="563">
        <f t="shared" si="0"/>
        <v>660.57485242030702</v>
      </c>
      <c r="Q8" s="241">
        <f t="shared" si="1"/>
        <v>0</v>
      </c>
    </row>
    <row r="9" spans="1:19" ht="14.25">
      <c r="B9" s="60" t="s">
        <v>25</v>
      </c>
      <c r="C9" s="124"/>
      <c r="D9" s="368">
        <f>(VLOOKUP($B9,GainLossCalcs!$C$18:$P$176,3,FALSE))</f>
        <v>417.38738181818167</v>
      </c>
      <c r="E9" s="368">
        <f>IF(VLOOKUP($B9,GainLossCalcs!$C$18:$P$176,4,FALSE)&gt;0,VLOOKUP($B9,GainLossCalcs!$C$18:$P$176,4,FALSE),0)</f>
        <v>15.569476033057754</v>
      </c>
      <c r="F9" s="368">
        <f>IF(VLOOKUP($B9,GainLossCalcs!$C$18:$P$176,5,FALSE)&gt;0,VLOOKUP($B9,GainLossCalcs!$C$18:$P$176,5,FALSE),0)</f>
        <v>1991.2845388429755</v>
      </c>
      <c r="G9" s="368">
        <f>IF(VLOOKUP($B9,GainLossCalcs!$C$18:$P$176,6,FALSE)&gt;0,VLOOKUP($B9,GainLossCalcs!$C$18:$P$176,6,FALSE),0)</f>
        <v>782.75645867768617</v>
      </c>
      <c r="H9" s="368">
        <f>IF(VLOOKUP($B9,GainLossCalcs!$C$18:$P$176,7,FALSE)&gt;0,VLOOKUP($B9,GainLossCalcs!$C$18:$P$176,7,FALSE),0)</f>
        <v>5653.6705762079591</v>
      </c>
      <c r="I9" s="368">
        <f>IF(VLOOKUP($B9,GainLossCalcs!$C$18:$P$176,8,FALSE)&gt;0,VLOOKUP($B9,GainLossCalcs!$C$18:$P$176,8,FALSE),0)</f>
        <v>18847.315918223365</v>
      </c>
      <c r="J9" s="368">
        <f>IF(VLOOKUP($B9,GainLossCalcs!$C$18:$P$176,9,FALSE)&gt;0,VLOOKUP($B9,GainLossCalcs!$C$18:$P$176,9,FALSE),0)</f>
        <v>6819.8256501590331</v>
      </c>
      <c r="K9" s="368">
        <f>IF(VLOOKUP($B9,GainLossCalcs!$C$18:$P$176,10,FALSE)&gt;0,VLOOKUP($B9,GainLossCalcs!$C$18:$P$176,10,FALSE),0)</f>
        <v>2059.3441984239557</v>
      </c>
      <c r="L9" s="368">
        <f>IF(VLOOKUP($B9,GainLossCalcs!$C$18:$P$176,11,FALSE)&gt;0,VLOOKUP($B9,GainLossCalcs!$C$18:$P$176,11,FALSE),0)</f>
        <v>1945.2580778266883</v>
      </c>
      <c r="M9" s="368">
        <f>IF(VLOOKUP($B9,GainLossCalcs!$C$18:$P$176,12,FALSE)&gt;0,VLOOKUP($B9,GainLossCalcs!$C$18:$P$176,12,FALSE),0)</f>
        <v>546.54579958184695</v>
      </c>
      <c r="N9" s="368">
        <f>IF(VLOOKUP($B9,GainLossCalcs!$C$18:$P$176,13,FALSE)&gt;0,VLOOKUP($B9,GainLossCalcs!$C$18:$P$176,13,FALSE),0)</f>
        <v>970.87761149108724</v>
      </c>
      <c r="O9" s="391">
        <f>IF(VLOOKUP($B9,GainLossCalcs!$C$18:$P$176,14,FALSE)&gt;0,VLOOKUP($B9,GainLossCalcs!$C$18:$P$176,14,FALSE),0)</f>
        <v>667.91867272727268</v>
      </c>
      <c r="P9" s="563">
        <f t="shared" si="0"/>
        <v>40717.754360013103</v>
      </c>
      <c r="Q9" s="241">
        <f t="shared" si="1"/>
        <v>35325.414420841</v>
      </c>
    </row>
    <row r="10" spans="1:19" ht="14.25">
      <c r="B10" s="60" t="s">
        <v>26</v>
      </c>
      <c r="C10" s="124"/>
      <c r="D10" s="368">
        <f>IF(VLOOKUP($B10,GainLossCalcs!$C$18:$P$176,3,FALSE)&gt;0,VLOOKUP($B10,GainLossCalcs!$C$18:$P$176,3,FALSE),0)</f>
        <v>0</v>
      </c>
      <c r="E10" s="368">
        <f>IF(VLOOKUP($B10,GainLossCalcs!$C$18:$P$176,4,FALSE)&gt;0,VLOOKUP($B10,GainLossCalcs!$C$18:$P$176,4,FALSE),0)</f>
        <v>0</v>
      </c>
      <c r="F10" s="368">
        <f>IF(VLOOKUP($B10,GainLossCalcs!$C$18:$P$176,5,FALSE)&gt;0,VLOOKUP($B10,GainLossCalcs!$C$18:$P$176,5,FALSE),0)</f>
        <v>0</v>
      </c>
      <c r="G10" s="368">
        <f>IF(VLOOKUP($B10,GainLossCalcs!$C$18:$P$176,6,FALSE)&gt;0,VLOOKUP($B10,GainLossCalcs!$C$18:$P$176,6,FALSE),0)</f>
        <v>0</v>
      </c>
      <c r="H10" s="368">
        <f>IF(VLOOKUP($B10,GainLossCalcs!$C$18:$P$176,7,FALSE)&gt;0,VLOOKUP($B10,GainLossCalcs!$C$18:$P$176,7,FALSE),0)</f>
        <v>0</v>
      </c>
      <c r="I10" s="368">
        <f>IF(VLOOKUP($B10,GainLossCalcs!$C$18:$P$176,8,FALSE)&gt;0,VLOOKUP($B10,GainLossCalcs!$C$18:$P$176,8,FALSE),0)</f>
        <v>0</v>
      </c>
      <c r="J10" s="368">
        <f>IF(VLOOKUP($B10,GainLossCalcs!$C$18:$P$176,9,FALSE)&gt;0,VLOOKUP($B10,GainLossCalcs!$C$18:$P$176,9,FALSE),0)</f>
        <v>0</v>
      </c>
      <c r="K10" s="368">
        <f>IF(VLOOKUP($B10,GainLossCalcs!$C$18:$P$176,10,FALSE)&gt;0,VLOOKUP($B10,GainLossCalcs!$C$18:$P$176,10,FALSE),0)</f>
        <v>0</v>
      </c>
      <c r="L10" s="368">
        <f>IF(VLOOKUP($B10,GainLossCalcs!$C$18:$P$176,11,FALSE)&gt;0,VLOOKUP($B10,GainLossCalcs!$C$18:$P$176,11,FALSE),0)</f>
        <v>0</v>
      </c>
      <c r="M10" s="368">
        <f>IF(VLOOKUP($B10,GainLossCalcs!$C$18:$P$176,12,FALSE)&gt;0,VLOOKUP($B10,GainLossCalcs!$C$18:$P$176,12,FALSE),0)</f>
        <v>0</v>
      </c>
      <c r="N10" s="368">
        <f>IF(VLOOKUP($B10,GainLossCalcs!$C$18:$P$176,13,FALSE)&gt;0,VLOOKUP($B10,GainLossCalcs!$C$18:$P$176,13,FALSE),0)</f>
        <v>0</v>
      </c>
      <c r="O10" s="391">
        <f>IF(VLOOKUP($B10,GainLossCalcs!$C$18:$P$176,14,FALSE)&gt;0,VLOOKUP($B10,GainLossCalcs!$C$18:$P$176,14,FALSE),0)</f>
        <v>0</v>
      </c>
      <c r="P10" s="563">
        <f t="shared" si="0"/>
        <v>0</v>
      </c>
      <c r="Q10" s="241">
        <f t="shared" si="1"/>
        <v>0</v>
      </c>
    </row>
    <row r="11" spans="1:19" ht="14.25">
      <c r="B11" s="60" t="s">
        <v>365</v>
      </c>
      <c r="C11" s="124"/>
      <c r="D11" s="368">
        <f>IF(VLOOKUP($B11,GainLossCalcs!$C$18:$P$176,3,FALSE)&gt;0,VLOOKUP($B11,GainLossCalcs!$C$18:$P$176,3,FALSE),0)</f>
        <v>3040.2938115702482</v>
      </c>
      <c r="E11" s="368">
        <f>IF(VLOOKUP($B11,GainLossCalcs!$C$18:$P$176,4,FALSE)&gt;0,VLOOKUP($B11,GainLossCalcs!$C$18:$P$176,4,FALSE),0)</f>
        <v>2808.5801008264461</v>
      </c>
      <c r="F11" s="368">
        <f>IF(VLOOKUP($B11,GainLossCalcs!$C$18:$P$176,5,FALSE)&gt;0,VLOOKUP($B11,GainLossCalcs!$C$18:$P$176,5,FALSE),0)</f>
        <v>4589.168383471073</v>
      </c>
      <c r="G11" s="368">
        <f>IF(VLOOKUP($B11,GainLossCalcs!$C$18:$P$176,6,FALSE)&gt;0,VLOOKUP($B11,GainLossCalcs!$C$18:$P$176,6,FALSE),0)</f>
        <v>1294.8084876033063</v>
      </c>
      <c r="H11" s="368">
        <f>IF(VLOOKUP($B11,GainLossCalcs!$C$18:$P$176,7,FALSE)&gt;0,VLOOKUP($B11,GainLossCalcs!$C$18:$P$176,7,FALSE),0)</f>
        <v>3686.7901359067005</v>
      </c>
      <c r="I11" s="368">
        <f>IF(VLOOKUP($B11,GainLossCalcs!$C$18:$P$176,8,FALSE)&gt;0,VLOOKUP($B11,GainLossCalcs!$C$18:$P$176,8,FALSE),0)</f>
        <v>8170.8079127188648</v>
      </c>
      <c r="J11" s="368">
        <f>IF(VLOOKUP($B11,GainLossCalcs!$C$18:$P$176,9,FALSE)&gt;0,VLOOKUP($B11,GainLossCalcs!$C$18:$P$176,9,FALSE),0)</f>
        <v>5177.9042365793821</v>
      </c>
      <c r="K11" s="368">
        <f>IF(VLOOKUP($B11,GainLossCalcs!$C$18:$P$176,10,FALSE)&gt;0,VLOOKUP($B11,GainLossCalcs!$C$18:$P$176,10,FALSE),0)</f>
        <v>1856.4100473805279</v>
      </c>
      <c r="L11" s="368">
        <f>IF(VLOOKUP($B11,GainLossCalcs!$C$18:$P$176,11,FALSE)&gt;0,VLOOKUP($B11,GainLossCalcs!$C$18:$P$176,11,FALSE),0)</f>
        <v>913.88635527283282</v>
      </c>
      <c r="M11" s="368">
        <f>IF(VLOOKUP($B11,GainLossCalcs!$C$18:$P$176,12,FALSE)&gt;0,VLOOKUP($B11,GainLossCalcs!$C$18:$P$176,12,FALSE),0)</f>
        <v>1558.9528729532026</v>
      </c>
      <c r="N11" s="368">
        <f>IF(VLOOKUP($B11,GainLossCalcs!$C$18:$P$176,13,FALSE)&gt;0,VLOOKUP($B11,GainLossCalcs!$C$18:$P$176,13,FALSE),0)</f>
        <v>2974.9682208856725</v>
      </c>
      <c r="O11" s="391">
        <f>IF(VLOOKUP($B11,GainLossCalcs!$C$18:$P$176,14,FALSE)&gt;0,VLOOKUP($B11,GainLossCalcs!$C$18:$P$176,14,FALSE),0)</f>
        <v>2918.9379710433896</v>
      </c>
      <c r="P11" s="563">
        <f t="shared" si="0"/>
        <v>38991.508536211652</v>
      </c>
      <c r="Q11" s="241">
        <f t="shared" si="1"/>
        <v>19805.798687858307</v>
      </c>
    </row>
    <row r="12" spans="1:19" ht="14.25">
      <c r="B12" s="60" t="s">
        <v>29</v>
      </c>
      <c r="C12" s="124"/>
      <c r="D12" s="368">
        <f>IF(VLOOKUP($B12,GainLossCalcs!$C$18:$P$176,3,FALSE)&gt;0,VLOOKUP($B12,GainLossCalcs!$C$18:$P$176,3,FALSE),0)</f>
        <v>0</v>
      </c>
      <c r="E12" s="368">
        <f>IF(VLOOKUP($B12,GainLossCalcs!$C$18:$P$176,4,FALSE)&gt;0,VLOOKUP($B12,GainLossCalcs!$C$18:$P$176,4,FALSE),0)</f>
        <v>0</v>
      </c>
      <c r="F12" s="368">
        <f>IF(VLOOKUP($B12,GainLossCalcs!$C$18:$P$176,5,FALSE)&gt;0,VLOOKUP($B12,GainLossCalcs!$C$18:$P$176,5,FALSE),0)</f>
        <v>247.48760330578443</v>
      </c>
      <c r="G12" s="368">
        <f>IF(VLOOKUP($B12,GainLossCalcs!$C$18:$P$176,6,FALSE)&gt;0,VLOOKUP($B12,GainLossCalcs!$C$18:$P$176,6,FALSE),0)</f>
        <v>0</v>
      </c>
      <c r="H12" s="368">
        <f>IF(VLOOKUP($B12,GainLossCalcs!$C$18:$P$176,7,FALSE)&gt;0,VLOOKUP($B12,GainLossCalcs!$C$18:$P$176,7,FALSE),0)</f>
        <v>0</v>
      </c>
      <c r="I12" s="368">
        <f>IF(VLOOKUP($B12,GainLossCalcs!$C$18:$P$176,8,FALSE)&gt;0,VLOOKUP($B12,GainLossCalcs!$C$18:$P$176,8,FALSE),0)</f>
        <v>0</v>
      </c>
      <c r="J12" s="368">
        <f>IF(VLOOKUP($B12,GainLossCalcs!$C$18:$P$176,9,FALSE)&gt;0,VLOOKUP($B12,GainLossCalcs!$C$18:$P$176,9,FALSE),0)</f>
        <v>111.60377575929988</v>
      </c>
      <c r="K12" s="368">
        <f>IF(VLOOKUP($B12,GainLossCalcs!$C$18:$P$176,10,FALSE)&gt;0,VLOOKUP($B12,GainLossCalcs!$C$18:$P$176,10,FALSE),0)</f>
        <v>0</v>
      </c>
      <c r="L12" s="368">
        <f>IF(VLOOKUP($B12,GainLossCalcs!$C$18:$P$176,11,FALSE)&gt;0,VLOOKUP($B12,GainLossCalcs!$C$18:$P$176,11,FALSE),0)</f>
        <v>0</v>
      </c>
      <c r="M12" s="368">
        <f>IF(VLOOKUP($B12,GainLossCalcs!$C$18:$P$176,12,FALSE)&gt;0,VLOOKUP($B12,GainLossCalcs!$C$18:$P$176,12,FALSE),0)</f>
        <v>0</v>
      </c>
      <c r="N12" s="368">
        <f>IF(VLOOKUP($B12,GainLossCalcs!$C$18:$P$176,13,FALSE)&gt;0,VLOOKUP($B12,GainLossCalcs!$C$18:$P$176,13,FALSE),0)</f>
        <v>0</v>
      </c>
      <c r="O12" s="391">
        <f>IF(VLOOKUP($B12,GainLossCalcs!$C$18:$P$176,14,FALSE)&gt;0,VLOOKUP($B12,GainLossCalcs!$C$18:$P$176,14,FALSE),0)</f>
        <v>0</v>
      </c>
      <c r="P12" s="563">
        <f t="shared" si="0"/>
        <v>359.09137906508431</v>
      </c>
      <c r="Q12" s="241">
        <f t="shared" si="1"/>
        <v>111.60377575929988</v>
      </c>
    </row>
    <row r="13" spans="1:19" ht="14.25">
      <c r="B13" s="60" t="s">
        <v>30</v>
      </c>
      <c r="C13" s="124"/>
      <c r="D13" s="368">
        <f>IF(VLOOKUP($B13,GainLossCalcs!$C$18:$P$176,3,FALSE)&gt;0,VLOOKUP($B13,GainLossCalcs!$C$18:$P$176,3,FALSE),0)</f>
        <v>0</v>
      </c>
      <c r="E13" s="368">
        <f>IF(VLOOKUP($B13,GainLossCalcs!$C$18:$P$176,4,FALSE)&gt;0,VLOOKUP($B13,GainLossCalcs!$C$18:$P$176,4,FALSE),0)</f>
        <v>0</v>
      </c>
      <c r="F13" s="368">
        <f>IF(VLOOKUP($B13,GainLossCalcs!$C$18:$P$176,5,FALSE)&gt;0,VLOOKUP($B13,GainLossCalcs!$C$18:$P$176,5,FALSE),0)</f>
        <v>1050.144628099175</v>
      </c>
      <c r="G13" s="368">
        <f>IF(VLOOKUP($B13,GainLossCalcs!$C$18:$P$176,6,FALSE)&gt;0,VLOOKUP($B13,GainLossCalcs!$C$18:$P$176,6,FALSE),0)</f>
        <v>0</v>
      </c>
      <c r="H13" s="368">
        <f>IF(VLOOKUP($B13,GainLossCalcs!$C$18:$P$176,7,FALSE)&gt;0,VLOOKUP($B13,GainLossCalcs!$C$18:$P$176,7,FALSE),0)</f>
        <v>0</v>
      </c>
      <c r="I13" s="368">
        <f>IF(VLOOKUP($B13,GainLossCalcs!$C$18:$P$176,8,FALSE)&gt;0,VLOOKUP($B13,GainLossCalcs!$C$18:$P$176,8,FALSE),0)</f>
        <v>0</v>
      </c>
      <c r="J13" s="368">
        <f>IF(VLOOKUP($B13,GainLossCalcs!$C$18:$P$176,9,FALSE)&gt;0,VLOOKUP($B13,GainLossCalcs!$C$18:$P$176,9,FALSE),0)</f>
        <v>0</v>
      </c>
      <c r="K13" s="368">
        <f>IF(VLOOKUP($B13,GainLossCalcs!$C$18:$P$176,10,FALSE)&gt;0,VLOOKUP($B13,GainLossCalcs!$C$18:$P$176,10,FALSE),0)</f>
        <v>0</v>
      </c>
      <c r="L13" s="368">
        <f>IF(VLOOKUP($B13,GainLossCalcs!$C$18:$P$176,11,FALSE)&gt;0,VLOOKUP($B13,GainLossCalcs!$C$18:$P$176,11,FALSE),0)</f>
        <v>0</v>
      </c>
      <c r="M13" s="368">
        <f>IF(VLOOKUP($B13,GainLossCalcs!$C$18:$P$176,12,FALSE)&gt;0,VLOOKUP($B13,GainLossCalcs!$C$18:$P$176,12,FALSE),0)</f>
        <v>0</v>
      </c>
      <c r="N13" s="368">
        <f>IF(VLOOKUP($B13,GainLossCalcs!$C$18:$P$176,13,FALSE)&gt;0,VLOOKUP($B13,GainLossCalcs!$C$18:$P$176,13,FALSE),0)</f>
        <v>0</v>
      </c>
      <c r="O13" s="391">
        <f>IF(VLOOKUP($B13,GainLossCalcs!$C$18:$P$176,14,FALSE)&gt;0,VLOOKUP($B13,GainLossCalcs!$C$18:$P$176,14,FALSE),0)</f>
        <v>0</v>
      </c>
      <c r="P13" s="563">
        <f t="shared" si="0"/>
        <v>1050.144628099175</v>
      </c>
      <c r="Q13" s="241">
        <f t="shared" si="1"/>
        <v>0</v>
      </c>
    </row>
    <row r="14" spans="1:19" ht="14.25">
      <c r="B14" s="392" t="s">
        <v>81</v>
      </c>
      <c r="C14" s="393"/>
      <c r="D14" s="394"/>
      <c r="E14" s="394"/>
      <c r="F14" s="394"/>
      <c r="G14" s="394"/>
      <c r="H14" s="394"/>
      <c r="I14" s="394"/>
      <c r="J14" s="394"/>
      <c r="K14" s="394"/>
      <c r="L14" s="394"/>
      <c r="M14" s="394"/>
      <c r="N14" s="394"/>
      <c r="O14" s="395"/>
      <c r="P14" s="563"/>
    </row>
    <row r="15" spans="1:19">
      <c r="P15" s="563">
        <f>SUM(P6:P14)</f>
        <v>96727.795767640535</v>
      </c>
      <c r="Q15" s="563">
        <f>SUM(Q6:Q14)</f>
        <v>60596.111394822132</v>
      </c>
    </row>
    <row r="16" spans="1:19">
      <c r="P16" s="563"/>
    </row>
    <row r="17" spans="2:17" ht="26.25">
      <c r="B17" s="684" t="s">
        <v>244</v>
      </c>
      <c r="C17" s="684"/>
      <c r="D17" s="684"/>
      <c r="E17" s="684"/>
      <c r="F17" s="684"/>
      <c r="P17" s="563"/>
    </row>
    <row r="18" spans="2:17" ht="15">
      <c r="B18" s="81" t="s">
        <v>514</v>
      </c>
      <c r="C18" s="123"/>
      <c r="D18" s="79" t="s">
        <v>0</v>
      </c>
      <c r="E18" s="79" t="s">
        <v>1</v>
      </c>
      <c r="F18" s="79" t="s">
        <v>2</v>
      </c>
      <c r="G18" s="79" t="s">
        <v>3</v>
      </c>
      <c r="H18" s="79" t="s">
        <v>4</v>
      </c>
      <c r="I18" s="79" t="s">
        <v>5</v>
      </c>
      <c r="J18" s="79" t="s">
        <v>6</v>
      </c>
      <c r="K18" s="79" t="s">
        <v>7</v>
      </c>
      <c r="L18" s="79" t="s">
        <v>8</v>
      </c>
      <c r="M18" s="79" t="s">
        <v>9</v>
      </c>
      <c r="N18" s="79" t="s">
        <v>10</v>
      </c>
      <c r="O18" s="80" t="s">
        <v>11</v>
      </c>
      <c r="P18" s="532" t="s">
        <v>568</v>
      </c>
      <c r="Q18" s="532" t="s">
        <v>579</v>
      </c>
    </row>
    <row r="19" spans="2:17" ht="14.25">
      <c r="B19" s="60" t="s">
        <v>338</v>
      </c>
      <c r="C19" s="124"/>
      <c r="D19" s="368">
        <f>IF(VLOOKUP($B19,GainLossCalcs!$C$18:$P$176,3,FALSE)&lt;=0,VLOOKUP($B19,GainLossCalcs!$C$18:$P$176,3,FALSE)*-1,0)</f>
        <v>0</v>
      </c>
      <c r="E19" s="368">
        <f>IF(VLOOKUP($B19,GainLossCalcs!$C$18:$P$176,4,FALSE)&lt;=0,VLOOKUP($B19,GainLossCalcs!$C$18:$P$176,4,FALSE)*-1,0)</f>
        <v>0</v>
      </c>
      <c r="F19" s="368">
        <f>IF(VLOOKUP($B19,GainLossCalcs!$C$18:$P$176,5,FALSE)&lt;=0,VLOOKUP($B19,GainLossCalcs!$C$18:$P$176,5,FALSE)*-1,0)</f>
        <v>0</v>
      </c>
      <c r="G19" s="368">
        <f>IF(VLOOKUP($B19,GainLossCalcs!$C$18:$P$176,6,FALSE)&lt;=0,VLOOKUP($B19,GainLossCalcs!$C$18:$P$176,6,FALSE)*-1,0)</f>
        <v>0</v>
      </c>
      <c r="H19" s="368">
        <f>IF(VLOOKUP($B19,GainLossCalcs!$C$18:$P$176,7,FALSE)&lt;=0,VLOOKUP($B19,GainLossCalcs!$C$18:$P$176,7,FALSE)*-1,0)</f>
        <v>0</v>
      </c>
      <c r="I19" s="368">
        <f>IF(VLOOKUP($B19,GainLossCalcs!$C$18:$P$176,8,FALSE)&lt;=0,VLOOKUP($B19,GainLossCalcs!$C$18:$P$176,8,FALSE)*-1,0)</f>
        <v>0</v>
      </c>
      <c r="J19" s="368">
        <f>IF(VLOOKUP($B19,GainLossCalcs!$C$18:$P$176,9,FALSE)&lt;=0,VLOOKUP($B19,GainLossCalcs!$C$18:$P$176,9,FALSE)*-1,0)</f>
        <v>1022.5222370651918</v>
      </c>
      <c r="K19" s="368">
        <f>IF(VLOOKUP($B19,GainLossCalcs!$C$18:$P$176,10,FALSE)&lt;=0,VLOOKUP($B19,GainLossCalcs!$C$18:$P$176,10,FALSE)*-1,0)</f>
        <v>2017.8958925150434</v>
      </c>
      <c r="L19" s="368">
        <f>IF(VLOOKUP($B19,GainLossCalcs!$C$18:$P$176,11,FALSE)&lt;=0,VLOOKUP($B19,GainLossCalcs!$C$18:$P$176,11,FALSE)*-1,0)</f>
        <v>1716.1169548256282</v>
      </c>
      <c r="M19" s="368">
        <f>IF(VLOOKUP($B19,GainLossCalcs!$C$18:$P$176,12,FALSE)&lt;=0,VLOOKUP($B19,GainLossCalcs!$C$18:$P$176,12,FALSE)*-1,0)</f>
        <v>1956.0529453627539</v>
      </c>
      <c r="N19" s="368">
        <f>IF(VLOOKUP($B19,GainLossCalcs!$C$18:$P$176,13,FALSE)&lt;=0,VLOOKUP($B19,GainLossCalcs!$C$18:$P$176,13,FALSE)*-1,0)</f>
        <v>429.26471107827706</v>
      </c>
      <c r="O19" s="391">
        <f>IF(VLOOKUP($B19,GainLossCalcs!$C$18:$P$176,14,FALSE)&lt;=0,VLOOKUP($B19,GainLossCalcs!$C$18:$P$176,14,FALSE)*-1,0)</f>
        <v>283.65694219352577</v>
      </c>
      <c r="P19" s="563">
        <f>SUM(D19:O19)</f>
        <v>7425.5096830404209</v>
      </c>
      <c r="Q19" s="241">
        <f>SUM(H19:L19)</f>
        <v>4756.5350844058639</v>
      </c>
    </row>
    <row r="20" spans="2:17" ht="14.25">
      <c r="B20" s="60" t="s">
        <v>336</v>
      </c>
      <c r="C20" s="124"/>
      <c r="D20" s="368">
        <f>IF(VLOOKUP($B20,GainLossCalcs!$C$18:$P$176,3,FALSE)&lt;=0,VLOOKUP($B20,GainLossCalcs!$C$18:$P$176,3,FALSE)*-1,0)</f>
        <v>391.2005868708643</v>
      </c>
      <c r="E20" s="368">
        <f>IF(VLOOKUP($B20,GainLossCalcs!$C$18:$P$176,4,FALSE)&lt;=0,VLOOKUP($B20,GainLossCalcs!$C$18:$P$176,4,FALSE)*-1,0)</f>
        <v>555.30533386189472</v>
      </c>
      <c r="F20" s="368">
        <f>IF(VLOOKUP($B20,GainLossCalcs!$C$18:$P$176,5,FALSE)&lt;=0,VLOOKUP($B20,GainLossCalcs!$C$18:$P$176,5,FALSE)*-1,0)</f>
        <v>1349.4989109446069</v>
      </c>
      <c r="G20" s="368">
        <f>IF(VLOOKUP($B20,GainLossCalcs!$C$18:$P$176,6,FALSE)&lt;=0,VLOOKUP($B20,GainLossCalcs!$C$18:$P$176,6,FALSE)*-1,0)</f>
        <v>3160.0947772283325</v>
      </c>
      <c r="H20" s="368">
        <f>IF(VLOOKUP($B20,GainLossCalcs!$C$18:$P$176,7,FALSE)&lt;=0,VLOOKUP($B20,GainLossCalcs!$C$18:$P$176,7,FALSE)*-1,0)</f>
        <v>5732.2377155956128</v>
      </c>
      <c r="I20" s="368">
        <f>IF(VLOOKUP($B20,GainLossCalcs!$C$18:$P$176,8,FALSE)&lt;=0,VLOOKUP($B20,GainLossCalcs!$C$18:$P$176,8,FALSE)*-1,0)</f>
        <v>815.56998530156852</v>
      </c>
      <c r="J20" s="368">
        <f>IF(VLOOKUP($B20,GainLossCalcs!$C$18:$P$176,9,FALSE)&lt;=0,VLOOKUP($B20,GainLossCalcs!$C$18:$P$176,9,FALSE)*-1,0)</f>
        <v>1668.1500278920116</v>
      </c>
      <c r="K20" s="368">
        <f>IF(VLOOKUP($B20,GainLossCalcs!$C$18:$P$176,10,FALSE)&lt;=0,VLOOKUP($B20,GainLossCalcs!$C$18:$P$176,10,FALSE)*-1,0)</f>
        <v>1546.0550096876802</v>
      </c>
      <c r="L20" s="368">
        <f>IF(VLOOKUP($B20,GainLossCalcs!$C$18:$P$176,11,FALSE)&lt;=0,VLOOKUP($B20,GainLossCalcs!$C$18:$P$176,11,FALSE)*-1,0)</f>
        <v>930.26750125290789</v>
      </c>
      <c r="M20" s="368">
        <f>IF(VLOOKUP($B20,GainLossCalcs!$C$18:$P$176,12,FALSE)&lt;=0,VLOOKUP($B20,GainLossCalcs!$C$18:$P$176,12,FALSE)*-1,0)</f>
        <v>1094.8607936116484</v>
      </c>
      <c r="N20" s="368">
        <f>IF(VLOOKUP($B20,GainLossCalcs!$C$18:$P$176,13,FALSE)&lt;=0,VLOOKUP($B20,GainLossCalcs!$C$18:$P$176,13,FALSE)*-1,0)</f>
        <v>815.92720301965949</v>
      </c>
      <c r="O20" s="391">
        <f>IF(VLOOKUP($B20,GainLossCalcs!$C$18:$P$176,14,FALSE)&lt;=0,VLOOKUP($B20,GainLossCalcs!$C$18:$P$176,14,FALSE)*-1,0)</f>
        <v>425.40928796496928</v>
      </c>
      <c r="P20" s="563">
        <f t="shared" ref="P20:P26" si="2">SUM(D20:O20)</f>
        <v>18484.577133231756</v>
      </c>
      <c r="Q20" s="241">
        <f t="shared" ref="Q20:Q26" si="3">SUM(H20:L20)</f>
        <v>10692.28023972978</v>
      </c>
    </row>
    <row r="21" spans="2:17" ht="14.25">
      <c r="B21" s="60" t="s">
        <v>24</v>
      </c>
      <c r="C21" s="124"/>
      <c r="D21" s="368">
        <f>IF(VLOOKUP($B21,GainLossCalcs!$C$18:$P$176,3,FALSE)&lt;=0,VLOOKUP($B21,GainLossCalcs!$C$18:$P$176,3,FALSE)*-1,0)</f>
        <v>0</v>
      </c>
      <c r="E21" s="368">
        <f>IF(VLOOKUP($B21,GainLossCalcs!$C$18:$P$176,4,FALSE)&lt;=0,VLOOKUP($B21,GainLossCalcs!$C$18:$P$176,4,FALSE)*-1,0)</f>
        <v>0</v>
      </c>
      <c r="F21" s="368">
        <f>IF(VLOOKUP($B21,GainLossCalcs!$C$18:$P$176,5,FALSE)&lt;=0,VLOOKUP($B21,GainLossCalcs!$C$18:$P$176,5,FALSE)*-1,0)</f>
        <v>0</v>
      </c>
      <c r="G21" s="368">
        <f>IF(VLOOKUP($B21,GainLossCalcs!$C$18:$P$176,6,FALSE)&lt;=0,VLOOKUP($B21,GainLossCalcs!$C$18:$P$176,6,FALSE)*-1,0)</f>
        <v>1348.4068476977591</v>
      </c>
      <c r="H21" s="368">
        <f>IF(VLOOKUP($B21,GainLossCalcs!$C$18:$P$176,7,FALSE)&lt;=0,VLOOKUP($B21,GainLossCalcs!$C$18:$P$176,7,FALSE)*-1,0)</f>
        <v>5578.1723730814683</v>
      </c>
      <c r="I21" s="368">
        <f>IF(VLOOKUP($B21,GainLossCalcs!$C$18:$P$176,8,FALSE)&lt;=0,VLOOKUP($B21,GainLossCalcs!$C$18:$P$176,8,FALSE)*-1,0)</f>
        <v>6405.4545454545496</v>
      </c>
      <c r="J21" s="368">
        <f>IF(VLOOKUP($B21,GainLossCalcs!$C$18:$P$176,9,FALSE)&lt;=0,VLOOKUP($B21,GainLossCalcs!$C$18:$P$176,9,FALSE)*-1,0)</f>
        <v>1996.5324675324666</v>
      </c>
      <c r="K21" s="368">
        <f>IF(VLOOKUP($B21,GainLossCalcs!$C$18:$P$176,10,FALSE)&lt;=0,VLOOKUP($B21,GainLossCalcs!$C$18:$P$176,10,FALSE)*-1,0)</f>
        <v>183.79504132231295</v>
      </c>
      <c r="L21" s="368">
        <f>IF(VLOOKUP($B21,GainLossCalcs!$C$18:$P$176,11,FALSE)&lt;=0,VLOOKUP($B21,GainLossCalcs!$C$18:$P$176,11,FALSE)*-1,0)</f>
        <v>100.64698937426205</v>
      </c>
      <c r="M21" s="368">
        <f>IF(VLOOKUP($B21,GainLossCalcs!$C$18:$P$176,12,FALSE)&lt;=0,VLOOKUP($B21,GainLossCalcs!$C$18:$P$176,12,FALSE)*-1,0)</f>
        <v>0</v>
      </c>
      <c r="N21" s="368">
        <f>IF(VLOOKUP($B21,GainLossCalcs!$C$18:$P$176,13,FALSE)&lt;=0,VLOOKUP($B21,GainLossCalcs!$C$18:$P$176,13,FALSE)*-1,0)</f>
        <v>0</v>
      </c>
      <c r="O21" s="391">
        <f>IF(VLOOKUP($B21,GainLossCalcs!$C$18:$P$176,14,FALSE)&lt;=0,VLOOKUP($B21,GainLossCalcs!$C$18:$P$176,14,FALSE)*-1,0)</f>
        <v>0</v>
      </c>
      <c r="P21" s="563">
        <f t="shared" si="2"/>
        <v>15613.008264462818</v>
      </c>
      <c r="Q21" s="241">
        <f t="shared" si="3"/>
        <v>14264.601416765059</v>
      </c>
    </row>
    <row r="22" spans="2:17" ht="14.25">
      <c r="B22" s="60" t="s">
        <v>25</v>
      </c>
      <c r="C22" s="124"/>
      <c r="D22" s="368">
        <f>IF(VLOOKUP($B22,GainLossCalcs!$C$18:$P$176,3,FALSE)&lt;=0,VLOOKUP($B22,GainLossCalcs!$C$18:$P$176,3,FALSE)*-1,0)</f>
        <v>0</v>
      </c>
      <c r="E22" s="368">
        <f>IF(VLOOKUP($B22,GainLossCalcs!$C$18:$P$176,4,FALSE)&lt;=0,VLOOKUP($B22,GainLossCalcs!$C$18:$P$176,4,FALSE)*-1,0)</f>
        <v>0</v>
      </c>
      <c r="F22" s="368">
        <f>IF(VLOOKUP($B22,GainLossCalcs!$C$18:$P$176,5,FALSE)&lt;=0,VLOOKUP($B22,GainLossCalcs!$C$18:$P$176,5,FALSE)*-1,0)</f>
        <v>0</v>
      </c>
      <c r="G22" s="368">
        <f>IF(VLOOKUP($B22,GainLossCalcs!$C$18:$P$176,6,FALSE)&lt;=0,VLOOKUP($B22,GainLossCalcs!$C$18:$P$176,6,FALSE)*-1,0)</f>
        <v>0</v>
      </c>
      <c r="H22" s="368">
        <f>IF(VLOOKUP($B22,GainLossCalcs!$C$18:$P$176,7,FALSE)&lt;=0,VLOOKUP($B22,GainLossCalcs!$C$18:$P$176,7,FALSE)*-1,0)</f>
        <v>0</v>
      </c>
      <c r="I22" s="368">
        <f>IF(VLOOKUP($B22,GainLossCalcs!$C$18:$P$176,8,FALSE)&lt;=0,VLOOKUP($B22,GainLossCalcs!$C$18:$P$176,8,FALSE)*-1,0)</f>
        <v>0</v>
      </c>
      <c r="J22" s="368">
        <f>IF(VLOOKUP($B22,GainLossCalcs!$C$18:$P$176,9,FALSE)&lt;=0,VLOOKUP($B22,GainLossCalcs!$C$18:$P$176,9,FALSE)*-1,0)</f>
        <v>0</v>
      </c>
      <c r="K22" s="368">
        <f>IF(VLOOKUP($B22,GainLossCalcs!$C$18:$P$176,10,FALSE)&lt;=0,VLOOKUP($B22,GainLossCalcs!$C$18:$P$176,10,FALSE)*-1,0)</f>
        <v>0</v>
      </c>
      <c r="L22" s="368">
        <f>IF(VLOOKUP($B22,GainLossCalcs!$C$18:$P$176,11,FALSE)&lt;=0,VLOOKUP($B22,GainLossCalcs!$C$18:$P$176,11,FALSE)*-1,0)</f>
        <v>0</v>
      </c>
      <c r="M22" s="368">
        <f>IF(VLOOKUP($B22,GainLossCalcs!$C$18:$P$176,12,FALSE)&lt;=0,VLOOKUP($B22,GainLossCalcs!$C$18:$P$176,12,FALSE)*-1,0)</f>
        <v>0</v>
      </c>
      <c r="N22" s="368">
        <f>IF(VLOOKUP($B22,GainLossCalcs!$C$18:$P$176,13,FALSE)&lt;=0,VLOOKUP($B22,GainLossCalcs!$C$18:$P$176,13,FALSE)*-1,0)</f>
        <v>0</v>
      </c>
      <c r="O22" s="391">
        <f>IF(VLOOKUP($B22,GainLossCalcs!$C$18:$P$176,14,FALSE)&lt;=0,VLOOKUP($B22,GainLossCalcs!$C$18:$P$176,14,FALSE)*-1,0)</f>
        <v>0</v>
      </c>
      <c r="P22" s="563">
        <f t="shared" si="2"/>
        <v>0</v>
      </c>
      <c r="Q22" s="241">
        <f t="shared" si="3"/>
        <v>0</v>
      </c>
    </row>
    <row r="23" spans="2:17" ht="14.25">
      <c r="B23" s="60" t="s">
        <v>26</v>
      </c>
      <c r="C23" s="124"/>
      <c r="D23" s="368">
        <f>IF(VLOOKUP($B23,GainLossCalcs!$C$18:$P$176,3,FALSE)&lt;=0,VLOOKUP($B23,GainLossCalcs!$C$18:$P$176,3,FALSE)*-1,0)</f>
        <v>432.72168925619803</v>
      </c>
      <c r="E23" s="368">
        <f>IF(VLOOKUP($B23,GainLossCalcs!$C$18:$P$176,4,FALSE)&lt;=0,VLOOKUP($B23,GainLossCalcs!$C$18:$P$176,4,FALSE)*-1,0)</f>
        <v>200.66197355371867</v>
      </c>
      <c r="F23" s="368">
        <f>IF(VLOOKUP($B23,GainLossCalcs!$C$18:$P$176,5,FALSE)&lt;=0,VLOOKUP($B23,GainLossCalcs!$C$18:$P$176,5,FALSE)*-1,0)</f>
        <v>97.584327272727023</v>
      </c>
      <c r="G23" s="368">
        <f>IF(VLOOKUP($B23,GainLossCalcs!$C$18:$P$176,6,FALSE)&lt;=0,VLOOKUP($B23,GainLossCalcs!$C$18:$P$176,6,FALSE)*-1,0)</f>
        <v>469.74841735537211</v>
      </c>
      <c r="H23" s="368">
        <f>IF(VLOOKUP($B23,GainLossCalcs!$C$18:$P$176,7,FALSE)&lt;=0,VLOOKUP($B23,GainLossCalcs!$C$18:$P$176,7,FALSE)*-1,0)</f>
        <v>10061.486924194844</v>
      </c>
      <c r="I23" s="368">
        <f>IF(VLOOKUP($B23,GainLossCalcs!$C$18:$P$176,8,FALSE)&lt;=0,VLOOKUP($B23,GainLossCalcs!$C$18:$P$176,8,FALSE)*-1,0)</f>
        <v>19741.715781949457</v>
      </c>
      <c r="J23" s="368">
        <f>IF(VLOOKUP($B23,GainLossCalcs!$C$18:$P$176,9,FALSE)&lt;=0,VLOOKUP($B23,GainLossCalcs!$C$18:$P$176,9,FALSE)*-1,0)</f>
        <v>10032.731785507216</v>
      </c>
      <c r="K23" s="368">
        <f>IF(VLOOKUP($B23,GainLossCalcs!$C$18:$P$176,10,FALSE)&lt;=0,VLOOKUP($B23,GainLossCalcs!$C$18:$P$176,10,FALSE)*-1,0)</f>
        <v>6336.6391415079624</v>
      </c>
      <c r="L23" s="368">
        <f>IF(VLOOKUP($B23,GainLossCalcs!$C$18:$P$176,11,FALSE)&lt;=0,VLOOKUP($B23,GainLossCalcs!$C$18:$P$176,11,FALSE)*-1,0)</f>
        <v>2313.3830618675806</v>
      </c>
      <c r="M23" s="368">
        <f>IF(VLOOKUP($B23,GainLossCalcs!$C$18:$P$176,12,FALSE)&lt;=0,VLOOKUP($B23,GainLossCalcs!$C$18:$P$176,12,FALSE)*-1,0)</f>
        <v>1065.9226678011678</v>
      </c>
      <c r="N23" s="368">
        <f>IF(VLOOKUP($B23,GainLossCalcs!$C$18:$P$176,13,FALSE)&lt;=0,VLOOKUP($B23,GainLossCalcs!$C$18:$P$176,13,FALSE)*-1,0)</f>
        <v>379.86750176086889</v>
      </c>
      <c r="O23" s="391">
        <f>IF(VLOOKUP($B23,GainLossCalcs!$C$18:$P$176,14,FALSE)&lt;=0,VLOOKUP($B23,GainLossCalcs!$C$18:$P$176,14,FALSE)*-1,0)</f>
        <v>358.66505905228968</v>
      </c>
      <c r="P23" s="563">
        <f t="shared" si="2"/>
        <v>51491.128331079402</v>
      </c>
      <c r="Q23" s="241">
        <f t="shared" si="3"/>
        <v>48485.95669502706</v>
      </c>
    </row>
    <row r="24" spans="2:17" ht="14.25">
      <c r="B24" s="60" t="s">
        <v>365</v>
      </c>
      <c r="C24" s="124"/>
      <c r="D24" s="368">
        <f>IF(VLOOKUP($B24,GainLossCalcs!$C$18:$P$176,3,FALSE)&lt;=0,VLOOKUP($B24,GainLossCalcs!$C$18:$P$176,3,FALSE)*-1,0)</f>
        <v>0</v>
      </c>
      <c r="E24" s="368">
        <f>IF(VLOOKUP($B24,GainLossCalcs!$C$18:$P$176,4,FALSE)&lt;=0,VLOOKUP($B24,GainLossCalcs!$C$18:$P$176,4,FALSE)*-1,0)</f>
        <v>0</v>
      </c>
      <c r="F24" s="368">
        <f>IF(VLOOKUP($B24,GainLossCalcs!$C$18:$P$176,5,FALSE)&lt;=0,VLOOKUP($B24,GainLossCalcs!$C$18:$P$176,5,FALSE)*-1,0)</f>
        <v>0</v>
      </c>
      <c r="G24" s="368">
        <f>IF(VLOOKUP($B24,GainLossCalcs!$C$18:$P$176,6,FALSE)&lt;=0,VLOOKUP($B24,GainLossCalcs!$C$18:$P$176,6,FALSE)*-1,0)</f>
        <v>0</v>
      </c>
      <c r="H24" s="368">
        <f>IF(VLOOKUP($B24,GainLossCalcs!$C$18:$P$176,7,FALSE)&lt;=0,VLOOKUP($B24,GainLossCalcs!$C$18:$P$176,7,FALSE)*-1,0)</f>
        <v>0</v>
      </c>
      <c r="I24" s="368">
        <f>IF(VLOOKUP($B24,GainLossCalcs!$C$18:$P$176,8,FALSE)&lt;=0,VLOOKUP($B24,GainLossCalcs!$C$18:$P$176,8,FALSE)*-1,0)</f>
        <v>0</v>
      </c>
      <c r="J24" s="368">
        <f>IF(VLOOKUP($B24,GainLossCalcs!$C$18:$P$176,9,FALSE)&lt;=0,VLOOKUP($B24,GainLossCalcs!$C$18:$P$176,9,FALSE)*-1,0)</f>
        <v>0</v>
      </c>
      <c r="K24" s="368">
        <f>IF(VLOOKUP($B24,GainLossCalcs!$C$18:$P$176,10,FALSE)&lt;=0,VLOOKUP($B24,GainLossCalcs!$C$18:$P$176,10,FALSE)*-1,0)</f>
        <v>0</v>
      </c>
      <c r="L24" s="368">
        <f>IF(VLOOKUP($B24,GainLossCalcs!$C$18:$P$176,11,FALSE)&lt;=0,VLOOKUP($B24,GainLossCalcs!$C$18:$P$176,11,FALSE)*-1,0)</f>
        <v>0</v>
      </c>
      <c r="M24" s="368">
        <f>IF(VLOOKUP($B24,GainLossCalcs!$C$18:$P$176,12,FALSE)&lt;=0,VLOOKUP($B24,GainLossCalcs!$C$18:$P$176,12,FALSE)*-1,0)</f>
        <v>0</v>
      </c>
      <c r="N24" s="368">
        <f>IF(VLOOKUP($B24,GainLossCalcs!$C$18:$P$176,13,FALSE)&lt;=0,VLOOKUP($B24,GainLossCalcs!$C$18:$P$176,13,FALSE)*-1,0)</f>
        <v>0</v>
      </c>
      <c r="O24" s="391">
        <f>IF(VLOOKUP($B24,GainLossCalcs!$C$18:$P$176,14,FALSE)&lt;=0,VLOOKUP($B24,GainLossCalcs!$C$18:$P$176,14,FALSE)*-1,0)</f>
        <v>0</v>
      </c>
      <c r="P24" s="563">
        <f t="shared" si="2"/>
        <v>0</v>
      </c>
      <c r="Q24" s="241">
        <f t="shared" si="3"/>
        <v>0</v>
      </c>
    </row>
    <row r="25" spans="2:17" ht="14.25">
      <c r="B25" s="60" t="s">
        <v>29</v>
      </c>
      <c r="C25" s="124"/>
      <c r="D25" s="368">
        <f>IF(VLOOKUP($B25,GainLossCalcs!$C$18:$P$176,3,FALSE)&lt;=0,VLOOKUP($B25,GainLossCalcs!$C$18:$P$176,3,FALSE)*-1,0)</f>
        <v>28.4380165289258</v>
      </c>
      <c r="E25" s="368">
        <f>IF(VLOOKUP($B25,GainLossCalcs!$C$18:$P$176,4,FALSE)&lt;=0,VLOOKUP($B25,GainLossCalcs!$C$18:$P$176,4,FALSE)*-1,0)</f>
        <v>157.63636363636215</v>
      </c>
      <c r="F25" s="368">
        <f>IF(VLOOKUP($B25,GainLossCalcs!$C$18:$P$176,5,FALSE)&lt;=0,VLOOKUP($B25,GainLossCalcs!$C$18:$P$176,5,FALSE)*-1,0)</f>
        <v>0</v>
      </c>
      <c r="G25" s="368">
        <f>IF(VLOOKUP($B25,GainLossCalcs!$C$18:$P$176,6,FALSE)&lt;=0,VLOOKUP($B25,GainLossCalcs!$C$18:$P$176,6,FALSE)*-1,0)</f>
        <v>711.07438016528795</v>
      </c>
      <c r="H25" s="368">
        <f>IF(VLOOKUP($B25,GainLossCalcs!$C$18:$P$176,7,FALSE)&lt;=0,VLOOKUP($B25,GainLossCalcs!$C$18:$P$176,7,FALSE)*-1,0)</f>
        <v>967.34744665289122</v>
      </c>
      <c r="I25" s="368">
        <f>IF(VLOOKUP($B25,GainLossCalcs!$C$18:$P$176,8,FALSE)&lt;=0,VLOOKUP($B25,GainLossCalcs!$C$18:$P$176,8,FALSE)*-1,0)</f>
        <v>1135.6729040185946</v>
      </c>
      <c r="J25" s="368">
        <f>IF(VLOOKUP($B25,GainLossCalcs!$C$18:$P$176,9,FALSE)&lt;=0,VLOOKUP($B25,GainLossCalcs!$C$18:$P$176,9,FALSE)*-1,0)</f>
        <v>0</v>
      </c>
      <c r="K25" s="368">
        <f>IF(VLOOKUP($B25,GainLossCalcs!$C$18:$P$176,10,FALSE)&lt;=0,VLOOKUP($B25,GainLossCalcs!$C$18:$P$176,10,FALSE)*-1,0)</f>
        <v>782.01838201446162</v>
      </c>
      <c r="L25" s="368">
        <f>IF(VLOOKUP($B25,GainLossCalcs!$C$18:$P$176,11,FALSE)&lt;=0,VLOOKUP($B25,GainLossCalcs!$C$18:$P$176,11,FALSE)*-1,0)</f>
        <v>502.54469407541387</v>
      </c>
      <c r="M25" s="368">
        <f>IF(VLOOKUP($B25,GainLossCalcs!$C$18:$P$176,12,FALSE)&lt;=0,VLOOKUP($B25,GainLossCalcs!$C$18:$P$176,12,FALSE)*-1,0)</f>
        <v>1166.0483255061986</v>
      </c>
      <c r="N25" s="368">
        <f>IF(VLOOKUP($B25,GainLossCalcs!$C$18:$P$176,13,FALSE)&lt;=0,VLOOKUP($B25,GainLossCalcs!$C$18:$P$176,13,FALSE)*-1,0)</f>
        <v>411.64198163222972</v>
      </c>
      <c r="O25" s="391">
        <f>IF(VLOOKUP($B25,GainLossCalcs!$C$18:$P$176,14,FALSE)&lt;=0,VLOOKUP($B25,GainLossCalcs!$C$18:$P$176,14,FALSE)*-1,0)</f>
        <v>88.842606942149473</v>
      </c>
      <c r="P25" s="563">
        <f t="shared" si="2"/>
        <v>5951.2651011725147</v>
      </c>
      <c r="Q25" s="241">
        <f t="shared" si="3"/>
        <v>3387.5834267613618</v>
      </c>
    </row>
    <row r="26" spans="2:17" ht="14.25">
      <c r="B26" s="60" t="s">
        <v>30</v>
      </c>
      <c r="C26" s="124"/>
      <c r="D26" s="368">
        <f>IF(VLOOKUP($B26,GainLossCalcs!$C$18:$P$176,3,FALSE)&lt;=0,VLOOKUP($B26,GainLossCalcs!$C$18:$P$176,3,FALSE)*-1,0)</f>
        <v>1250.0041322314046</v>
      </c>
      <c r="E26" s="368">
        <f>IF(VLOOKUP($B26,GainLossCalcs!$C$18:$P$176,4,FALSE)&lt;=0,VLOOKUP($B26,GainLossCalcs!$C$18:$P$176,4,FALSE)*-1,0)</f>
        <v>623.14049586777037</v>
      </c>
      <c r="F26" s="368">
        <f>IF(VLOOKUP($B26,GainLossCalcs!$C$18:$P$176,5,FALSE)&lt;=0,VLOOKUP($B26,GainLossCalcs!$C$18:$P$176,5,FALSE)*-1,0)</f>
        <v>0</v>
      </c>
      <c r="G26" s="368">
        <f>IF(VLOOKUP($B26,GainLossCalcs!$C$18:$P$176,6,FALSE)&lt;=0,VLOOKUP($B26,GainLossCalcs!$C$18:$P$176,6,FALSE)*-1,0)</f>
        <v>1712.4545454545478</v>
      </c>
      <c r="H26" s="368">
        <f>IF(VLOOKUP($B26,GainLossCalcs!$C$18:$P$176,7,FALSE)&lt;=0,VLOOKUP($B26,GainLossCalcs!$C$18:$P$176,7,FALSE)*-1,0)</f>
        <v>1442.9399254654772</v>
      </c>
      <c r="I26" s="368">
        <f>IF(VLOOKUP($B26,GainLossCalcs!$C$18:$P$176,8,FALSE)&lt;=0,VLOOKUP($B26,GainLossCalcs!$C$18:$P$176,8,FALSE)*-1,0)</f>
        <v>2986.4051584001982</v>
      </c>
      <c r="J26" s="368">
        <f>IF(VLOOKUP($B26,GainLossCalcs!$C$18:$P$176,9,FALSE)&lt;=0,VLOOKUP($B26,GainLossCalcs!$C$18:$P$176,9,FALSE)*-1,0)</f>
        <v>3628.5360542986355</v>
      </c>
      <c r="K26" s="368">
        <f>IF(VLOOKUP($B26,GainLossCalcs!$C$18:$P$176,10,FALSE)&lt;=0,VLOOKUP($B26,GainLossCalcs!$C$18:$P$176,10,FALSE)*-1,0)</f>
        <v>2102.810746697678</v>
      </c>
      <c r="L26" s="368">
        <f>IF(VLOOKUP($B26,GainLossCalcs!$C$18:$P$176,11,FALSE)&lt;=0,VLOOKUP($B26,GainLossCalcs!$C$18:$P$176,11,FALSE)*-1,0)</f>
        <v>1116.7539782464478</v>
      </c>
      <c r="M26" s="368">
        <f>IF(VLOOKUP($B26,GainLossCalcs!$C$18:$P$176,12,FALSE)&lt;=0,VLOOKUP($B26,GainLossCalcs!$C$18:$P$176,12,FALSE)*-1,0)</f>
        <v>5872.7542621086914</v>
      </c>
      <c r="N26" s="368">
        <f>IF(VLOOKUP($B26,GainLossCalcs!$C$18:$P$176,13,FALSE)&lt;=0,VLOOKUP($B26,GainLossCalcs!$C$18:$P$176,13,FALSE)*-1,0)</f>
        <v>4545.0740226260023</v>
      </c>
      <c r="O26" s="391">
        <f>IF(VLOOKUP($B26,GainLossCalcs!$C$18:$P$176,14,FALSE)&lt;=0,VLOOKUP($B26,GainLossCalcs!$C$18:$P$176,14,FALSE)*-1,0)</f>
        <v>3271.0165289256202</v>
      </c>
      <c r="P26" s="563">
        <f t="shared" si="2"/>
        <v>28551.889850322477</v>
      </c>
      <c r="Q26" s="241">
        <f t="shared" si="3"/>
        <v>11277.445863108438</v>
      </c>
    </row>
    <row r="27" spans="2:17" ht="14.25">
      <c r="B27" s="392" t="s">
        <v>81</v>
      </c>
      <c r="C27" s="393"/>
      <c r="D27" s="394"/>
      <c r="E27" s="394"/>
      <c r="F27" s="394"/>
      <c r="G27" s="394"/>
      <c r="H27" s="394"/>
      <c r="I27" s="394"/>
      <c r="J27" s="394"/>
      <c r="K27" s="394"/>
      <c r="L27" s="394"/>
      <c r="M27" s="394"/>
      <c r="N27" s="394"/>
      <c r="O27" s="395"/>
      <c r="P27" s="563"/>
    </row>
    <row r="28" spans="2:17">
      <c r="P28" s="563">
        <f>SUM(P19:P27)</f>
        <v>127517.37836330938</v>
      </c>
      <c r="Q28" s="563">
        <f>SUM(Q19:Q27)</f>
        <v>92864.402725797569</v>
      </c>
    </row>
    <row r="31" spans="2:17">
      <c r="O31" s="562" t="s">
        <v>569</v>
      </c>
      <c r="P31" s="559">
        <f>P15-P28</f>
        <v>-30789.58259566885</v>
      </c>
      <c r="Q31" s="559">
        <f>Q15-Q28</f>
        <v>-32268.291330975437</v>
      </c>
    </row>
  </sheetData>
  <sheetProtection objects="1" scenarios="1"/>
  <mergeCells count="4">
    <mergeCell ref="A2:A7"/>
    <mergeCell ref="B2:F2"/>
    <mergeCell ref="B17:F17"/>
    <mergeCell ref="K1:O1"/>
  </mergeCells>
  <phoneticPr fontId="0" type="noConversion"/>
  <pageMargins left="0.75" right="0.75" top="1" bottom="1" header="0.5" footer="0.5"/>
  <pageSetup scale="65" orientation="landscape" horizontalDpi="4294967292" verticalDpi="0" r:id="rId1"/>
  <headerFooter alignWithMargins="0">
    <oddHeader>&amp;C&amp;"Arial,Bold"&amp;12Bear River Spreadsheet Model
Dry Year Conditions</oddHeader>
    <oddFooter>&amp;L&amp;F &amp;A&amp;RAPPENDIX A (Page &amp;P of &amp;N)</oddFooter>
  </headerFooter>
  <legacyDrawing r:id="rId2"/>
</worksheet>
</file>

<file path=xl/worksheets/sheet20.xml><?xml version="1.0" encoding="utf-8"?>
<worksheet xmlns="http://schemas.openxmlformats.org/spreadsheetml/2006/main" xmlns:r="http://schemas.openxmlformats.org/officeDocument/2006/relationships">
  <sheetPr codeName="Sheet16">
    <pageSetUpPr autoPageBreaks="0"/>
  </sheetPr>
  <dimension ref="A1:S176"/>
  <sheetViews>
    <sheetView showGridLines="0" zoomScale="75" zoomScaleNormal="75" workbookViewId="0">
      <pane ySplit="1" topLeftCell="A2" activePane="bottomLeft" state="frozen"/>
      <selection activeCell="B26" sqref="B26"/>
      <selection pane="bottomLeft" activeCell="U3" sqref="U3"/>
    </sheetView>
  </sheetViews>
  <sheetFormatPr defaultRowHeight="12.75"/>
  <cols>
    <col min="1" max="1" width="4" customWidth="1"/>
    <col min="2" max="2" width="22.42578125" customWidth="1"/>
    <col min="3" max="3" width="14" customWidth="1"/>
    <col min="4" max="4" width="34.28515625" customWidth="1"/>
    <col min="5" max="5" width="11.140625" style="363" customWidth="1"/>
    <col min="6" max="7" width="12.7109375" style="363" bestFit="1" customWidth="1"/>
    <col min="8" max="9" width="13.85546875" style="363" bestFit="1" customWidth="1"/>
    <col min="10" max="11" width="14.140625" style="363" bestFit="1" customWidth="1"/>
    <col min="12" max="13" width="13.85546875" style="363" bestFit="1" customWidth="1"/>
    <col min="14" max="14" width="13.7109375" style="363" bestFit="1" customWidth="1"/>
    <col min="15" max="16" width="11.5703125" style="363" bestFit="1" customWidth="1"/>
    <col min="17" max="17" width="9.5703125" bestFit="1" customWidth="1"/>
    <col min="30" max="30" width="7.28515625" customWidth="1"/>
    <col min="31" max="31" width="3.5703125" customWidth="1"/>
  </cols>
  <sheetData>
    <row r="1" spans="1:19" ht="48" customHeight="1">
      <c r="D1" s="675" t="s">
        <v>192</v>
      </c>
      <c r="E1" s="675"/>
      <c r="F1" s="675"/>
      <c r="G1" s="675"/>
      <c r="H1" s="675"/>
      <c r="K1" s="680" t="s">
        <v>541</v>
      </c>
      <c r="L1" s="680"/>
      <c r="M1" s="680"/>
      <c r="N1" s="680"/>
      <c r="O1" s="680"/>
    </row>
    <row r="2" spans="1:19" ht="15" customHeight="1">
      <c r="A2" s="163"/>
      <c r="C2" s="163"/>
    </row>
    <row r="3" spans="1:19" ht="15" customHeight="1" thickBot="1">
      <c r="B3" s="129"/>
      <c r="C3" s="129"/>
      <c r="D3" s="129"/>
      <c r="E3" s="220"/>
      <c r="F3" s="220"/>
      <c r="G3" s="220"/>
      <c r="H3" s="473"/>
      <c r="I3" s="473"/>
      <c r="J3" s="473"/>
      <c r="K3" s="473"/>
      <c r="L3" s="473"/>
      <c r="M3" s="473"/>
      <c r="N3" s="473"/>
      <c r="O3" s="473"/>
      <c r="P3" s="473"/>
      <c r="Q3" s="421"/>
      <c r="R3" s="421"/>
      <c r="S3" s="420"/>
    </row>
    <row r="4" spans="1:19" ht="15" customHeight="1">
      <c r="B4" s="300" t="s">
        <v>223</v>
      </c>
      <c r="C4" s="685" t="s">
        <v>245</v>
      </c>
      <c r="D4" s="686"/>
      <c r="E4" s="686"/>
      <c r="F4" s="686"/>
      <c r="G4" s="686"/>
      <c r="H4" s="686"/>
      <c r="I4" s="686"/>
      <c r="J4" s="686"/>
      <c r="K4" s="686"/>
      <c r="L4" s="686"/>
      <c r="M4" s="474"/>
      <c r="N4" s="474"/>
      <c r="O4" s="474"/>
      <c r="P4" s="475"/>
      <c r="Q4" s="129"/>
      <c r="R4" s="129"/>
    </row>
    <row r="5" spans="1:19" ht="14.25">
      <c r="B5" s="301"/>
      <c r="C5" s="687"/>
      <c r="D5" s="687"/>
      <c r="E5" s="687"/>
      <c r="F5" s="687"/>
      <c r="G5" s="687"/>
      <c r="H5" s="687"/>
      <c r="I5" s="687"/>
      <c r="J5" s="687"/>
      <c r="K5" s="687"/>
      <c r="L5" s="687"/>
      <c r="M5" s="226"/>
      <c r="N5" s="226"/>
      <c r="O5" s="226"/>
      <c r="P5" s="476"/>
      <c r="Q5" s="129"/>
      <c r="R5" s="129"/>
    </row>
    <row r="6" spans="1:19" ht="14.25">
      <c r="B6" s="301"/>
      <c r="C6" s="687"/>
      <c r="D6" s="687"/>
      <c r="E6" s="687"/>
      <c r="F6" s="687"/>
      <c r="G6" s="687"/>
      <c r="H6" s="687"/>
      <c r="I6" s="687"/>
      <c r="J6" s="687"/>
      <c r="K6" s="687"/>
      <c r="L6" s="687"/>
      <c r="M6" s="226"/>
      <c r="N6" s="226"/>
      <c r="O6" s="226"/>
      <c r="P6" s="476"/>
      <c r="Q6" s="129"/>
      <c r="R6" s="129"/>
    </row>
    <row r="7" spans="1:19" ht="14.25">
      <c r="B7" s="301"/>
      <c r="C7" s="687"/>
      <c r="D7" s="687"/>
      <c r="E7" s="687"/>
      <c r="F7" s="687"/>
      <c r="G7" s="687"/>
      <c r="H7" s="687"/>
      <c r="I7" s="687"/>
      <c r="J7" s="687"/>
      <c r="K7" s="687"/>
      <c r="L7" s="687"/>
      <c r="M7" s="226"/>
      <c r="N7" s="226"/>
      <c r="O7" s="226"/>
      <c r="P7" s="476"/>
      <c r="Q7" s="129"/>
      <c r="R7" s="129"/>
    </row>
    <row r="8" spans="1:19" ht="14.25">
      <c r="B8" s="301"/>
      <c r="C8" s="687"/>
      <c r="D8" s="687"/>
      <c r="E8" s="687"/>
      <c r="F8" s="687"/>
      <c r="G8" s="687"/>
      <c r="H8" s="687"/>
      <c r="I8" s="687"/>
      <c r="J8" s="687"/>
      <c r="K8" s="687"/>
      <c r="L8" s="687"/>
      <c r="M8" s="226"/>
      <c r="N8" s="226"/>
      <c r="O8" s="226"/>
      <c r="P8" s="476"/>
      <c r="Q8" s="129"/>
      <c r="R8" s="129"/>
    </row>
    <row r="9" spans="1:19" ht="14.25">
      <c r="B9" s="301"/>
      <c r="C9" s="687"/>
      <c r="D9" s="687"/>
      <c r="E9" s="687"/>
      <c r="F9" s="687"/>
      <c r="G9" s="687"/>
      <c r="H9" s="687"/>
      <c r="I9" s="687"/>
      <c r="J9" s="687"/>
      <c r="K9" s="687"/>
      <c r="L9" s="687"/>
      <c r="M9" s="226"/>
      <c r="N9" s="226"/>
      <c r="O9" s="226"/>
      <c r="P9" s="476"/>
      <c r="Q9" s="129"/>
      <c r="R9" s="129"/>
    </row>
    <row r="10" spans="1:19" ht="14.25">
      <c r="B10" s="302"/>
      <c r="C10" s="228"/>
      <c r="D10" s="228"/>
      <c r="E10" s="477"/>
      <c r="F10" s="477"/>
      <c r="G10" s="477"/>
      <c r="H10" s="477"/>
      <c r="I10" s="477"/>
      <c r="J10" s="477"/>
      <c r="K10" s="477"/>
      <c r="L10" s="477"/>
      <c r="M10" s="226"/>
      <c r="N10" s="477"/>
      <c r="O10" s="477"/>
      <c r="P10" s="478"/>
      <c r="Q10" s="129"/>
      <c r="R10" s="129"/>
    </row>
    <row r="11" spans="1:19" ht="15">
      <c r="B11" s="303"/>
      <c r="C11" s="223"/>
      <c r="D11" s="223"/>
      <c r="E11" s="479" t="s">
        <v>0</v>
      </c>
      <c r="F11" s="479" t="s">
        <v>1</v>
      </c>
      <c r="G11" s="479" t="s">
        <v>2</v>
      </c>
      <c r="H11" s="479" t="s">
        <v>3</v>
      </c>
      <c r="I11" s="479" t="s">
        <v>4</v>
      </c>
      <c r="J11" s="479" t="s">
        <v>5</v>
      </c>
      <c r="K11" s="479" t="s">
        <v>6</v>
      </c>
      <c r="L11" s="479" t="s">
        <v>7</v>
      </c>
      <c r="M11" s="479" t="s">
        <v>8</v>
      </c>
      <c r="N11" s="479" t="s">
        <v>9</v>
      </c>
      <c r="O11" s="479" t="s">
        <v>10</v>
      </c>
      <c r="P11" s="480" t="s">
        <v>11</v>
      </c>
      <c r="Q11" s="129"/>
      <c r="R11" s="129"/>
    </row>
    <row r="12" spans="1:19" ht="15">
      <c r="B12" s="301"/>
      <c r="C12" s="136"/>
      <c r="D12" s="136"/>
      <c r="E12" s="481"/>
      <c r="F12" s="481"/>
      <c r="G12" s="481"/>
      <c r="H12" s="481"/>
      <c r="I12" s="481"/>
      <c r="J12" s="481"/>
      <c r="K12" s="481"/>
      <c r="L12" s="481"/>
      <c r="M12" s="481"/>
      <c r="N12" s="481"/>
      <c r="O12" s="481"/>
      <c r="P12" s="482"/>
      <c r="Q12" s="129"/>
      <c r="R12" s="129"/>
    </row>
    <row r="13" spans="1:19" ht="14.25">
      <c r="B13" s="301" t="s">
        <v>246</v>
      </c>
      <c r="C13" s="136" t="s">
        <v>76</v>
      </c>
      <c r="D13" s="219" t="str">
        <f>VLOOKUP(C13,NodeList!$D$4:$E$121,2,FALSE)</f>
        <v>USGS 10011500:  Bear River near UT-WY State Line</v>
      </c>
      <c r="E13" s="226">
        <f>VLOOKUP($C13,'USGS Gages'!$B$6:$P$18,4)</f>
        <v>2333.4545454545455</v>
      </c>
      <c r="F13" s="226">
        <f>VLOOKUP($C13,'USGS Gages'!$B$6:$P$18,5)</f>
        <v>1964.6528925619834</v>
      </c>
      <c r="G13" s="226">
        <f>VLOOKUP($C13,'USGS Gages'!$B$6:$P$18,6)</f>
        <v>2438.7520661157023</v>
      </c>
      <c r="H13" s="226">
        <f>VLOOKUP($C13,'USGS Gages'!$B$6:$P$18,7)</f>
        <v>6854.1322314049585</v>
      </c>
      <c r="I13" s="226">
        <f>VLOOKUP($C13,'USGS Gages'!$B$6:$P$18,8)</f>
        <v>29154.34710743801</v>
      </c>
      <c r="J13" s="226">
        <f>VLOOKUP($C13,'USGS Gages'!$B$6:$P$18,9)</f>
        <v>20546.776859504131</v>
      </c>
      <c r="K13" s="226">
        <f>VLOOKUP($C13,'USGS Gages'!$B$6:$P$18,10)</f>
        <v>7386.9669421487597</v>
      </c>
      <c r="L13" s="226">
        <f>VLOOKUP($C13,'USGS Gages'!$B$6:$P$18,11)</f>
        <v>3515.553719008265</v>
      </c>
      <c r="M13" s="226">
        <f>VLOOKUP($C13,'USGS Gages'!$B$6:$P$18,12)</f>
        <v>2795.2066115702478</v>
      </c>
      <c r="N13" s="226">
        <f>VLOOKUP($C13,'USGS Gages'!$B$6:$P$18,13)</f>
        <v>3160.4628099173551</v>
      </c>
      <c r="O13" s="226">
        <f>VLOOKUP($C13,'USGS Gages'!$B$6:$P$18,14)</f>
        <v>2829.4214876033056</v>
      </c>
      <c r="P13" s="476">
        <f>VLOOKUP($C13,'USGS Gages'!$B$6:$P$18,15)</f>
        <v>2511</v>
      </c>
      <c r="Q13" s="129"/>
      <c r="R13" s="129"/>
    </row>
    <row r="14" spans="1:19" ht="14.25">
      <c r="B14" s="301" t="s">
        <v>246</v>
      </c>
      <c r="C14" s="136" t="s">
        <v>77</v>
      </c>
      <c r="D14" s="219" t="str">
        <f>VLOOKUP(C14,NodeList!$D$4:$E$121,2,FALSE)</f>
        <v>USGS 10015700:  Sulphur Cr. ab Res.Bl.La Chapelle Cr.Nr.Evanston,WY</v>
      </c>
      <c r="E14" s="226">
        <f>VLOOKUP($C14,'USGS Gages'!$B$6:$P$18,4)</f>
        <v>180.74770661157024</v>
      </c>
      <c r="F14" s="226">
        <f>VLOOKUP($C14,'USGS Gages'!$B$6:$P$18,5)</f>
        <v>188.46940082644628</v>
      </c>
      <c r="G14" s="226">
        <f>VLOOKUP($C14,'USGS Gages'!$B$6:$P$18,6)</f>
        <v>886.07324380165301</v>
      </c>
      <c r="H14" s="226">
        <f>VLOOKUP($C14,'USGS Gages'!$B$6:$P$18,7)</f>
        <v>1143.808367768595</v>
      </c>
      <c r="I14" s="226">
        <f>VLOOKUP($C14,'USGS Gages'!$B$6:$P$18,8)</f>
        <v>1487.0920454545453</v>
      </c>
      <c r="J14" s="226">
        <f>VLOOKUP($C14,'USGS Gages'!$B$6:$P$18,9)</f>
        <v>639.0879132231405</v>
      </c>
      <c r="K14" s="226">
        <f>VLOOKUP($C14,'USGS Gages'!$B$6:$P$18,10)</f>
        <v>162.32173553719008</v>
      </c>
      <c r="L14" s="226">
        <f>VLOOKUP($C14,'USGS Gages'!$B$6:$P$18,11)</f>
        <v>60.872789256198352</v>
      </c>
      <c r="M14" s="226">
        <f>VLOOKUP($C14,'USGS Gages'!$B$6:$P$18,12)</f>
        <v>49.380061983471073</v>
      </c>
      <c r="N14" s="226">
        <f>VLOOKUP($C14,'USGS Gages'!$B$6:$P$18,13)</f>
        <v>135.11683884297523</v>
      </c>
      <c r="O14" s="226">
        <f>VLOOKUP($C14,'USGS Gages'!$B$6:$P$18,14)</f>
        <v>195.62840909090909</v>
      </c>
      <c r="P14" s="476">
        <f>VLOOKUP($C14,'USGS Gages'!$B$6:$P$18,15)</f>
        <v>178.57035123966944</v>
      </c>
      <c r="Q14" s="129"/>
      <c r="R14" s="129"/>
    </row>
    <row r="15" spans="1:19" ht="14.25">
      <c r="B15" s="301" t="s">
        <v>247</v>
      </c>
      <c r="C15" s="136" t="s">
        <v>119</v>
      </c>
      <c r="D15" s="219" t="str">
        <f>VLOOKUP(C15,NodeList!$D$4:$E$121,2,FALSE)</f>
        <v>USGS 10016900: Bear R. at Evanston, WY</v>
      </c>
      <c r="E15" s="226">
        <f>VLOOKUP($C15,'USGS Gages'!$B$6:$P$18,4)</f>
        <v>2432.2815786064011</v>
      </c>
      <c r="F15" s="226">
        <f>VLOOKUP($C15,'USGS Gages'!$B$6:$P$18,5)</f>
        <v>2776.5945900602419</v>
      </c>
      <c r="G15" s="226">
        <f>VLOOKUP($C15,'USGS Gages'!$B$6:$P$18,6)</f>
        <v>8389.0608944156811</v>
      </c>
      <c r="H15" s="226">
        <f>VLOOKUP($C15,'USGS Gages'!$B$6:$P$18,7)</f>
        <v>12068.607173922546</v>
      </c>
      <c r="I15" s="226">
        <f>VLOOKUP($C15,'USGS Gages'!$B$6:$P$18,8)</f>
        <v>28821.334041560003</v>
      </c>
      <c r="J15" s="226">
        <f>VLOOKUP($C15,'USGS Gages'!$B$6:$P$18,9)</f>
        <v>16304.137807868316</v>
      </c>
      <c r="K15" s="226">
        <f>VLOOKUP($C15,'USGS Gages'!$B$6:$P$18,10)</f>
        <v>4231.8520128381942</v>
      </c>
      <c r="L15" s="226">
        <f>VLOOKUP($C15,'USGS Gages'!$B$6:$P$18,11)</f>
        <v>2031.1662327383376</v>
      </c>
      <c r="M15" s="226">
        <f>VLOOKUP($C15,'USGS Gages'!$B$6:$P$18,12)</f>
        <v>1409.2499312710881</v>
      </c>
      <c r="N15" s="226">
        <f>VLOOKUP($C15,'USGS Gages'!$B$6:$P$18,13)</f>
        <v>1842.5320540929499</v>
      </c>
      <c r="O15" s="226">
        <f>VLOOKUP($C15,'USGS Gages'!$B$6:$P$18,14)</f>
        <v>2645.6056948834093</v>
      </c>
      <c r="P15" s="476">
        <f>VLOOKUP($C15,'USGS Gages'!$B$6:$P$18,15)</f>
        <v>2383.8663127583577</v>
      </c>
      <c r="Q15" s="129"/>
      <c r="R15" s="129"/>
    </row>
    <row r="16" spans="1:19" ht="15">
      <c r="B16" s="301"/>
      <c r="C16" s="136"/>
      <c r="D16" s="225" t="s">
        <v>194</v>
      </c>
      <c r="E16" s="483">
        <f>E15-E14-E13</f>
        <v>-81.920673459714635</v>
      </c>
      <c r="F16" s="483">
        <f t="shared" ref="F16:P16" si="0">F15-F14-F13</f>
        <v>623.47229667181205</v>
      </c>
      <c r="G16" s="483">
        <f t="shared" si="0"/>
        <v>5064.2355844983258</v>
      </c>
      <c r="H16" s="483">
        <f t="shared" si="0"/>
        <v>4070.6665747489924</v>
      </c>
      <c r="I16" s="483">
        <f t="shared" si="0"/>
        <v>-1820.105111332552</v>
      </c>
      <c r="J16" s="483">
        <f t="shared" si="0"/>
        <v>-4881.7269648589554</v>
      </c>
      <c r="K16" s="483">
        <f t="shared" si="0"/>
        <v>-3317.4366648477553</v>
      </c>
      <c r="L16" s="483">
        <f t="shared" si="0"/>
        <v>-1545.2602755261257</v>
      </c>
      <c r="M16" s="483">
        <f t="shared" si="0"/>
        <v>-1435.3367422826307</v>
      </c>
      <c r="N16" s="483">
        <f t="shared" si="0"/>
        <v>-1453.0475946673805</v>
      </c>
      <c r="O16" s="483">
        <f t="shared" si="0"/>
        <v>-379.44420181080523</v>
      </c>
      <c r="P16" s="484">
        <f t="shared" si="0"/>
        <v>-305.70403848131173</v>
      </c>
      <c r="Q16" s="129"/>
      <c r="R16" s="129"/>
    </row>
    <row r="17" spans="2:18" ht="14.25">
      <c r="B17" s="301"/>
      <c r="C17" s="136"/>
      <c r="D17" s="136"/>
      <c r="E17" s="226"/>
      <c r="F17" s="226"/>
      <c r="G17" s="226"/>
      <c r="H17" s="226"/>
      <c r="I17" s="226"/>
      <c r="J17" s="226"/>
      <c r="K17" s="226"/>
      <c r="L17" s="226"/>
      <c r="M17" s="226"/>
      <c r="N17" s="226"/>
      <c r="O17" s="226"/>
      <c r="P17" s="476"/>
      <c r="Q17" s="129"/>
      <c r="R17" s="129"/>
    </row>
    <row r="18" spans="2:18" ht="15">
      <c r="B18" s="301"/>
      <c r="C18" s="225" t="s">
        <v>80</v>
      </c>
      <c r="D18" s="225" t="s">
        <v>195</v>
      </c>
      <c r="E18" s="226"/>
      <c r="F18" s="226"/>
      <c r="G18" s="226"/>
      <c r="H18" s="226"/>
      <c r="I18" s="226"/>
      <c r="J18" s="226"/>
      <c r="K18" s="226"/>
      <c r="L18" s="226"/>
      <c r="M18" s="226"/>
      <c r="N18" s="226"/>
      <c r="O18" s="226"/>
      <c r="P18" s="476"/>
      <c r="Q18" s="129"/>
      <c r="R18" s="129"/>
    </row>
    <row r="19" spans="2:18" ht="14.25">
      <c r="B19" s="301"/>
      <c r="C19" s="332">
        <v>1</v>
      </c>
      <c r="D19" s="136" t="s">
        <v>196</v>
      </c>
      <c r="E19" s="226">
        <f>VLOOKUP($C19,'Diversion Data'!$B$83:$O$94,3)-'Diversion Data'!D21</f>
        <v>0</v>
      </c>
      <c r="F19" s="226">
        <f>VLOOKUP($C19,'Diversion Data'!$B$83:$O$94,4)-'Diversion Data'!E21</f>
        <v>0</v>
      </c>
      <c r="G19" s="226">
        <f>VLOOKUP($C19,'Diversion Data'!$B$83:$O$94,5)-'Diversion Data'!F21</f>
        <v>0</v>
      </c>
      <c r="H19" s="226">
        <f>VLOOKUP($C19,'Diversion Data'!$B$83:$O$94,6)-'Diversion Data'!G21</f>
        <v>0</v>
      </c>
      <c r="I19" s="226">
        <f>VLOOKUP($C19,'Diversion Data'!$B$83:$O$94,7)-'Diversion Data'!H21</f>
        <v>7407.4221802373277</v>
      </c>
      <c r="J19" s="226">
        <f>VLOOKUP($C19,'Diversion Data'!$B$83:$O$94,8)-'Diversion Data'!I21</f>
        <v>11635.280094964082</v>
      </c>
      <c r="K19" s="226">
        <f>VLOOKUP($C19,'Diversion Data'!$B$83:$O$94,9)-'Diversion Data'!J21</f>
        <v>6887.4623332336096</v>
      </c>
      <c r="L19" s="226">
        <f>VLOOKUP($C19,'Diversion Data'!$B$83:$O$94,10)-'Diversion Data'!K21</f>
        <v>2720.9756454717976</v>
      </c>
      <c r="M19" s="226">
        <f>VLOOKUP($C19,'Diversion Data'!$B$83:$O$94,11)-'Diversion Data'!L21</f>
        <v>1830.1307365933885</v>
      </c>
      <c r="N19" s="226">
        <f>VLOOKUP($C19,'Diversion Data'!$B$83:$O$94,12)-'Diversion Data'!M21</f>
        <v>0</v>
      </c>
      <c r="O19" s="226">
        <f>VLOOKUP($C19,'Diversion Data'!$B$83:$O$94,13)-'Diversion Data'!N21</f>
        <v>0</v>
      </c>
      <c r="P19" s="476">
        <f>VLOOKUP($C19,'Diversion Data'!$B$83:$O$94,14)-'Diversion Data'!O21</f>
        <v>0</v>
      </c>
      <c r="Q19" s="129"/>
      <c r="R19" s="129"/>
    </row>
    <row r="20" spans="2:18" ht="14.25">
      <c r="B20" s="301"/>
      <c r="C20" s="332">
        <v>2</v>
      </c>
      <c r="D20" s="136" t="s">
        <v>196</v>
      </c>
      <c r="E20" s="226">
        <f>VLOOKUP($C20,'Diversion Data'!$B$83:$O$94,3)</f>
        <v>0</v>
      </c>
      <c r="F20" s="226">
        <f>VLOOKUP($C20,'Diversion Data'!$B$83:$O$94,4)</f>
        <v>0</v>
      </c>
      <c r="G20" s="226">
        <f>VLOOKUP($C20,'Diversion Data'!$B$83:$O$94,5)</f>
        <v>0</v>
      </c>
      <c r="H20" s="226">
        <f>VLOOKUP($C20,'Diversion Data'!$B$83:$O$94,6)</f>
        <v>0</v>
      </c>
      <c r="I20" s="226">
        <f>VLOOKUP($C20,'Diversion Data'!$B$83:$O$94,7)</f>
        <v>40.125</v>
      </c>
      <c r="J20" s="226">
        <f>VLOOKUP($C20,'Diversion Data'!$B$83:$O$94,8)</f>
        <v>154.125</v>
      </c>
      <c r="K20" s="226">
        <f>VLOOKUP($C20,'Diversion Data'!$B$83:$O$94,9)</f>
        <v>269.375</v>
      </c>
      <c r="L20" s="226">
        <f>VLOOKUP($C20,'Diversion Data'!$B$83:$O$94,10)</f>
        <v>125.875</v>
      </c>
      <c r="M20" s="226">
        <f>VLOOKUP($C20,'Diversion Data'!$B$83:$O$94,11)</f>
        <v>34.125</v>
      </c>
      <c r="N20" s="226">
        <f>VLOOKUP($C20,'Diversion Data'!$B$83:$O$94,12)</f>
        <v>0</v>
      </c>
      <c r="O20" s="226">
        <f>VLOOKUP($C20,'Diversion Data'!$B$83:$O$94,13)</f>
        <v>0</v>
      </c>
      <c r="P20" s="476">
        <f>VLOOKUP($C20,'Diversion Data'!$B$83:$O$94,14)</f>
        <v>0</v>
      </c>
      <c r="Q20" s="129"/>
      <c r="R20" s="129"/>
    </row>
    <row r="21" spans="2:18" ht="14.25">
      <c r="B21" s="301"/>
      <c r="C21" s="332">
        <v>3</v>
      </c>
      <c r="D21" s="136" t="s">
        <v>196</v>
      </c>
      <c r="E21" s="226">
        <f>VLOOKUP($C21,'Diversion Data'!$B$83:$O$94,3)</f>
        <v>0</v>
      </c>
      <c r="F21" s="226">
        <f>VLOOKUP($C21,'Diversion Data'!$B$83:$O$94,4)</f>
        <v>1</v>
      </c>
      <c r="G21" s="226">
        <f>VLOOKUP($C21,'Diversion Data'!$B$83:$O$94,5)</f>
        <v>2</v>
      </c>
      <c r="H21" s="226">
        <f>VLOOKUP($C21,'Diversion Data'!$B$83:$O$94,6)</f>
        <v>3</v>
      </c>
      <c r="I21" s="226">
        <f>VLOOKUP($C21,'Diversion Data'!$B$83:$O$94,7)</f>
        <v>1067.078910784091</v>
      </c>
      <c r="J21" s="226">
        <f>VLOOKUP($C21,'Diversion Data'!$B$83:$O$94,8)</f>
        <v>1581.0318605284092</v>
      </c>
      <c r="K21" s="226">
        <f>VLOOKUP($C21,'Diversion Data'!$B$83:$O$94,9)</f>
        <v>1174.1690274701446</v>
      </c>
      <c r="L21" s="226">
        <f>VLOOKUP($C21,'Diversion Data'!$B$83:$O$94,10)</f>
        <v>741.93717008429746</v>
      </c>
      <c r="M21" s="226">
        <f>VLOOKUP($C21,'Diversion Data'!$B$83:$O$94,11)</f>
        <v>395.86901646962809</v>
      </c>
      <c r="N21" s="226">
        <f>VLOOKUP($C21,'Diversion Data'!$B$83:$O$94,12)</f>
        <v>9</v>
      </c>
      <c r="O21" s="226">
        <f>VLOOKUP($C21,'Diversion Data'!$B$83:$O$94,13)</f>
        <v>10</v>
      </c>
      <c r="P21" s="476">
        <f>VLOOKUP($C21,'Diversion Data'!$B$83:$O$94,14)</f>
        <v>11</v>
      </c>
      <c r="Q21" s="129"/>
      <c r="R21" s="129"/>
    </row>
    <row r="22" spans="2:18" ht="14.25">
      <c r="B22" s="301"/>
      <c r="C22" s="332">
        <v>2</v>
      </c>
      <c r="D22" s="136" t="s">
        <v>532</v>
      </c>
      <c r="E22" s="226">
        <f>+'Reach 2'!D35-'Reach 2'!D38</f>
        <v>135.12270661157024</v>
      </c>
      <c r="F22" s="226">
        <f>+'Reach 2'!E35-'Reach 2'!E38</f>
        <v>168.09440082644628</v>
      </c>
      <c r="G22" s="226">
        <f>+'Reach 2'!F35-'Reach 2'!F38</f>
        <v>251.32324380165301</v>
      </c>
      <c r="H22" s="226">
        <f>+'Reach 2'!G35-'Reach 2'!G38</f>
        <v>-641.56663223140504</v>
      </c>
      <c r="I22" s="226">
        <f>+'Reach 2'!H35-'Reach 2'!H38</f>
        <v>-411.58958610446052</v>
      </c>
      <c r="J22" s="226">
        <f>+'Reach 2'!I35-'Reach 2'!I38</f>
        <v>598.6228736783969</v>
      </c>
      <c r="K22" s="226">
        <f>+'Reach 2'!J35-'Reach 2'!J38</f>
        <v>-56.019491082639661</v>
      </c>
      <c r="L22" s="226">
        <f>+'Reach 2'!K35-'Reach 2'!K38</f>
        <v>-189.61584395867067</v>
      </c>
      <c r="M22" s="226">
        <f>+'Reach 2'!L35-'Reach 2'!L38</f>
        <v>-235.2231385881696</v>
      </c>
      <c r="N22" s="226">
        <f>+'Reach 2'!M35-'Reach 2'!M38</f>
        <v>218.3272557021985</v>
      </c>
      <c r="O22" s="226">
        <f>+'Reach 2'!N35-'Reach 2'!N38</f>
        <v>151.4014826275862</v>
      </c>
      <c r="P22" s="478">
        <f>+'Reach 2'!O35-'Reach 2'!O38</f>
        <v>60.254954583983078</v>
      </c>
      <c r="Q22" s="129"/>
      <c r="R22" s="129"/>
    </row>
    <row r="23" spans="2:18" ht="15">
      <c r="B23" s="301"/>
      <c r="C23" s="332"/>
      <c r="D23" s="225" t="s">
        <v>197</v>
      </c>
      <c r="E23" s="483">
        <f t="shared" ref="E23:P23" si="1">SUM(E19:E22)</f>
        <v>135.12270661157024</v>
      </c>
      <c r="F23" s="483">
        <f t="shared" si="1"/>
        <v>169.09440082644628</v>
      </c>
      <c r="G23" s="483">
        <f t="shared" si="1"/>
        <v>253.32324380165301</v>
      </c>
      <c r="H23" s="483">
        <f t="shared" si="1"/>
        <v>-638.56663223140504</v>
      </c>
      <c r="I23" s="483">
        <f t="shared" si="1"/>
        <v>8103.0365049169577</v>
      </c>
      <c r="J23" s="483">
        <f t="shared" si="1"/>
        <v>13969.059829170888</v>
      </c>
      <c r="K23" s="483">
        <f t="shared" si="1"/>
        <v>8274.9868696211142</v>
      </c>
      <c r="L23" s="483">
        <f t="shared" si="1"/>
        <v>3399.1719715974245</v>
      </c>
      <c r="M23" s="483">
        <f t="shared" si="1"/>
        <v>2024.9016144748471</v>
      </c>
      <c r="N23" s="483">
        <f t="shared" si="1"/>
        <v>227.3272557021985</v>
      </c>
      <c r="O23" s="483">
        <f t="shared" si="1"/>
        <v>161.4014826275862</v>
      </c>
      <c r="P23" s="484">
        <f t="shared" si="1"/>
        <v>71.254954583983078</v>
      </c>
      <c r="Q23" s="129"/>
      <c r="R23" s="129"/>
    </row>
    <row r="24" spans="2:18" ht="14.25">
      <c r="B24" s="301"/>
      <c r="C24" s="332"/>
      <c r="D24" s="136"/>
      <c r="E24" s="226"/>
      <c r="F24" s="226"/>
      <c r="G24" s="226"/>
      <c r="H24" s="226"/>
      <c r="I24" s="226"/>
      <c r="J24" s="226"/>
      <c r="K24" s="226"/>
      <c r="L24" s="226"/>
      <c r="M24" s="226"/>
      <c r="N24" s="226"/>
      <c r="O24" s="226"/>
      <c r="P24" s="476"/>
      <c r="Q24" s="129"/>
      <c r="R24" s="129"/>
    </row>
    <row r="25" spans="2:18" ht="15">
      <c r="B25" s="301"/>
      <c r="C25" s="332"/>
      <c r="D25" s="225" t="s">
        <v>202</v>
      </c>
      <c r="E25" s="226"/>
      <c r="F25" s="226"/>
      <c r="G25" s="226"/>
      <c r="H25" s="226"/>
      <c r="I25" s="226"/>
      <c r="J25" s="226"/>
      <c r="K25" s="226"/>
      <c r="L25" s="226"/>
      <c r="M25" s="226"/>
      <c r="N25" s="226"/>
      <c r="O25" s="226"/>
      <c r="P25" s="476"/>
      <c r="Q25" s="129"/>
      <c r="R25" s="129"/>
    </row>
    <row r="26" spans="2:18" ht="14.25">
      <c r="B26" s="301"/>
      <c r="C26" s="332">
        <v>1</v>
      </c>
      <c r="D26" s="136" t="s">
        <v>203</v>
      </c>
      <c r="E26" s="226">
        <f>VLOOKUP($C26,'Irrigation Returns'!$B$719:$P$730,4)</f>
        <v>0</v>
      </c>
      <c r="F26" s="226">
        <f>VLOOKUP($C26,'Irrigation Returns'!$B$719:$P$730,5)</f>
        <v>0</v>
      </c>
      <c r="G26" s="226">
        <f>VLOOKUP($C26,'Irrigation Returns'!$B$719:$P$730,6)</f>
        <v>0</v>
      </c>
      <c r="H26" s="226">
        <f>VLOOKUP($C26,'Irrigation Returns'!$B$719:$P$730,7)</f>
        <v>0</v>
      </c>
      <c r="I26" s="226">
        <f>VLOOKUP($C26,'Irrigation Returns'!$B$719:$P$730,8)</f>
        <v>1534.7235658618999</v>
      </c>
      <c r="J26" s="226">
        <f>VLOOKUP($C26,'Irrigation Returns'!$B$719:$P$730,9)</f>
        <v>2703.4431462730395</v>
      </c>
      <c r="K26" s="226">
        <f>VLOOKUP($C26,'Irrigation Returns'!$B$719:$P$730,10)</f>
        <v>2229.3625005598524</v>
      </c>
      <c r="L26" s="226">
        <f>VLOOKUP($C26,'Irrigation Returns'!$B$719:$P$730,11)</f>
        <v>1255.1477659069301</v>
      </c>
      <c r="M26" s="226">
        <f>VLOOKUP($C26,'Irrigation Returns'!$B$719:$P$730,12)</f>
        <v>673.37054141572776</v>
      </c>
      <c r="N26" s="226">
        <f>VLOOKUP($C26,'Irrigation Returns'!$B$719:$P$730,13)</f>
        <v>187.20866947934033</v>
      </c>
      <c r="O26" s="226">
        <f>VLOOKUP($C26,'Irrigation Returns'!$B$719:$P$730,14)</f>
        <v>50.829117726824073</v>
      </c>
      <c r="P26" s="476">
        <f>VLOOKUP($C26,'Irrigation Returns'!$B$719:$P$730,15)</f>
        <v>4.2434878980216926</v>
      </c>
      <c r="Q26" s="129"/>
      <c r="R26" s="129"/>
    </row>
    <row r="27" spans="2:18" ht="14.25">
      <c r="B27" s="301"/>
      <c r="C27" s="332">
        <v>2</v>
      </c>
      <c r="D27" s="136" t="s">
        <v>203</v>
      </c>
      <c r="E27" s="226">
        <f>VLOOKUP($C27,'Irrigation Returns'!$B$719:$P$730,4)</f>
        <v>0</v>
      </c>
      <c r="F27" s="226">
        <f>VLOOKUP($C27,'Irrigation Returns'!$B$719:$P$730,5)</f>
        <v>0</v>
      </c>
      <c r="G27" s="226">
        <f>VLOOKUP($C27,'Irrigation Returns'!$B$719:$P$730,6)</f>
        <v>0</v>
      </c>
      <c r="H27" s="226">
        <f>VLOOKUP($C27,'Irrigation Returns'!$B$719:$P$730,7)</f>
        <v>0</v>
      </c>
      <c r="I27" s="226">
        <f>VLOOKUP($C27,'Irrigation Returns'!$B$719:$P$730,8)</f>
        <v>1235.8698538501149</v>
      </c>
      <c r="J27" s="226">
        <f>VLOOKUP($C27,'Irrigation Returns'!$B$719:$P$730,9)</f>
        <v>2645.0190541441571</v>
      </c>
      <c r="K27" s="226">
        <f>VLOOKUP($C27,'Irrigation Returns'!$B$719:$P$730,10)</f>
        <v>2392.4334871670162</v>
      </c>
      <c r="L27" s="226">
        <f>VLOOKUP($C27,'Irrigation Returns'!$B$719:$P$730,11)</f>
        <v>1651.946356568455</v>
      </c>
      <c r="M27" s="226">
        <f>VLOOKUP($C27,'Irrigation Returns'!$B$719:$P$730,12)</f>
        <v>1076.4794167193909</v>
      </c>
      <c r="N27" s="226">
        <f>VLOOKUP($C27,'Irrigation Returns'!$B$719:$P$730,13)</f>
        <v>394.05210193227578</v>
      </c>
      <c r="O27" s="226">
        <f>VLOOKUP($C27,'Irrigation Returns'!$B$719:$P$730,14)</f>
        <v>123.10122994384011</v>
      </c>
      <c r="P27" s="476">
        <f>VLOOKUP($C27,'Irrigation Returns'!$B$719:$P$730,15)</f>
        <v>44.964370398175419</v>
      </c>
      <c r="Q27" s="129"/>
      <c r="R27" s="129"/>
    </row>
    <row r="28" spans="2:18" ht="14.25">
      <c r="B28" s="301"/>
      <c r="C28" s="332">
        <v>3</v>
      </c>
      <c r="D28" s="136" t="s">
        <v>203</v>
      </c>
      <c r="E28" s="226">
        <f>VLOOKUP($C28,'Irrigation Returns'!$B$719:$P$730,4)</f>
        <v>0</v>
      </c>
      <c r="F28" s="226">
        <f>VLOOKUP($C28,'Irrigation Returns'!$B$719:$P$730,5)</f>
        <v>0</v>
      </c>
      <c r="G28" s="226">
        <f>VLOOKUP($C28,'Irrigation Returns'!$B$719:$P$730,6)</f>
        <v>0</v>
      </c>
      <c r="H28" s="226">
        <f>VLOOKUP($C28,'Irrigation Returns'!$B$719:$P$730,7)</f>
        <v>0</v>
      </c>
      <c r="I28" s="226">
        <f>VLOOKUP($C28,'Irrigation Returns'!$B$719:$P$730,8)</f>
        <v>575.7456228805579</v>
      </c>
      <c r="J28" s="226">
        <f>VLOOKUP($C28,'Irrigation Returns'!$B$719:$P$730,9)</f>
        <v>1310.1685045230397</v>
      </c>
      <c r="K28" s="226">
        <f>VLOOKUP($C28,'Irrigation Returns'!$B$719:$P$730,10)</f>
        <v>1346.2764541116824</v>
      </c>
      <c r="L28" s="226">
        <f>VLOOKUP($C28,'Irrigation Returns'!$B$719:$P$730,11)</f>
        <v>952.71346611095726</v>
      </c>
      <c r="M28" s="226">
        <f>VLOOKUP($C28,'Irrigation Returns'!$B$719:$P$730,12)</f>
        <v>543.83186888272621</v>
      </c>
      <c r="N28" s="226">
        <f>VLOOKUP($C28,'Irrigation Returns'!$B$719:$P$730,13)</f>
        <v>149.07183498595577</v>
      </c>
      <c r="O28" s="226">
        <f>VLOOKUP($C28,'Irrigation Returns'!$B$719:$P$730,14)</f>
        <v>37.291644224393806</v>
      </c>
      <c r="P28" s="476">
        <f>VLOOKUP($C28,'Irrigation Returns'!$B$719:$P$730,15)</f>
        <v>0</v>
      </c>
      <c r="Q28" s="129"/>
      <c r="R28" s="129"/>
    </row>
    <row r="29" spans="2:18" ht="14.25">
      <c r="B29" s="301"/>
      <c r="C29" s="332">
        <v>2</v>
      </c>
      <c r="D29" s="136" t="s">
        <v>531</v>
      </c>
      <c r="E29" s="226">
        <v>0</v>
      </c>
      <c r="F29" s="226">
        <v>0</v>
      </c>
      <c r="G29" s="226">
        <v>0</v>
      </c>
      <c r="H29" s="226">
        <v>0</v>
      </c>
      <c r="I29" s="226">
        <v>0</v>
      </c>
      <c r="J29" s="226">
        <v>12</v>
      </c>
      <c r="K29" s="226">
        <v>12</v>
      </c>
      <c r="L29" s="226">
        <v>12</v>
      </c>
      <c r="M29" s="226">
        <v>12</v>
      </c>
      <c r="N29" s="226">
        <v>0</v>
      </c>
      <c r="O29" s="226">
        <v>0</v>
      </c>
      <c r="P29" s="476">
        <v>0</v>
      </c>
      <c r="Q29" s="129"/>
      <c r="R29" s="129"/>
    </row>
    <row r="30" spans="2:18" ht="15">
      <c r="B30" s="301"/>
      <c r="C30" s="332"/>
      <c r="D30" s="225" t="s">
        <v>204</v>
      </c>
      <c r="E30" s="483">
        <f>SUM(E26:E29)</f>
        <v>0</v>
      </c>
      <c r="F30" s="483">
        <f t="shared" ref="F30:P30" si="2">SUM(F26:F29)</f>
        <v>0</v>
      </c>
      <c r="G30" s="483">
        <f t="shared" si="2"/>
        <v>0</v>
      </c>
      <c r="H30" s="483">
        <f t="shared" si="2"/>
        <v>0</v>
      </c>
      <c r="I30" s="483">
        <f t="shared" si="2"/>
        <v>3346.3390425925727</v>
      </c>
      <c r="J30" s="483">
        <f t="shared" si="2"/>
        <v>6670.6307049402358</v>
      </c>
      <c r="K30" s="483">
        <f t="shared" si="2"/>
        <v>5980.0724418385507</v>
      </c>
      <c r="L30" s="483">
        <f t="shared" si="2"/>
        <v>3871.8075885863423</v>
      </c>
      <c r="M30" s="483">
        <f t="shared" si="2"/>
        <v>2305.6818270178446</v>
      </c>
      <c r="N30" s="483">
        <f t="shared" si="2"/>
        <v>730.33260639757191</v>
      </c>
      <c r="O30" s="483">
        <f t="shared" si="2"/>
        <v>211.22199189505801</v>
      </c>
      <c r="P30" s="485">
        <f t="shared" si="2"/>
        <v>49.207858296197109</v>
      </c>
      <c r="Q30" s="129"/>
      <c r="R30" s="129"/>
    </row>
    <row r="31" spans="2:18" ht="15">
      <c r="B31" s="301"/>
      <c r="C31" s="226"/>
      <c r="D31" s="136"/>
      <c r="E31" s="479" t="s">
        <v>0</v>
      </c>
      <c r="F31" s="479" t="s">
        <v>1</v>
      </c>
      <c r="G31" s="479" t="s">
        <v>2</v>
      </c>
      <c r="H31" s="479" t="s">
        <v>3</v>
      </c>
      <c r="I31" s="479" t="s">
        <v>4</v>
      </c>
      <c r="J31" s="479" t="s">
        <v>5</v>
      </c>
      <c r="K31" s="479" t="s">
        <v>6</v>
      </c>
      <c r="L31" s="479" t="s">
        <v>7</v>
      </c>
      <c r="M31" s="479" t="s">
        <v>8</v>
      </c>
      <c r="N31" s="479" t="s">
        <v>9</v>
      </c>
      <c r="O31" s="479" t="s">
        <v>10</v>
      </c>
      <c r="P31" s="480" t="s">
        <v>11</v>
      </c>
      <c r="Q31" s="129"/>
      <c r="R31" s="129"/>
    </row>
    <row r="32" spans="2:18" ht="15" thickBot="1">
      <c r="B32" s="306" t="s">
        <v>515</v>
      </c>
      <c r="C32" s="333" t="s">
        <v>338</v>
      </c>
      <c r="D32" s="131" t="s">
        <v>205</v>
      </c>
      <c r="E32" s="486">
        <f t="shared" ref="E32:P32" si="3">+E16+E23-E30</f>
        <v>53.202033151855602</v>
      </c>
      <c r="F32" s="486">
        <f t="shared" si="3"/>
        <v>792.56669749825835</v>
      </c>
      <c r="G32" s="486">
        <f t="shared" si="3"/>
        <v>5317.5588282999788</v>
      </c>
      <c r="H32" s="486">
        <f t="shared" si="3"/>
        <v>3432.0999425175874</v>
      </c>
      <c r="I32" s="486">
        <f t="shared" si="3"/>
        <v>2936.592350991833</v>
      </c>
      <c r="J32" s="486">
        <f t="shared" si="3"/>
        <v>2416.7021593716972</v>
      </c>
      <c r="K32" s="486">
        <f t="shared" si="3"/>
        <v>-1022.5222370651918</v>
      </c>
      <c r="L32" s="486">
        <f t="shared" si="3"/>
        <v>-2017.8958925150434</v>
      </c>
      <c r="M32" s="486">
        <f t="shared" si="3"/>
        <v>-1716.1169548256282</v>
      </c>
      <c r="N32" s="486">
        <f t="shared" si="3"/>
        <v>-1956.0529453627539</v>
      </c>
      <c r="O32" s="486">
        <f t="shared" si="3"/>
        <v>-429.26471107827706</v>
      </c>
      <c r="P32" s="487">
        <f t="shared" si="3"/>
        <v>-283.65694219352577</v>
      </c>
      <c r="Q32" s="129"/>
      <c r="R32" s="129"/>
    </row>
    <row r="33" spans="2:18" ht="14.25">
      <c r="B33" s="129"/>
      <c r="C33" s="220"/>
      <c r="D33" s="129"/>
      <c r="E33" s="220"/>
      <c r="F33" s="220"/>
      <c r="G33" s="220"/>
      <c r="H33" s="220"/>
      <c r="I33" s="220"/>
      <c r="J33" s="220"/>
      <c r="K33" s="220"/>
      <c r="L33" s="220"/>
      <c r="M33" s="220"/>
      <c r="N33" s="220"/>
      <c r="O33" s="220"/>
      <c r="P33" s="220"/>
      <c r="Q33" s="129"/>
      <c r="R33" s="129"/>
    </row>
    <row r="34" spans="2:18" ht="14.25">
      <c r="B34" s="129"/>
      <c r="D34" s="129"/>
      <c r="Q34" s="129"/>
      <c r="R34" s="129"/>
    </row>
    <row r="35" spans="2:18" ht="15" thickBot="1">
      <c r="B35" s="129"/>
      <c r="D35" s="129"/>
      <c r="E35" s="220"/>
      <c r="F35" s="220"/>
      <c r="G35" s="220"/>
      <c r="H35" s="220"/>
      <c r="I35" s="220"/>
      <c r="J35" s="220"/>
      <c r="K35" s="220"/>
      <c r="L35" s="220"/>
      <c r="M35" s="220"/>
      <c r="N35" s="220"/>
      <c r="O35" s="220"/>
      <c r="P35" s="220"/>
      <c r="Q35" s="129"/>
      <c r="R35" s="129"/>
    </row>
    <row r="36" spans="2:18" ht="15">
      <c r="B36" s="307"/>
      <c r="C36" s="308"/>
      <c r="D36" s="308"/>
      <c r="E36" s="488" t="s">
        <v>0</v>
      </c>
      <c r="F36" s="488" t="s">
        <v>1</v>
      </c>
      <c r="G36" s="488" t="s">
        <v>2</v>
      </c>
      <c r="H36" s="488" t="s">
        <v>3</v>
      </c>
      <c r="I36" s="488" t="s">
        <v>4</v>
      </c>
      <c r="J36" s="488" t="s">
        <v>5</v>
      </c>
      <c r="K36" s="488" t="s">
        <v>6</v>
      </c>
      <c r="L36" s="488" t="s">
        <v>7</v>
      </c>
      <c r="M36" s="488" t="s">
        <v>8</v>
      </c>
      <c r="N36" s="488" t="s">
        <v>9</v>
      </c>
      <c r="O36" s="488" t="s">
        <v>10</v>
      </c>
      <c r="P36" s="489" t="s">
        <v>11</v>
      </c>
      <c r="Q36" s="129"/>
      <c r="R36" s="129"/>
    </row>
    <row r="37" spans="2:18" ht="15">
      <c r="B37" s="301"/>
      <c r="C37" s="136"/>
      <c r="D37" s="136"/>
      <c r="E37" s="481"/>
      <c r="F37" s="481"/>
      <c r="G37" s="481"/>
      <c r="H37" s="481"/>
      <c r="I37" s="481"/>
      <c r="J37" s="481"/>
      <c r="K37" s="481"/>
      <c r="L37" s="481"/>
      <c r="M37" s="481"/>
      <c r="N37" s="481"/>
      <c r="O37" s="481"/>
      <c r="P37" s="482"/>
      <c r="Q37" s="129"/>
      <c r="R37" s="129"/>
    </row>
    <row r="38" spans="2:18" ht="14.25">
      <c r="B38" s="301" t="s">
        <v>246</v>
      </c>
      <c r="C38" s="136" t="s">
        <v>119</v>
      </c>
      <c r="D38" s="219" t="str">
        <f>VLOOKUP(C38,NodeList!$D$4:$E$121,2,FALSE)</f>
        <v>USGS 10016900: Bear R. at Evanston, WY</v>
      </c>
      <c r="E38" s="226">
        <f>VLOOKUP($C38,'USGS Gages'!$B$6:$P$18,4)</f>
        <v>2432.2815786064011</v>
      </c>
      <c r="F38" s="226">
        <f>VLOOKUP($C38,'USGS Gages'!$B$6:$P$18,5)</f>
        <v>2776.5945900602419</v>
      </c>
      <c r="G38" s="226">
        <f>VLOOKUP($C38,'USGS Gages'!$B$6:$P$18,6)</f>
        <v>8389.0608944156811</v>
      </c>
      <c r="H38" s="226">
        <f>VLOOKUP($C38,'USGS Gages'!$B$6:$P$18,7)</f>
        <v>12068.607173922546</v>
      </c>
      <c r="I38" s="226">
        <f>VLOOKUP($C38,'USGS Gages'!$B$6:$P$18,8)</f>
        <v>28821.334041560003</v>
      </c>
      <c r="J38" s="226">
        <f>VLOOKUP($C38,'USGS Gages'!$B$6:$P$18,9)</f>
        <v>16304.137807868316</v>
      </c>
      <c r="K38" s="226">
        <f>VLOOKUP($C38,'USGS Gages'!$B$6:$P$18,10)</f>
        <v>4231.8520128381942</v>
      </c>
      <c r="L38" s="226">
        <f>VLOOKUP($C38,'USGS Gages'!$B$6:$P$18,11)</f>
        <v>2031.1662327383376</v>
      </c>
      <c r="M38" s="226">
        <f>VLOOKUP($C38,'USGS Gages'!$B$6:$P$18,12)</f>
        <v>1409.2499312710881</v>
      </c>
      <c r="N38" s="226">
        <f>VLOOKUP($C38,'USGS Gages'!$B$6:$P$18,13)</f>
        <v>1842.5320540929499</v>
      </c>
      <c r="O38" s="226">
        <f>VLOOKUP($C38,'USGS Gages'!$B$6:$P$18,14)</f>
        <v>2645.6056948834093</v>
      </c>
      <c r="P38" s="476">
        <f>VLOOKUP($C38,'USGS Gages'!$B$6:$P$18,15)</f>
        <v>2383.8663127583577</v>
      </c>
      <c r="Q38" s="129"/>
      <c r="R38" s="129"/>
    </row>
    <row r="39" spans="2:18" ht="14.25">
      <c r="B39" s="301" t="s">
        <v>247</v>
      </c>
      <c r="C39" s="136" t="s">
        <v>120</v>
      </c>
      <c r="D39" s="219" t="str">
        <f>VLOOKUP(C39,NodeList!$D$4:$E$121,2,FALSE)</f>
        <v>USGS 10020100:  Bear R. ab res. nr Woodruff, UT</v>
      </c>
      <c r="E39" s="226">
        <f>VLOOKUP($C39,'USGS Gages'!$B$6:$P$18,4)</f>
        <v>2041.0809917355368</v>
      </c>
      <c r="F39" s="226">
        <f>VLOOKUP($C39,'USGS Gages'!$B$6:$P$18,5)</f>
        <v>2221.2892561983472</v>
      </c>
      <c r="G39" s="226">
        <f>VLOOKUP($C39,'USGS Gages'!$B$6:$P$18,6)</f>
        <v>7039.5619834710742</v>
      </c>
      <c r="H39" s="226">
        <f>VLOOKUP($C39,'USGS Gages'!$B$6:$P$18,7)</f>
        <v>8908.5123966942137</v>
      </c>
      <c r="I39" s="226">
        <f>VLOOKUP($C39,'USGS Gages'!$B$6:$P$18,8)</f>
        <v>19755.198347107438</v>
      </c>
      <c r="J39" s="226">
        <f>VLOOKUP($C39,'USGS Gages'!$B$6:$P$18,9)</f>
        <v>12860.330578512398</v>
      </c>
      <c r="K39" s="226">
        <f>VLOOKUP($C39,'USGS Gages'!$B$6:$P$18,10)</f>
        <v>2092.4231404958678</v>
      </c>
      <c r="L39" s="226">
        <f>VLOOKUP($C39,'USGS Gages'!$B$6:$P$18,11)</f>
        <v>936.75595041322299</v>
      </c>
      <c r="M39" s="226">
        <f>VLOOKUP($C39,'USGS Gages'!$B$6:$P$18,12)</f>
        <v>626.2066115702479</v>
      </c>
      <c r="N39" s="226">
        <f>VLOOKUP($C39,'USGS Gages'!$B$6:$P$18,13)</f>
        <v>994.79256198347116</v>
      </c>
      <c r="O39" s="226">
        <f>VLOOKUP($C39,'USGS Gages'!$B$6:$P$18,14)</f>
        <v>1899.7438016528927</v>
      </c>
      <c r="P39" s="476">
        <f>VLOOKUP($C39,'USGS Gages'!$B$6:$P$18,15)</f>
        <v>1958.4570247933884</v>
      </c>
      <c r="Q39" s="129"/>
      <c r="R39" s="129"/>
    </row>
    <row r="40" spans="2:18" ht="14.25">
      <c r="B40" s="301"/>
      <c r="C40" s="136"/>
      <c r="D40" s="219"/>
      <c r="E40" s="226"/>
      <c r="F40" s="226"/>
      <c r="G40" s="226"/>
      <c r="H40" s="226"/>
      <c r="I40" s="226"/>
      <c r="J40" s="226"/>
      <c r="K40" s="226"/>
      <c r="L40" s="226"/>
      <c r="M40" s="226"/>
      <c r="N40" s="226"/>
      <c r="O40" s="226"/>
      <c r="P40" s="476"/>
      <c r="Q40" s="129"/>
      <c r="R40" s="129"/>
    </row>
    <row r="41" spans="2:18" ht="15">
      <c r="B41" s="301"/>
      <c r="C41" s="136"/>
      <c r="D41" s="225" t="s">
        <v>194</v>
      </c>
      <c r="E41" s="483">
        <f t="shared" ref="E41:P41" si="4">E39-E38-E40</f>
        <v>-391.2005868708643</v>
      </c>
      <c r="F41" s="483">
        <f t="shared" si="4"/>
        <v>-555.30533386189472</v>
      </c>
      <c r="G41" s="483">
        <f t="shared" si="4"/>
        <v>-1349.4989109446069</v>
      </c>
      <c r="H41" s="483">
        <f t="shared" si="4"/>
        <v>-3160.0947772283325</v>
      </c>
      <c r="I41" s="483">
        <f t="shared" si="4"/>
        <v>-9066.1356944525651</v>
      </c>
      <c r="J41" s="483">
        <f t="shared" si="4"/>
        <v>-3443.807229355918</v>
      </c>
      <c r="K41" s="483">
        <f t="shared" si="4"/>
        <v>-2139.4288723423265</v>
      </c>
      <c r="L41" s="483">
        <f t="shared" si="4"/>
        <v>-1094.4102823251146</v>
      </c>
      <c r="M41" s="483">
        <f t="shared" si="4"/>
        <v>-783.04331970084024</v>
      </c>
      <c r="N41" s="483">
        <f t="shared" si="4"/>
        <v>-847.73949210947876</v>
      </c>
      <c r="O41" s="483">
        <f t="shared" si="4"/>
        <v>-745.86189323051667</v>
      </c>
      <c r="P41" s="484">
        <f t="shared" si="4"/>
        <v>-425.40928796496928</v>
      </c>
      <c r="Q41" s="129"/>
      <c r="R41" s="129"/>
    </row>
    <row r="42" spans="2:18" ht="14.25">
      <c r="B42" s="301"/>
      <c r="C42" s="136"/>
      <c r="D42" s="136"/>
      <c r="E42" s="226"/>
      <c r="F42" s="226"/>
      <c r="G42" s="226"/>
      <c r="H42" s="226"/>
      <c r="I42" s="226"/>
      <c r="J42" s="226"/>
      <c r="K42" s="226"/>
      <c r="L42" s="226"/>
      <c r="M42" s="226"/>
      <c r="N42" s="226"/>
      <c r="O42" s="226"/>
      <c r="P42" s="476"/>
      <c r="Q42" s="129"/>
      <c r="R42" s="129"/>
    </row>
    <row r="43" spans="2:18" ht="15">
      <c r="B43" s="301"/>
      <c r="C43" s="225" t="s">
        <v>80</v>
      </c>
      <c r="D43" s="225" t="s">
        <v>195</v>
      </c>
      <c r="E43" s="226"/>
      <c r="F43" s="226"/>
      <c r="G43" s="226"/>
      <c r="H43" s="226"/>
      <c r="I43" s="226"/>
      <c r="J43" s="226"/>
      <c r="K43" s="226"/>
      <c r="L43" s="226"/>
      <c r="M43" s="226"/>
      <c r="N43" s="226"/>
      <c r="O43" s="226"/>
      <c r="P43" s="476"/>
      <c r="Q43" s="129"/>
      <c r="R43" s="129"/>
    </row>
    <row r="44" spans="2:18" ht="14.25">
      <c r="B44" s="301"/>
      <c r="C44" s="332">
        <v>4</v>
      </c>
      <c r="D44" s="136" t="s">
        <v>196</v>
      </c>
      <c r="E44" s="226">
        <f>VLOOKUP($C44,'Diversion Data'!$B$83:$O$94,3)</f>
        <v>0</v>
      </c>
      <c r="F44" s="226">
        <f>VLOOKUP($C44,'Diversion Data'!$B$83:$O$94,4)</f>
        <v>0</v>
      </c>
      <c r="G44" s="226">
        <f>VLOOKUP($C44,'Diversion Data'!$B$83:$O$94,5)</f>
        <v>0</v>
      </c>
      <c r="H44" s="226">
        <f>VLOOKUP($C44,'Diversion Data'!$B$83:$O$94,6)</f>
        <v>0</v>
      </c>
      <c r="I44" s="226">
        <f>VLOOKUP($C44,'Diversion Data'!$B$83:$O$94,7)</f>
        <v>1809.5428936358471</v>
      </c>
      <c r="J44" s="226">
        <f>VLOOKUP($C44,'Diversion Data'!$B$83:$O$94,8)</f>
        <v>2209.217874439566</v>
      </c>
      <c r="K44" s="226">
        <f>VLOOKUP($C44,'Diversion Data'!$B$83:$O$94,9)</f>
        <v>1517.6472187954546</v>
      </c>
      <c r="L44" s="226">
        <f>VLOOKUP($C44,'Diversion Data'!$B$83:$O$94,10)</f>
        <v>792.84093275619841</v>
      </c>
      <c r="M44" s="226">
        <f>VLOOKUP($C44,'Diversion Data'!$B$83:$O$94,11)</f>
        <v>453.49919017396695</v>
      </c>
      <c r="N44" s="226">
        <f>VLOOKUP($C44,'Diversion Data'!$B$83:$O$94,12)</f>
        <v>0</v>
      </c>
      <c r="O44" s="226">
        <f>VLOOKUP($C44,'Diversion Data'!$B$83:$O$94,13)</f>
        <v>0</v>
      </c>
      <c r="P44" s="476">
        <f>VLOOKUP($C44,'Diversion Data'!$B$83:$O$94,14)</f>
        <v>0</v>
      </c>
      <c r="Q44" s="129"/>
      <c r="R44" s="129"/>
    </row>
    <row r="45" spans="2:18" ht="14.25">
      <c r="B45" s="301"/>
      <c r="C45" s="332">
        <v>5</v>
      </c>
      <c r="D45" s="136" t="s">
        <v>196</v>
      </c>
      <c r="E45" s="226">
        <f>VLOOKUP($C45,'Diversion Data'!$B$83:$O$94,3)</f>
        <v>0</v>
      </c>
      <c r="F45" s="226">
        <f>VLOOKUP($C45,'Diversion Data'!$B$83:$O$94,4)</f>
        <v>0</v>
      </c>
      <c r="G45" s="226">
        <f>VLOOKUP($C45,'Diversion Data'!$B$83:$O$94,5)</f>
        <v>0</v>
      </c>
      <c r="H45" s="226">
        <f>VLOOKUP($C45,'Diversion Data'!$B$83:$O$94,6)</f>
        <v>0</v>
      </c>
      <c r="I45" s="226">
        <f>VLOOKUP($C45,'Diversion Data'!$B$83:$O$94,7)</f>
        <v>4371.6560832338837</v>
      </c>
      <c r="J45" s="226">
        <f>VLOOKUP($C45,'Diversion Data'!$B$83:$O$94,8)</f>
        <v>4343.1679623426653</v>
      </c>
      <c r="K45" s="226">
        <f>VLOOKUP($C45,'Diversion Data'!$B$83:$O$94,9)</f>
        <v>2300.3558165282539</v>
      </c>
      <c r="L45" s="226">
        <f>VLOOKUP($C45,'Diversion Data'!$B$83:$O$94,10)</f>
        <v>677.93497054865702</v>
      </c>
      <c r="M45" s="226">
        <f>VLOOKUP($C45,'Diversion Data'!$B$83:$O$94,11)</f>
        <v>527.92970211911154</v>
      </c>
      <c r="N45" s="226">
        <f>VLOOKUP($C45,'Diversion Data'!$B$83:$O$94,12)</f>
        <v>0</v>
      </c>
      <c r="O45" s="226">
        <f>VLOOKUP($C45,'Diversion Data'!$B$83:$O$94,13)</f>
        <v>0</v>
      </c>
      <c r="P45" s="476">
        <f>VLOOKUP($C45,'Diversion Data'!$B$83:$O$94,14)</f>
        <v>0</v>
      </c>
      <c r="Q45" s="129"/>
      <c r="R45" s="129"/>
    </row>
    <row r="46" spans="2:18" ht="14.25">
      <c r="B46" s="301"/>
      <c r="C46" s="332"/>
      <c r="D46" s="136"/>
      <c r="E46" s="226"/>
      <c r="F46" s="226"/>
      <c r="G46" s="226"/>
      <c r="H46" s="226"/>
      <c r="I46" s="226"/>
      <c r="J46" s="226"/>
      <c r="K46" s="226"/>
      <c r="L46" s="226"/>
      <c r="M46" s="226"/>
      <c r="N46" s="226"/>
      <c r="O46" s="226"/>
      <c r="P46" s="476"/>
      <c r="Q46" s="129"/>
      <c r="R46" s="129"/>
    </row>
    <row r="47" spans="2:18" ht="14.25">
      <c r="B47" s="301"/>
      <c r="C47" s="332"/>
      <c r="D47" s="136"/>
      <c r="E47" s="226"/>
      <c r="F47" s="226"/>
      <c r="G47" s="226"/>
      <c r="H47" s="226"/>
      <c r="I47" s="226"/>
      <c r="J47" s="226"/>
      <c r="K47" s="226"/>
      <c r="L47" s="226"/>
      <c r="M47" s="226"/>
      <c r="N47" s="226"/>
      <c r="O47" s="226"/>
      <c r="P47" s="476"/>
      <c r="Q47" s="129"/>
      <c r="R47" s="129"/>
    </row>
    <row r="48" spans="2:18" ht="15">
      <c r="B48" s="301"/>
      <c r="C48" s="332"/>
      <c r="D48" s="225" t="s">
        <v>197</v>
      </c>
      <c r="E48" s="483">
        <f t="shared" ref="E48:P48" si="5">SUM(E44:E47)</f>
        <v>0</v>
      </c>
      <c r="F48" s="483">
        <f t="shared" si="5"/>
        <v>0</v>
      </c>
      <c r="G48" s="483">
        <f t="shared" si="5"/>
        <v>0</v>
      </c>
      <c r="H48" s="483">
        <f t="shared" si="5"/>
        <v>0</v>
      </c>
      <c r="I48" s="483">
        <f t="shared" si="5"/>
        <v>6181.1989768697313</v>
      </c>
      <c r="J48" s="483">
        <f t="shared" si="5"/>
        <v>6552.3858367822313</v>
      </c>
      <c r="K48" s="483">
        <f t="shared" si="5"/>
        <v>3818.0030353237084</v>
      </c>
      <c r="L48" s="483">
        <f t="shared" si="5"/>
        <v>1470.7759033048555</v>
      </c>
      <c r="M48" s="483">
        <f t="shared" si="5"/>
        <v>981.42889229307843</v>
      </c>
      <c r="N48" s="483">
        <f t="shared" si="5"/>
        <v>0</v>
      </c>
      <c r="O48" s="483">
        <f t="shared" si="5"/>
        <v>0</v>
      </c>
      <c r="P48" s="484">
        <f t="shared" si="5"/>
        <v>0</v>
      </c>
      <c r="Q48" s="129"/>
      <c r="R48" s="129"/>
    </row>
    <row r="49" spans="2:18" ht="15">
      <c r="B49" s="301"/>
      <c r="C49" s="332"/>
      <c r="D49" s="225"/>
      <c r="E49" s="490"/>
      <c r="F49" s="490"/>
      <c r="G49" s="490"/>
      <c r="H49" s="490"/>
      <c r="I49" s="490"/>
      <c r="J49" s="490"/>
      <c r="K49" s="490"/>
      <c r="L49" s="490"/>
      <c r="M49" s="490"/>
      <c r="N49" s="490"/>
      <c r="O49" s="490"/>
      <c r="P49" s="491"/>
      <c r="Q49" s="129"/>
      <c r="R49" s="129"/>
    </row>
    <row r="50" spans="2:18" ht="15">
      <c r="B50" s="301"/>
      <c r="C50" s="332"/>
      <c r="D50" s="225" t="s">
        <v>202</v>
      </c>
      <c r="E50" s="226"/>
      <c r="F50" s="226"/>
      <c r="G50" s="226"/>
      <c r="H50" s="226"/>
      <c r="I50" s="226"/>
      <c r="J50" s="226"/>
      <c r="K50" s="226"/>
      <c r="L50" s="226"/>
      <c r="M50" s="226"/>
      <c r="N50" s="226"/>
      <c r="O50" s="226"/>
      <c r="P50" s="476"/>
      <c r="Q50" s="129"/>
      <c r="R50" s="129"/>
    </row>
    <row r="51" spans="2:18" ht="14.25">
      <c r="B51" s="301"/>
      <c r="C51" s="332">
        <v>4</v>
      </c>
      <c r="D51" s="136" t="s">
        <v>203</v>
      </c>
      <c r="E51" s="226">
        <f>VLOOKUP($C51,'Irrigation Returns'!$B$719:$P$730,4)</f>
        <v>0</v>
      </c>
      <c r="F51" s="226">
        <f>VLOOKUP($C51,'Irrigation Returns'!$B$719:$P$730,5)</f>
        <v>0</v>
      </c>
      <c r="G51" s="226">
        <f>VLOOKUP($C51,'Irrigation Returns'!$B$719:$P$730,6)</f>
        <v>0</v>
      </c>
      <c r="H51" s="226">
        <f>VLOOKUP($C51,'Irrigation Returns'!$B$719:$P$730,7)</f>
        <v>0</v>
      </c>
      <c r="I51" s="226">
        <f>VLOOKUP($C51,'Irrigation Returns'!$B$719:$P$730,8)</f>
        <v>761.38627152334914</v>
      </c>
      <c r="J51" s="226">
        <f>VLOOKUP($C51,'Irrigation Returns'!$B$719:$P$730,9)</f>
        <v>965.84415434149537</v>
      </c>
      <c r="K51" s="226">
        <f>VLOOKUP($C51,'Irrigation Returns'!$B$719:$P$730,10)</f>
        <v>770.99540614560271</v>
      </c>
      <c r="L51" s="226">
        <f>VLOOKUP($C51,'Irrigation Returns'!$B$719:$P$730,11)</f>
        <v>524.3896470878035</v>
      </c>
      <c r="M51" s="226">
        <f>VLOOKUP($C51,'Irrigation Returns'!$B$719:$P$730,12)</f>
        <v>342.88486642261302</v>
      </c>
      <c r="N51" s="226">
        <f>VLOOKUP($C51,'Irrigation Returns'!$B$719:$P$730,13)</f>
        <v>97.380451574632445</v>
      </c>
      <c r="O51" s="226">
        <f>VLOOKUP($C51,'Irrigation Returns'!$B$719:$P$730,14)</f>
        <v>28.021109307069835</v>
      </c>
      <c r="P51" s="476">
        <f>VLOOKUP($C51,'Irrigation Returns'!$B$719:$P$730,15)</f>
        <v>0</v>
      </c>
      <c r="Q51" s="129"/>
      <c r="R51" s="129"/>
    </row>
    <row r="52" spans="2:18" ht="14.25">
      <c r="B52" s="301"/>
      <c r="C52" s="332">
        <v>5</v>
      </c>
      <c r="D52" s="136" t="s">
        <v>203</v>
      </c>
      <c r="E52" s="226">
        <f>VLOOKUP($C52,'Irrigation Returns'!$B$719:$P$730,4)</f>
        <v>0</v>
      </c>
      <c r="F52" s="226">
        <f>VLOOKUP($C52,'Irrigation Returns'!$B$719:$P$730,5)</f>
        <v>0</v>
      </c>
      <c r="G52" s="226">
        <f>VLOOKUP($C52,'Irrigation Returns'!$B$719:$P$730,6)</f>
        <v>0</v>
      </c>
      <c r="H52" s="226">
        <f>VLOOKUP($C52,'Irrigation Returns'!$B$719:$P$730,7)</f>
        <v>0</v>
      </c>
      <c r="I52" s="226">
        <f>VLOOKUP($C52,'Irrigation Returns'!$B$719:$P$730,8)</f>
        <v>2085.9147264894295</v>
      </c>
      <c r="J52" s="226">
        <f>VLOOKUP($C52,'Irrigation Returns'!$B$719:$P$730,9)</f>
        <v>2958.3044383863862</v>
      </c>
      <c r="K52" s="226">
        <f>VLOOKUP($C52,'Irrigation Returns'!$B$719:$P$730,10)</f>
        <v>2575.7287847277908</v>
      </c>
      <c r="L52" s="226">
        <f>VLOOKUP($C52,'Irrigation Returns'!$B$719:$P$730,11)</f>
        <v>1398.0309835796177</v>
      </c>
      <c r="M52" s="226">
        <f>VLOOKUP($C52,'Irrigation Returns'!$B$719:$P$730,12)</f>
        <v>785.76820742253312</v>
      </c>
      <c r="N52" s="226">
        <f>VLOOKUP($C52,'Irrigation Returns'!$B$719:$P$730,13)</f>
        <v>149.74084992753731</v>
      </c>
      <c r="O52" s="226">
        <f>VLOOKUP($C52,'Irrigation Returns'!$B$719:$P$730,14)</f>
        <v>42.044200482072974</v>
      </c>
      <c r="P52" s="476">
        <f>VLOOKUP($C52,'Irrigation Returns'!$B$719:$P$730,15)</f>
        <v>0</v>
      </c>
      <c r="Q52" s="129"/>
      <c r="R52" s="129"/>
    </row>
    <row r="53" spans="2:18" ht="14.25">
      <c r="B53" s="301"/>
      <c r="C53" s="226"/>
      <c r="D53" s="136"/>
      <c r="E53" s="226"/>
      <c r="F53" s="226"/>
      <c r="G53" s="226"/>
      <c r="H53" s="226"/>
      <c r="I53" s="226"/>
      <c r="J53" s="226"/>
      <c r="K53" s="226"/>
      <c r="L53" s="226"/>
      <c r="M53" s="226"/>
      <c r="N53" s="226"/>
      <c r="O53" s="226"/>
      <c r="P53" s="476"/>
      <c r="Q53" s="129"/>
      <c r="R53" s="129"/>
    </row>
    <row r="54" spans="2:18" ht="15">
      <c r="B54" s="301"/>
      <c r="C54" s="226"/>
      <c r="D54" s="225" t="s">
        <v>204</v>
      </c>
      <c r="E54" s="483">
        <f t="shared" ref="E54:P54" si="6">SUM(E51:E53)</f>
        <v>0</v>
      </c>
      <c r="F54" s="483">
        <f t="shared" si="6"/>
        <v>0</v>
      </c>
      <c r="G54" s="483">
        <f t="shared" si="6"/>
        <v>0</v>
      </c>
      <c r="H54" s="483">
        <f t="shared" si="6"/>
        <v>0</v>
      </c>
      <c r="I54" s="483">
        <f t="shared" si="6"/>
        <v>2847.3009980127786</v>
      </c>
      <c r="J54" s="483">
        <f t="shared" si="6"/>
        <v>3924.1485927278818</v>
      </c>
      <c r="K54" s="483">
        <f t="shared" si="6"/>
        <v>3346.7241908733936</v>
      </c>
      <c r="L54" s="483">
        <f t="shared" si="6"/>
        <v>1922.4206306674212</v>
      </c>
      <c r="M54" s="483">
        <f t="shared" si="6"/>
        <v>1128.6530738451461</v>
      </c>
      <c r="N54" s="483">
        <f t="shared" si="6"/>
        <v>247.12130150216976</v>
      </c>
      <c r="O54" s="483">
        <f t="shared" si="6"/>
        <v>70.065309789142816</v>
      </c>
      <c r="P54" s="484">
        <f t="shared" si="6"/>
        <v>0</v>
      </c>
      <c r="Q54" s="129"/>
      <c r="R54" s="129"/>
    </row>
    <row r="55" spans="2:18" ht="15">
      <c r="B55" s="301"/>
      <c r="C55" s="226"/>
      <c r="D55" s="136"/>
      <c r="E55" s="479" t="s">
        <v>0</v>
      </c>
      <c r="F55" s="479" t="s">
        <v>1</v>
      </c>
      <c r="G55" s="479" t="s">
        <v>2</v>
      </c>
      <c r="H55" s="479" t="s">
        <v>3</v>
      </c>
      <c r="I55" s="479" t="s">
        <v>4</v>
      </c>
      <c r="J55" s="479" t="s">
        <v>5</v>
      </c>
      <c r="K55" s="479" t="s">
        <v>6</v>
      </c>
      <c r="L55" s="479" t="s">
        <v>7</v>
      </c>
      <c r="M55" s="479" t="s">
        <v>8</v>
      </c>
      <c r="N55" s="479" t="s">
        <v>9</v>
      </c>
      <c r="O55" s="479" t="s">
        <v>10</v>
      </c>
      <c r="P55" s="480" t="s">
        <v>11</v>
      </c>
      <c r="Q55" s="129"/>
      <c r="R55" s="129"/>
    </row>
    <row r="56" spans="2:18" ht="15" thickBot="1">
      <c r="B56" s="306" t="s">
        <v>515</v>
      </c>
      <c r="C56" s="333" t="s">
        <v>336</v>
      </c>
      <c r="D56" s="131" t="s">
        <v>205</v>
      </c>
      <c r="E56" s="486">
        <f t="shared" ref="E56:P56" si="7">+E41+E48-E54</f>
        <v>-391.2005868708643</v>
      </c>
      <c r="F56" s="486">
        <f t="shared" si="7"/>
        <v>-555.30533386189472</v>
      </c>
      <c r="G56" s="486">
        <f t="shared" si="7"/>
        <v>-1349.4989109446069</v>
      </c>
      <c r="H56" s="486">
        <f t="shared" si="7"/>
        <v>-3160.0947772283325</v>
      </c>
      <c r="I56" s="486">
        <f t="shared" si="7"/>
        <v>-5732.2377155956128</v>
      </c>
      <c r="J56" s="486">
        <f t="shared" si="7"/>
        <v>-815.56998530156852</v>
      </c>
      <c r="K56" s="486">
        <f t="shared" si="7"/>
        <v>-1668.1500278920116</v>
      </c>
      <c r="L56" s="486">
        <f t="shared" si="7"/>
        <v>-1546.0550096876802</v>
      </c>
      <c r="M56" s="486">
        <f t="shared" si="7"/>
        <v>-930.26750125290789</v>
      </c>
      <c r="N56" s="486">
        <f t="shared" si="7"/>
        <v>-1094.8607936116484</v>
      </c>
      <c r="O56" s="486">
        <f t="shared" si="7"/>
        <v>-815.92720301965949</v>
      </c>
      <c r="P56" s="487">
        <f t="shared" si="7"/>
        <v>-425.40928796496928</v>
      </c>
      <c r="Q56" s="129"/>
      <c r="R56" s="129"/>
    </row>
    <row r="57" spans="2:18" ht="15" thickBot="1">
      <c r="B57" s="136"/>
      <c r="C57" s="406"/>
      <c r="D57" s="136"/>
      <c r="E57" s="226"/>
      <c r="F57" s="226"/>
      <c r="G57" s="226"/>
      <c r="H57" s="226"/>
      <c r="I57" s="226"/>
      <c r="J57" s="226"/>
      <c r="K57" s="226"/>
      <c r="L57" s="226"/>
      <c r="M57" s="226"/>
      <c r="N57" s="226"/>
      <c r="O57" s="226"/>
      <c r="P57" s="226"/>
      <c r="Q57" s="129"/>
      <c r="R57" s="129"/>
    </row>
    <row r="58" spans="2:18" ht="15">
      <c r="B58" s="307"/>
      <c r="C58" s="308"/>
      <c r="D58" s="308"/>
      <c r="E58" s="488" t="s">
        <v>0</v>
      </c>
      <c r="F58" s="488" t="s">
        <v>1</v>
      </c>
      <c r="G58" s="488" t="s">
        <v>2</v>
      </c>
      <c r="H58" s="488" t="s">
        <v>3</v>
      </c>
      <c r="I58" s="488" t="s">
        <v>4</v>
      </c>
      <c r="J58" s="488" t="s">
        <v>5</v>
      </c>
      <c r="K58" s="488" t="s">
        <v>6</v>
      </c>
      <c r="L58" s="488" t="s">
        <v>7</v>
      </c>
      <c r="M58" s="488" t="s">
        <v>8</v>
      </c>
      <c r="N58" s="488" t="s">
        <v>9</v>
      </c>
      <c r="O58" s="488" t="s">
        <v>10</v>
      </c>
      <c r="P58" s="489" t="s">
        <v>11</v>
      </c>
      <c r="Q58" s="129"/>
      <c r="R58" s="129"/>
    </row>
    <row r="59" spans="2:18" ht="15">
      <c r="B59" s="301"/>
      <c r="C59" s="136"/>
      <c r="D59" s="136"/>
      <c r="E59" s="481"/>
      <c r="F59" s="481"/>
      <c r="G59" s="481"/>
      <c r="H59" s="481"/>
      <c r="I59" s="481"/>
      <c r="J59" s="481"/>
      <c r="K59" s="481"/>
      <c r="L59" s="481"/>
      <c r="M59" s="481"/>
      <c r="N59" s="481"/>
      <c r="O59" s="481"/>
      <c r="P59" s="482"/>
      <c r="Q59" s="129"/>
      <c r="R59" s="129"/>
    </row>
    <row r="60" spans="2:18" ht="14.25">
      <c r="B60" s="301" t="s">
        <v>246</v>
      </c>
      <c r="C60" s="136" t="s">
        <v>120</v>
      </c>
      <c r="D60" s="219" t="str">
        <f>VLOOKUP(C60,NodeList!$D$4:$E$121,2,FALSE)</f>
        <v>USGS 10020100:  Bear R. ab res. nr Woodruff, UT</v>
      </c>
      <c r="E60" s="226">
        <f>VLOOKUP($C60,'USGS Gages'!$B$6:$P$18,4)</f>
        <v>2041.0809917355368</v>
      </c>
      <c r="F60" s="226">
        <f>VLOOKUP($C60,'USGS Gages'!$B$6:$P$18,5)</f>
        <v>2221.2892561983472</v>
      </c>
      <c r="G60" s="226">
        <f>VLOOKUP($C60,'USGS Gages'!$B$6:$P$18,6)</f>
        <v>7039.5619834710742</v>
      </c>
      <c r="H60" s="226">
        <f>VLOOKUP($C60,'USGS Gages'!$B$6:$P$18,7)</f>
        <v>8908.5123966942137</v>
      </c>
      <c r="I60" s="226">
        <f>VLOOKUP($C60,'USGS Gages'!$B$6:$P$18,8)</f>
        <v>19755.198347107438</v>
      </c>
      <c r="J60" s="226">
        <f>VLOOKUP($C60,'USGS Gages'!$B$6:$P$18,9)</f>
        <v>12860.330578512398</v>
      </c>
      <c r="K60" s="226">
        <f>VLOOKUP($C60,'USGS Gages'!$B$6:$P$18,10)</f>
        <v>2092.4231404958678</v>
      </c>
      <c r="L60" s="226">
        <f>VLOOKUP($C60,'USGS Gages'!$B$6:$P$18,11)</f>
        <v>936.75595041322299</v>
      </c>
      <c r="M60" s="226">
        <f>VLOOKUP($C60,'USGS Gages'!$B$6:$P$18,12)</f>
        <v>626.2066115702479</v>
      </c>
      <c r="N60" s="226">
        <f>VLOOKUP($C60,'USGS Gages'!$B$6:$P$18,13)</f>
        <v>994.79256198347116</v>
      </c>
      <c r="O60" s="226">
        <f>VLOOKUP($C60,'USGS Gages'!$B$6:$P$18,14)</f>
        <v>1899.7438016528927</v>
      </c>
      <c r="P60" s="476">
        <f>VLOOKUP($C60,'USGS Gages'!$B$6:$P$18,15)</f>
        <v>1958.4570247933884</v>
      </c>
      <c r="Q60" s="129"/>
      <c r="R60" s="129"/>
    </row>
    <row r="61" spans="2:18" ht="14.25">
      <c r="B61" s="301" t="s">
        <v>247</v>
      </c>
      <c r="C61" s="136" t="s">
        <v>121</v>
      </c>
      <c r="D61" s="219" t="str">
        <f>VLOOKUP(C61,NodeList!$D$4:$E$121,2,FALSE)</f>
        <v>USGS 10020300:  Bear R. bel res. nr Woodruff, UT</v>
      </c>
      <c r="E61" s="226">
        <f>VLOOKUP($C61,'USGS Gages'!$B$6:$P$18,4)</f>
        <v>1093.1727272727273</v>
      </c>
      <c r="F61" s="226">
        <f>VLOOKUP($C61,'USGS Gages'!$B$6:$P$18,5)</f>
        <v>1026.2231404958677</v>
      </c>
      <c r="G61" s="226">
        <f>VLOOKUP($C61,'USGS Gages'!$B$6:$P$18,6)</f>
        <v>1165.4206611570248</v>
      </c>
      <c r="H61" s="226">
        <f>VLOOKUP($C61,'USGS Gages'!$B$6:$P$18,7)</f>
        <v>1797.307438016529</v>
      </c>
      <c r="I61" s="226">
        <f>VLOOKUP($C61,'USGS Gages'!$B$6:$P$18,8)</f>
        <v>19313.25619834711</v>
      </c>
      <c r="J61" s="226">
        <f>VLOOKUP($C61,'USGS Gages'!$B$6:$P$18,9)</f>
        <v>31794.545454545452</v>
      </c>
      <c r="K61" s="226">
        <f>VLOOKUP($C61,'USGS Gages'!$B$6:$P$18,10)</f>
        <v>3779.181818181818</v>
      </c>
      <c r="L61" s="226">
        <f>VLOOKUP($C61,'USGS Gages'!$B$6:$P$18,11)</f>
        <v>1426.2049586776859</v>
      </c>
      <c r="M61" s="226">
        <f>VLOOKUP($C61,'USGS Gages'!$B$6:$P$18,12)</f>
        <v>885.49586776859508</v>
      </c>
      <c r="N61" s="226">
        <f>VLOOKUP($C61,'USGS Gages'!$B$6:$P$18,13)</f>
        <v>930.46115702479335</v>
      </c>
      <c r="O61" s="226">
        <f>VLOOKUP($C61,'USGS Gages'!$B$6:$P$18,14)</f>
        <v>866.97520661157034</v>
      </c>
      <c r="P61" s="476">
        <f>VLOOKUP($C61,'USGS Gages'!$B$6:$P$18,15)</f>
        <v>1058.8933884297521</v>
      </c>
      <c r="Q61" s="129"/>
      <c r="R61" s="129"/>
    </row>
    <row r="62" spans="2:18" ht="14.25">
      <c r="B62" s="301"/>
      <c r="C62" s="136"/>
      <c r="D62" s="219"/>
      <c r="E62" s="226"/>
      <c r="F62" s="226"/>
      <c r="G62" s="226"/>
      <c r="H62" s="226"/>
      <c r="I62" s="226"/>
      <c r="J62" s="226"/>
      <c r="K62" s="226"/>
      <c r="L62" s="226"/>
      <c r="M62" s="226"/>
      <c r="N62" s="226"/>
      <c r="O62" s="226"/>
      <c r="P62" s="476"/>
      <c r="Q62" s="129"/>
      <c r="R62" s="129"/>
    </row>
    <row r="63" spans="2:18" ht="15">
      <c r="B63" s="301"/>
      <c r="C63" s="136"/>
      <c r="D63" s="225" t="s">
        <v>194</v>
      </c>
      <c r="E63" s="483">
        <f t="shared" ref="E63:P63" si="8">E61-E60-E62</f>
        <v>-947.90826446280948</v>
      </c>
      <c r="F63" s="483">
        <f t="shared" si="8"/>
        <v>-1195.0661157024795</v>
      </c>
      <c r="G63" s="483">
        <f t="shared" si="8"/>
        <v>-5874.1413223140498</v>
      </c>
      <c r="H63" s="483">
        <f t="shared" si="8"/>
        <v>-7111.2049586776848</v>
      </c>
      <c r="I63" s="483">
        <f t="shared" si="8"/>
        <v>-441.94214876032856</v>
      </c>
      <c r="J63" s="483">
        <f t="shared" si="8"/>
        <v>18934.214876033053</v>
      </c>
      <c r="K63" s="483">
        <f t="shared" si="8"/>
        <v>1686.7586776859503</v>
      </c>
      <c r="L63" s="483">
        <f t="shared" si="8"/>
        <v>489.44900826446292</v>
      </c>
      <c r="M63" s="483">
        <f t="shared" si="8"/>
        <v>259.28925619834718</v>
      </c>
      <c r="N63" s="483">
        <f t="shared" si="8"/>
        <v>-64.331404958677808</v>
      </c>
      <c r="O63" s="483">
        <f t="shared" si="8"/>
        <v>-1032.7685950413224</v>
      </c>
      <c r="P63" s="484">
        <f t="shared" si="8"/>
        <v>-899.56363636363631</v>
      </c>
      <c r="Q63" s="129"/>
      <c r="R63" s="129"/>
    </row>
    <row r="64" spans="2:18" ht="14.25">
      <c r="B64" s="301"/>
      <c r="C64" s="136"/>
      <c r="D64" s="136"/>
      <c r="E64" s="226"/>
      <c r="F64" s="226"/>
      <c r="G64" s="226"/>
      <c r="H64" s="226"/>
      <c r="I64" s="226"/>
      <c r="J64" s="226"/>
      <c r="K64" s="226"/>
      <c r="L64" s="226"/>
      <c r="M64" s="226"/>
      <c r="N64" s="226"/>
      <c r="O64" s="226"/>
      <c r="P64" s="476"/>
      <c r="Q64" s="129"/>
      <c r="R64" s="129"/>
    </row>
    <row r="65" spans="2:18" ht="15">
      <c r="B65" s="301"/>
      <c r="C65" s="225" t="s">
        <v>80</v>
      </c>
      <c r="D65" s="225" t="s">
        <v>195</v>
      </c>
      <c r="E65" s="226"/>
      <c r="F65" s="226"/>
      <c r="G65" s="226"/>
      <c r="H65" s="226"/>
      <c r="I65" s="226"/>
      <c r="J65" s="226"/>
      <c r="K65" s="226"/>
      <c r="L65" s="226"/>
      <c r="M65" s="226"/>
      <c r="N65" s="226"/>
      <c r="O65" s="226"/>
      <c r="P65" s="476"/>
      <c r="Q65" s="129"/>
      <c r="R65" s="129"/>
    </row>
    <row r="66" spans="2:18" ht="14.25">
      <c r="B66" s="301"/>
      <c r="C66" s="332">
        <v>6</v>
      </c>
      <c r="D66" s="136" t="s">
        <v>196</v>
      </c>
      <c r="E66" s="226">
        <f>VLOOKUP($C66,'Diversion Data'!$B$83:$O$94,3)</f>
        <v>0</v>
      </c>
      <c r="F66" s="226">
        <f>VLOOKUP($C66,'Diversion Data'!$B$83:$O$94,4)</f>
        <v>0</v>
      </c>
      <c r="G66" s="226">
        <f>VLOOKUP($C66,'Diversion Data'!$B$83:$O$94,5)</f>
        <v>0</v>
      </c>
      <c r="H66" s="226">
        <f>VLOOKUP($C66,'Diversion Data'!$B$83:$O$94,6)</f>
        <v>0</v>
      </c>
      <c r="I66" s="226">
        <f>VLOOKUP($C66,'Diversion Data'!$B$83:$O$94,7)</f>
        <v>0</v>
      </c>
      <c r="J66" s="226">
        <f>VLOOKUP($C66,'Diversion Data'!$B$83:$O$94,8)</f>
        <v>0</v>
      </c>
      <c r="K66" s="226">
        <f>VLOOKUP($C66,'Diversion Data'!$B$83:$O$94,9)</f>
        <v>0</v>
      </c>
      <c r="L66" s="226">
        <f>VLOOKUP($C66,'Diversion Data'!$B$83:$O$94,10)</f>
        <v>0</v>
      </c>
      <c r="M66" s="226">
        <f>VLOOKUP($C66,'Diversion Data'!$B$83:$O$94,11)</f>
        <v>0</v>
      </c>
      <c r="N66" s="226">
        <f>VLOOKUP($C66,'Diversion Data'!$B$83:$O$94,12)</f>
        <v>0</v>
      </c>
      <c r="O66" s="226">
        <f>VLOOKUP($C66,'Diversion Data'!$B$83:$O$94,13)</f>
        <v>0</v>
      </c>
      <c r="P66" s="476">
        <f>VLOOKUP($C66,'Diversion Data'!$B$83:$O$94,14)</f>
        <v>0</v>
      </c>
      <c r="Q66" s="129"/>
      <c r="R66" s="129"/>
    </row>
    <row r="67" spans="2:18" ht="14.25">
      <c r="B67" s="301"/>
      <c r="C67" s="332">
        <v>6</v>
      </c>
      <c r="D67" s="136" t="s">
        <v>533</v>
      </c>
      <c r="E67" s="226">
        <f>+'Reach 6'!D22-'Reach 6'!D25</f>
        <v>968.08099173553683</v>
      </c>
      <c r="F67" s="226">
        <f>+'Reach 6'!E22-'Reach 6'!E25</f>
        <v>1201.5749704840614</v>
      </c>
      <c r="G67" s="226">
        <f>+'Reach 6'!F22-'Reach 6'!F25</f>
        <v>5883.2762691853604</v>
      </c>
      <c r="H67" s="226">
        <f>+'Reach 6'!G22-'Reach 6'!G25</f>
        <v>5762.7981109799257</v>
      </c>
      <c r="I67" s="226">
        <f>+'Reach 6'!H22-'Reach 6'!H25</f>
        <v>-4625.4840677601387</v>
      </c>
      <c r="J67" s="226">
        <f>+'Reach 6'!I22-'Reach 6'!I25</f>
        <v>-24705.823540631969</v>
      </c>
      <c r="K67" s="226">
        <f>+'Reach 6'!J22-'Reach 6'!J25</f>
        <v>-3288.1397282887065</v>
      </c>
      <c r="L67" s="226">
        <f>+'Reach 6'!K22-'Reach 6'!K25</f>
        <v>-489.81839771942646</v>
      </c>
      <c r="M67" s="226">
        <f>+'Reach 6'!L22-'Reach 6'!L25</f>
        <v>-264.35804218240162</v>
      </c>
      <c r="N67" s="226">
        <f>+'Reach 6'!M22-'Reach 6'!M25</f>
        <v>304.97681556728651</v>
      </c>
      <c r="O67" s="226">
        <f>+'Reach 6'!N22-'Reach 6'!N25</f>
        <v>1221.8716803472075</v>
      </c>
      <c r="P67" s="476">
        <f>+'Reach 6'!O22-'Reach 6'!O25</f>
        <v>1125.5998819362455</v>
      </c>
      <c r="Q67" s="129"/>
      <c r="R67" s="129"/>
    </row>
    <row r="68" spans="2:18" ht="14.25">
      <c r="B68" s="301"/>
      <c r="C68" s="332"/>
      <c r="D68" s="136"/>
      <c r="E68" s="226"/>
      <c r="F68" s="226"/>
      <c r="G68" s="226"/>
      <c r="H68" s="226"/>
      <c r="I68" s="226"/>
      <c r="J68" s="226"/>
      <c r="K68" s="226"/>
      <c r="L68" s="226"/>
      <c r="M68" s="226"/>
      <c r="N68" s="226"/>
      <c r="O68" s="226"/>
      <c r="P68" s="476"/>
      <c r="Q68" s="129"/>
      <c r="R68" s="129"/>
    </row>
    <row r="69" spans="2:18" ht="15">
      <c r="B69" s="301"/>
      <c r="C69" s="332"/>
      <c r="D69" s="225" t="s">
        <v>197</v>
      </c>
      <c r="E69" s="483">
        <f t="shared" ref="E69:P69" si="9">SUM(E66:E68)</f>
        <v>968.08099173553683</v>
      </c>
      <c r="F69" s="483">
        <f t="shared" si="9"/>
        <v>1201.5749704840614</v>
      </c>
      <c r="G69" s="483">
        <f t="shared" si="9"/>
        <v>5883.2762691853604</v>
      </c>
      <c r="H69" s="483">
        <f t="shared" si="9"/>
        <v>5762.7981109799257</v>
      </c>
      <c r="I69" s="483">
        <f t="shared" si="9"/>
        <v>-4625.4840677601387</v>
      </c>
      <c r="J69" s="483">
        <f t="shared" si="9"/>
        <v>-24705.823540631969</v>
      </c>
      <c r="K69" s="483">
        <f t="shared" si="9"/>
        <v>-3288.1397282887065</v>
      </c>
      <c r="L69" s="483">
        <f t="shared" si="9"/>
        <v>-489.81839771942646</v>
      </c>
      <c r="M69" s="483">
        <f t="shared" si="9"/>
        <v>-264.35804218240162</v>
      </c>
      <c r="N69" s="483">
        <f t="shared" si="9"/>
        <v>304.97681556728651</v>
      </c>
      <c r="O69" s="483">
        <f t="shared" si="9"/>
        <v>1221.8716803472075</v>
      </c>
      <c r="P69" s="484">
        <f t="shared" si="9"/>
        <v>1125.5998819362455</v>
      </c>
      <c r="Q69" s="129"/>
      <c r="R69" s="129"/>
    </row>
    <row r="70" spans="2:18" ht="15">
      <c r="B70" s="301"/>
      <c r="C70" s="332"/>
      <c r="D70" s="225"/>
      <c r="E70" s="490"/>
      <c r="F70" s="490"/>
      <c r="G70" s="490"/>
      <c r="H70" s="490"/>
      <c r="I70" s="490"/>
      <c r="J70" s="490"/>
      <c r="K70" s="490"/>
      <c r="L70" s="490"/>
      <c r="M70" s="490"/>
      <c r="N70" s="490"/>
      <c r="O70" s="490"/>
      <c r="P70" s="491"/>
      <c r="Q70" s="129"/>
      <c r="R70" s="129"/>
    </row>
    <row r="71" spans="2:18" ht="15">
      <c r="B71" s="301"/>
      <c r="C71" s="332"/>
      <c r="D71" s="225" t="s">
        <v>202</v>
      </c>
      <c r="E71" s="226"/>
      <c r="F71" s="226"/>
      <c r="G71" s="226"/>
      <c r="H71" s="226"/>
      <c r="I71" s="226"/>
      <c r="J71" s="226"/>
      <c r="K71" s="226"/>
      <c r="L71" s="226"/>
      <c r="M71" s="226"/>
      <c r="N71" s="226"/>
      <c r="O71" s="226"/>
      <c r="P71" s="476"/>
      <c r="Q71" s="129"/>
      <c r="R71" s="129"/>
    </row>
    <row r="72" spans="2:18" ht="14.25">
      <c r="B72" s="301"/>
      <c r="C72" s="332">
        <v>6</v>
      </c>
      <c r="D72" s="136" t="s">
        <v>203</v>
      </c>
      <c r="E72" s="226">
        <f>VLOOKUP($C72,'Irrigation Returns'!$B$719:$P$730,4)</f>
        <v>0</v>
      </c>
      <c r="F72" s="226">
        <f>VLOOKUP($C72,'Irrigation Returns'!$B$719:$P$730,5)</f>
        <v>0</v>
      </c>
      <c r="G72" s="226">
        <f>VLOOKUP($C72,'Irrigation Returns'!$B$719:$P$730,6)</f>
        <v>0</v>
      </c>
      <c r="H72" s="226">
        <f>VLOOKUP($C72,'Irrigation Returns'!$B$719:$P$730,7)</f>
        <v>0</v>
      </c>
      <c r="I72" s="226">
        <f>VLOOKUP($C72,'Irrigation Returns'!$B$719:$P$730,8)</f>
        <v>510.74615656100104</v>
      </c>
      <c r="J72" s="226">
        <f>VLOOKUP($C72,'Irrigation Returns'!$B$719:$P$730,9)</f>
        <v>633.84588085563291</v>
      </c>
      <c r="K72" s="226">
        <f>VLOOKUP($C72,'Irrigation Returns'!$B$719:$P$730,10)</f>
        <v>395.15141692971042</v>
      </c>
      <c r="L72" s="226">
        <f>VLOOKUP($C72,'Irrigation Returns'!$B$719:$P$730,11)</f>
        <v>183.42565186734942</v>
      </c>
      <c r="M72" s="226">
        <f>VLOOKUP($C72,'Irrigation Returns'!$B$719:$P$730,12)</f>
        <v>95.578203390207605</v>
      </c>
      <c r="N72" s="226">
        <f>VLOOKUP($C72,'Irrigation Returns'!$B$719:$P$730,13)</f>
        <v>23.612825012386779</v>
      </c>
      <c r="O72" s="226">
        <f>VLOOKUP($C72,'Irrigation Returns'!$B$719:$P$730,14)</f>
        <v>7.4135929800290921</v>
      </c>
      <c r="P72" s="476">
        <f>VLOOKUP($C72,'Irrigation Returns'!$B$719:$P$730,15)</f>
        <v>0</v>
      </c>
      <c r="Q72" s="129"/>
      <c r="R72" s="129"/>
    </row>
    <row r="73" spans="2:18" ht="14.25">
      <c r="B73" s="301"/>
      <c r="C73" s="226"/>
      <c r="D73" s="136"/>
      <c r="E73" s="226"/>
      <c r="F73" s="226"/>
      <c r="G73" s="226"/>
      <c r="H73" s="226"/>
      <c r="I73" s="226"/>
      <c r="J73" s="226"/>
      <c r="K73" s="226"/>
      <c r="L73" s="226"/>
      <c r="M73" s="226"/>
      <c r="N73" s="226"/>
      <c r="O73" s="226"/>
      <c r="P73" s="476"/>
      <c r="Q73" s="129"/>
      <c r="R73" s="129"/>
    </row>
    <row r="74" spans="2:18" ht="15">
      <c r="B74" s="301"/>
      <c r="C74" s="226"/>
      <c r="D74" s="225" t="s">
        <v>204</v>
      </c>
      <c r="E74" s="483">
        <f t="shared" ref="E74:P74" si="10">SUM(E72:E73)</f>
        <v>0</v>
      </c>
      <c r="F74" s="483">
        <f t="shared" si="10"/>
        <v>0</v>
      </c>
      <c r="G74" s="483">
        <f t="shared" si="10"/>
        <v>0</v>
      </c>
      <c r="H74" s="483">
        <f t="shared" si="10"/>
        <v>0</v>
      </c>
      <c r="I74" s="483">
        <f t="shared" si="10"/>
        <v>510.74615656100104</v>
      </c>
      <c r="J74" s="483">
        <f t="shared" si="10"/>
        <v>633.84588085563291</v>
      </c>
      <c r="K74" s="483">
        <f t="shared" si="10"/>
        <v>395.15141692971042</v>
      </c>
      <c r="L74" s="483">
        <f t="shared" si="10"/>
        <v>183.42565186734942</v>
      </c>
      <c r="M74" s="483">
        <f t="shared" si="10"/>
        <v>95.578203390207605</v>
      </c>
      <c r="N74" s="483">
        <f t="shared" si="10"/>
        <v>23.612825012386779</v>
      </c>
      <c r="O74" s="483">
        <f t="shared" si="10"/>
        <v>7.4135929800290921</v>
      </c>
      <c r="P74" s="484">
        <f t="shared" si="10"/>
        <v>0</v>
      </c>
      <c r="Q74" s="129"/>
      <c r="R74" s="129"/>
    </row>
    <row r="75" spans="2:18" ht="15">
      <c r="B75" s="301"/>
      <c r="C75" s="226"/>
      <c r="D75" s="136"/>
      <c r="E75" s="479" t="s">
        <v>0</v>
      </c>
      <c r="F75" s="479" t="s">
        <v>1</v>
      </c>
      <c r="G75" s="479" t="s">
        <v>2</v>
      </c>
      <c r="H75" s="479" t="s">
        <v>3</v>
      </c>
      <c r="I75" s="479" t="s">
        <v>4</v>
      </c>
      <c r="J75" s="479" t="s">
        <v>5</v>
      </c>
      <c r="K75" s="479" t="s">
        <v>6</v>
      </c>
      <c r="L75" s="479" t="s">
        <v>7</v>
      </c>
      <c r="M75" s="479" t="s">
        <v>8</v>
      </c>
      <c r="N75" s="479" t="s">
        <v>9</v>
      </c>
      <c r="O75" s="479" t="s">
        <v>10</v>
      </c>
      <c r="P75" s="480" t="s">
        <v>11</v>
      </c>
      <c r="Q75" s="129"/>
      <c r="R75" s="129"/>
    </row>
    <row r="76" spans="2:18" ht="15" thickBot="1">
      <c r="B76" s="306" t="s">
        <v>515</v>
      </c>
      <c r="C76" s="333" t="s">
        <v>24</v>
      </c>
      <c r="D76" s="131" t="s">
        <v>205</v>
      </c>
      <c r="E76" s="486">
        <f t="shared" ref="E76:P76" si="11">+E63+E69-E74</f>
        <v>20.172727272727343</v>
      </c>
      <c r="F76" s="486">
        <f t="shared" si="11"/>
        <v>6.5088547815819311</v>
      </c>
      <c r="G76" s="486">
        <f t="shared" si="11"/>
        <v>9.1349468713106035</v>
      </c>
      <c r="H76" s="486">
        <f t="shared" si="11"/>
        <v>-1348.4068476977591</v>
      </c>
      <c r="I76" s="486">
        <f t="shared" si="11"/>
        <v>-5578.1723730814683</v>
      </c>
      <c r="J76" s="486">
        <f t="shared" si="11"/>
        <v>-6405.4545454545496</v>
      </c>
      <c r="K76" s="486">
        <f t="shared" si="11"/>
        <v>-1996.5324675324666</v>
      </c>
      <c r="L76" s="486">
        <f t="shared" si="11"/>
        <v>-183.79504132231295</v>
      </c>
      <c r="M76" s="486">
        <f t="shared" si="11"/>
        <v>-100.64698937426205</v>
      </c>
      <c r="N76" s="486">
        <f t="shared" si="11"/>
        <v>217.03258559622191</v>
      </c>
      <c r="O76" s="486">
        <f t="shared" si="11"/>
        <v>181.68949232585601</v>
      </c>
      <c r="P76" s="487">
        <f t="shared" si="11"/>
        <v>226.03624557260923</v>
      </c>
      <c r="Q76" s="129"/>
      <c r="R76" s="129"/>
    </row>
    <row r="77" spans="2:18" ht="14.25">
      <c r="B77" s="136"/>
      <c r="C77" s="406"/>
      <c r="D77" s="136"/>
      <c r="E77" s="226"/>
      <c r="F77" s="226"/>
      <c r="G77" s="226"/>
      <c r="H77" s="226"/>
      <c r="I77" s="226"/>
      <c r="J77" s="226"/>
      <c r="K77" s="226"/>
      <c r="L77" s="226"/>
      <c r="M77" s="226"/>
      <c r="N77" s="226"/>
      <c r="O77" s="226"/>
      <c r="P77" s="226"/>
      <c r="Q77" s="129"/>
      <c r="R77" s="129"/>
    </row>
    <row r="78" spans="2:18" ht="14.25">
      <c r="B78" s="136"/>
      <c r="C78" s="406"/>
      <c r="D78" s="136"/>
      <c r="E78" s="226"/>
      <c r="F78" s="226"/>
      <c r="G78" s="226"/>
      <c r="H78" s="226"/>
      <c r="I78" s="226"/>
      <c r="J78" s="226"/>
      <c r="K78" s="226"/>
      <c r="L78" s="226"/>
      <c r="M78" s="226"/>
      <c r="N78" s="226"/>
      <c r="O78" s="226"/>
      <c r="P78" s="226"/>
      <c r="Q78" s="129"/>
      <c r="R78" s="129"/>
    </row>
    <row r="79" spans="2:18" ht="14.25">
      <c r="B79" s="136"/>
      <c r="C79" s="406"/>
      <c r="D79" s="136"/>
      <c r="E79" s="226"/>
      <c r="F79" s="226"/>
      <c r="G79" s="226"/>
      <c r="H79" s="226"/>
      <c r="I79" s="226"/>
      <c r="J79" s="226"/>
      <c r="K79" s="226"/>
      <c r="L79" s="226"/>
      <c r="M79" s="226"/>
      <c r="N79" s="226"/>
      <c r="O79" s="226"/>
      <c r="P79" s="226"/>
      <c r="Q79" s="129"/>
      <c r="R79" s="129"/>
    </row>
    <row r="80" spans="2:18" ht="15" thickBot="1">
      <c r="B80" s="129"/>
      <c r="C80" s="220"/>
      <c r="D80" s="129"/>
      <c r="E80" s="220"/>
      <c r="F80" s="220"/>
      <c r="G80" s="220"/>
      <c r="H80" s="220"/>
      <c r="I80" s="220"/>
      <c r="J80" s="220"/>
      <c r="K80" s="220"/>
      <c r="L80" s="220"/>
      <c r="M80" s="220"/>
      <c r="N80" s="220"/>
      <c r="O80" s="220"/>
      <c r="P80" s="220"/>
      <c r="Q80" s="129"/>
      <c r="R80" s="129"/>
    </row>
    <row r="81" spans="2:18" ht="15">
      <c r="B81" s="307"/>
      <c r="C81" s="308"/>
      <c r="D81" s="308"/>
      <c r="E81" s="488" t="s">
        <v>0</v>
      </c>
      <c r="F81" s="488" t="s">
        <v>1</v>
      </c>
      <c r="G81" s="488" t="s">
        <v>2</v>
      </c>
      <c r="H81" s="488" t="s">
        <v>3</v>
      </c>
      <c r="I81" s="488" t="s">
        <v>4</v>
      </c>
      <c r="J81" s="488" t="s">
        <v>5</v>
      </c>
      <c r="K81" s="488" t="s">
        <v>6</v>
      </c>
      <c r="L81" s="488" t="s">
        <v>7</v>
      </c>
      <c r="M81" s="488" t="s">
        <v>8</v>
      </c>
      <c r="N81" s="488" t="s">
        <v>9</v>
      </c>
      <c r="O81" s="488" t="s">
        <v>10</v>
      </c>
      <c r="P81" s="489" t="s">
        <v>11</v>
      </c>
      <c r="Q81" s="129"/>
      <c r="R81" s="129"/>
    </row>
    <row r="82" spans="2:18" ht="15">
      <c r="B82" s="301"/>
      <c r="C82" s="136"/>
      <c r="D82" s="136"/>
      <c r="E82" s="481"/>
      <c r="F82" s="481"/>
      <c r="G82" s="481"/>
      <c r="H82" s="481"/>
      <c r="I82" s="481"/>
      <c r="J82" s="481"/>
      <c r="K82" s="481"/>
      <c r="L82" s="481"/>
      <c r="M82" s="481"/>
      <c r="N82" s="481"/>
      <c r="O82" s="481"/>
      <c r="P82" s="482"/>
      <c r="Q82" s="129"/>
      <c r="R82" s="129"/>
    </row>
    <row r="83" spans="2:18" ht="14.25">
      <c r="B83" s="301" t="s">
        <v>246</v>
      </c>
      <c r="C83" s="136" t="s">
        <v>121</v>
      </c>
      <c r="D83" s="219" t="str">
        <f>VLOOKUP(C83,NodeList!$D$4:$E$121,2,FALSE)</f>
        <v>USGS 10020300:  Bear R. bel res. nr Woodruff, UT</v>
      </c>
      <c r="E83" s="226">
        <f>VLOOKUP($C83,'USGS Gages'!$B$6:$P$18,4)</f>
        <v>1093.1727272727273</v>
      </c>
      <c r="F83" s="226">
        <f>VLOOKUP($C83,'USGS Gages'!$B$6:$P$18,5)</f>
        <v>1026.2231404958677</v>
      </c>
      <c r="G83" s="226">
        <f>VLOOKUP($C83,'USGS Gages'!$B$6:$P$18,6)</f>
        <v>1165.4206611570248</v>
      </c>
      <c r="H83" s="226">
        <f>VLOOKUP($C83,'USGS Gages'!$B$6:$P$18,7)</f>
        <v>1797.307438016529</v>
      </c>
      <c r="I83" s="226">
        <f>VLOOKUP($C83,'USGS Gages'!$B$6:$P$18,8)</f>
        <v>19313.25619834711</v>
      </c>
      <c r="J83" s="226">
        <f>VLOOKUP($C83,'USGS Gages'!$B$6:$P$18,9)</f>
        <v>31794.545454545452</v>
      </c>
      <c r="K83" s="226">
        <f>VLOOKUP($C83,'USGS Gages'!$B$6:$P$18,10)</f>
        <v>3779.181818181818</v>
      </c>
      <c r="L83" s="226">
        <f>VLOOKUP($C83,'USGS Gages'!$B$6:$P$18,11)</f>
        <v>1426.2049586776859</v>
      </c>
      <c r="M83" s="226">
        <f>VLOOKUP($C83,'USGS Gages'!$B$6:$P$18,12)</f>
        <v>885.49586776859508</v>
      </c>
      <c r="N83" s="226">
        <f>VLOOKUP($C83,'USGS Gages'!$B$6:$P$18,13)</f>
        <v>930.46115702479335</v>
      </c>
      <c r="O83" s="226">
        <f>VLOOKUP($C83,'USGS Gages'!$B$6:$P$18,14)</f>
        <v>866.97520661157034</v>
      </c>
      <c r="P83" s="476">
        <f>VLOOKUP($C83,'USGS Gages'!$B$6:$P$18,15)</f>
        <v>1058.8933884297521</v>
      </c>
      <c r="Q83" s="129"/>
      <c r="R83" s="129"/>
    </row>
    <row r="84" spans="2:18" ht="14.25">
      <c r="B84" s="301" t="s">
        <v>247</v>
      </c>
      <c r="C84" s="136" t="s">
        <v>122</v>
      </c>
      <c r="D84" s="219" t="str">
        <f>VLOOKUP(C84,NodeList!$D$4:$E$121,2,FALSE)</f>
        <v>USGS 10026500:  Bear R. nr Randolph, UT</v>
      </c>
      <c r="E84" s="226">
        <f>VLOOKUP($C84,'USGS Gages'!$B$6:$P$18,4)</f>
        <v>1510.560109090909</v>
      </c>
      <c r="F84" s="226">
        <f>VLOOKUP($C84,'USGS Gages'!$B$6:$P$18,5)</f>
        <v>1041.7926165289255</v>
      </c>
      <c r="G84" s="226">
        <f>VLOOKUP($C84,'USGS Gages'!$B$6:$P$18,6)</f>
        <v>3156.7052000000003</v>
      </c>
      <c r="H84" s="226">
        <f>VLOOKUP($C84,'USGS Gages'!$B$6:$P$18,7)</f>
        <v>2580.0638966942151</v>
      </c>
      <c r="I84" s="226">
        <f>VLOOKUP($C84,'USGS Gages'!$B$6:$P$18,8)</f>
        <v>4012.0713933884299</v>
      </c>
      <c r="J84" s="226">
        <f>VLOOKUP($C84,'USGS Gages'!$B$6:$P$18,9)</f>
        <v>6827.871623966942</v>
      </c>
      <c r="K84" s="226">
        <f>VLOOKUP($C84,'USGS Gages'!$B$6:$P$18,10)</f>
        <v>2502.7709347107429</v>
      </c>
      <c r="L84" s="226">
        <f>VLOOKUP($C84,'USGS Gages'!$B$6:$P$18,11)</f>
        <v>711.91520495867746</v>
      </c>
      <c r="M84" s="226">
        <f>VLOOKUP($C84,'USGS Gages'!$B$6:$P$18,12)</f>
        <v>285.9223305785124</v>
      </c>
      <c r="N84" s="226">
        <f>VLOOKUP($C84,'USGS Gages'!$B$6:$P$18,13)</f>
        <v>1628.6406462809914</v>
      </c>
      <c r="O84" s="226">
        <f>VLOOKUP($C84,'USGS Gages'!$B$6:$P$18,14)</f>
        <v>1882.2978388429751</v>
      </c>
      <c r="P84" s="476">
        <f>VLOOKUP($C84,'USGS Gages'!$B$6:$P$18,15)</f>
        <v>1726.8120611570248</v>
      </c>
      <c r="Q84" s="129"/>
      <c r="R84" s="129"/>
    </row>
    <row r="85" spans="2:18" ht="14.25">
      <c r="B85" s="301"/>
      <c r="C85" s="136"/>
      <c r="D85" s="219"/>
      <c r="E85" s="226"/>
      <c r="F85" s="226"/>
      <c r="G85" s="226"/>
      <c r="H85" s="226"/>
      <c r="I85" s="226"/>
      <c r="J85" s="226"/>
      <c r="K85" s="226"/>
      <c r="L85" s="226"/>
      <c r="M85" s="226"/>
      <c r="N85" s="226"/>
      <c r="O85" s="226"/>
      <c r="P85" s="476"/>
      <c r="Q85" s="129"/>
      <c r="R85" s="129"/>
    </row>
    <row r="86" spans="2:18" ht="15">
      <c r="B86" s="301"/>
      <c r="C86" s="136"/>
      <c r="D86" s="225" t="s">
        <v>194</v>
      </c>
      <c r="E86" s="483">
        <f t="shared" ref="E86:P86" si="12">E84-E83-E85</f>
        <v>417.38738181818167</v>
      </c>
      <c r="F86" s="483">
        <f t="shared" si="12"/>
        <v>15.569476033057754</v>
      </c>
      <c r="G86" s="483">
        <f t="shared" si="12"/>
        <v>1991.2845388429755</v>
      </c>
      <c r="H86" s="483">
        <f t="shared" si="12"/>
        <v>782.75645867768617</v>
      </c>
      <c r="I86" s="483">
        <f t="shared" si="12"/>
        <v>-15301.184804958681</v>
      </c>
      <c r="J86" s="483">
        <f t="shared" si="12"/>
        <v>-24966.673830578511</v>
      </c>
      <c r="K86" s="483">
        <f t="shared" si="12"/>
        <v>-1276.4108834710751</v>
      </c>
      <c r="L86" s="483">
        <f t="shared" si="12"/>
        <v>-714.28975371900844</v>
      </c>
      <c r="M86" s="483">
        <f t="shared" si="12"/>
        <v>-599.57353719008267</v>
      </c>
      <c r="N86" s="483">
        <f t="shared" si="12"/>
        <v>698.17948925619805</v>
      </c>
      <c r="O86" s="483">
        <f t="shared" si="12"/>
        <v>1015.3226322314048</v>
      </c>
      <c r="P86" s="484">
        <f t="shared" si="12"/>
        <v>667.91867272727268</v>
      </c>
      <c r="Q86" s="129"/>
      <c r="R86" s="129"/>
    </row>
    <row r="87" spans="2:18" ht="14.25">
      <c r="B87" s="301"/>
      <c r="C87" s="136"/>
      <c r="D87" s="136"/>
      <c r="E87" s="226"/>
      <c r="F87" s="226"/>
      <c r="G87" s="226"/>
      <c r="H87" s="226"/>
      <c r="I87" s="226"/>
      <c r="J87" s="226"/>
      <c r="K87" s="226"/>
      <c r="L87" s="226"/>
      <c r="M87" s="226"/>
      <c r="N87" s="226"/>
      <c r="O87" s="226"/>
      <c r="P87" s="476"/>
      <c r="Q87" s="129"/>
      <c r="R87" s="129"/>
    </row>
    <row r="88" spans="2:18" ht="15">
      <c r="B88" s="301"/>
      <c r="C88" s="225" t="s">
        <v>80</v>
      </c>
      <c r="D88" s="225" t="s">
        <v>195</v>
      </c>
      <c r="E88" s="226"/>
      <c r="F88" s="226"/>
      <c r="G88" s="226"/>
      <c r="H88" s="226"/>
      <c r="I88" s="226"/>
      <c r="J88" s="226"/>
      <c r="K88" s="226"/>
      <c r="L88" s="226"/>
      <c r="M88" s="226"/>
      <c r="N88" s="226"/>
      <c r="O88" s="226"/>
      <c r="P88" s="476"/>
      <c r="Q88" s="129"/>
      <c r="R88" s="129"/>
    </row>
    <row r="89" spans="2:18" ht="14.25">
      <c r="B89" s="301"/>
      <c r="C89" s="332">
        <v>7</v>
      </c>
      <c r="D89" s="136" t="s">
        <v>196</v>
      </c>
      <c r="E89" s="226">
        <f>VLOOKUP($C89,'Diversion Data'!$B$83:$O$94,3)</f>
        <v>0</v>
      </c>
      <c r="F89" s="226">
        <f>VLOOKUP($C89,'Diversion Data'!$B$83:$O$94,4)</f>
        <v>0</v>
      </c>
      <c r="G89" s="226">
        <f>VLOOKUP($C89,'Diversion Data'!$B$83:$O$94,5)</f>
        <v>0</v>
      </c>
      <c r="H89" s="226">
        <f>VLOOKUP($C89,'Diversion Data'!$B$83:$O$94,6)</f>
        <v>0</v>
      </c>
      <c r="I89" s="226">
        <f>VLOOKUP($C89,'Diversion Data'!$B$83:$O$94,7)</f>
        <v>23368.881038089417</v>
      </c>
      <c r="J89" s="226">
        <f>VLOOKUP($C89,'Diversion Data'!$B$83:$O$94,8)</f>
        <v>49878.559548698715</v>
      </c>
      <c r="K89" s="226">
        <f>VLOOKUP($C89,'Diversion Data'!$B$83:$O$94,9)</f>
        <v>11049.074391975686</v>
      </c>
      <c r="L89" s="226">
        <f>VLOOKUP($C89,'Diversion Data'!$B$83:$O$94,10)</f>
        <v>4287.048127333509</v>
      </c>
      <c r="M89" s="226">
        <f>VLOOKUP($C89,'Diversion Data'!$B$83:$O$94,11)</f>
        <v>3134.6206481013219</v>
      </c>
      <c r="N89" s="226">
        <f>VLOOKUP($C89,'Diversion Data'!$B$83:$O$94,12)</f>
        <v>0</v>
      </c>
      <c r="O89" s="226">
        <f>VLOOKUP($C89,'Diversion Data'!$B$83:$O$94,13)</f>
        <v>0</v>
      </c>
      <c r="P89" s="476">
        <f>VLOOKUP($C89,'Diversion Data'!$B$83:$O$94,14)</f>
        <v>0</v>
      </c>
      <c r="Q89" s="129"/>
      <c r="R89" s="129"/>
    </row>
    <row r="90" spans="2:18" ht="15">
      <c r="B90" s="301"/>
      <c r="C90" s="332"/>
      <c r="D90" s="225" t="s">
        <v>197</v>
      </c>
      <c r="E90" s="483">
        <f t="shared" ref="E90:P90" si="13">SUM(E89:E89)</f>
        <v>0</v>
      </c>
      <c r="F90" s="483">
        <f t="shared" si="13"/>
        <v>0</v>
      </c>
      <c r="G90" s="483">
        <f t="shared" si="13"/>
        <v>0</v>
      </c>
      <c r="H90" s="483">
        <f t="shared" si="13"/>
        <v>0</v>
      </c>
      <c r="I90" s="483">
        <f t="shared" si="13"/>
        <v>23368.881038089417</v>
      </c>
      <c r="J90" s="483">
        <f t="shared" si="13"/>
        <v>49878.559548698715</v>
      </c>
      <c r="K90" s="483">
        <f t="shared" si="13"/>
        <v>11049.074391975686</v>
      </c>
      <c r="L90" s="483">
        <f t="shared" si="13"/>
        <v>4287.048127333509</v>
      </c>
      <c r="M90" s="483">
        <f t="shared" si="13"/>
        <v>3134.6206481013219</v>
      </c>
      <c r="N90" s="483">
        <f t="shared" si="13"/>
        <v>0</v>
      </c>
      <c r="O90" s="483">
        <f t="shared" si="13"/>
        <v>0</v>
      </c>
      <c r="P90" s="484">
        <f t="shared" si="13"/>
        <v>0</v>
      </c>
      <c r="Q90" s="129"/>
      <c r="R90" s="129"/>
    </row>
    <row r="91" spans="2:18" ht="15">
      <c r="B91" s="301"/>
      <c r="C91" s="332"/>
      <c r="D91" s="225"/>
      <c r="E91" s="490"/>
      <c r="F91" s="490"/>
      <c r="G91" s="490"/>
      <c r="H91" s="490"/>
      <c r="I91" s="490"/>
      <c r="J91" s="490"/>
      <c r="K91" s="490"/>
      <c r="L91" s="490"/>
      <c r="M91" s="490"/>
      <c r="N91" s="490"/>
      <c r="O91" s="490"/>
      <c r="P91" s="491"/>
      <c r="Q91" s="129"/>
      <c r="R91" s="129"/>
    </row>
    <row r="92" spans="2:18" ht="15">
      <c r="B92" s="301"/>
      <c r="C92" s="332"/>
      <c r="D92" s="225" t="s">
        <v>202</v>
      </c>
      <c r="E92" s="226"/>
      <c r="F92" s="226"/>
      <c r="G92" s="226"/>
      <c r="H92" s="226"/>
      <c r="I92" s="226"/>
      <c r="J92" s="226"/>
      <c r="K92" s="226"/>
      <c r="L92" s="226"/>
      <c r="M92" s="226"/>
      <c r="N92" s="226"/>
      <c r="O92" s="226"/>
      <c r="P92" s="476"/>
      <c r="Q92" s="129"/>
      <c r="R92" s="129"/>
    </row>
    <row r="93" spans="2:18" s="312" customFormat="1" ht="14.25">
      <c r="B93" s="313"/>
      <c r="C93" s="332">
        <v>7</v>
      </c>
      <c r="D93" s="314" t="s">
        <v>203</v>
      </c>
      <c r="E93" s="492">
        <f>VLOOKUP($C93,'Irrigation Returns'!$B$719:$P$730,4)</f>
        <v>0</v>
      </c>
      <c r="F93" s="492">
        <f>VLOOKUP($C93,'Irrigation Returns'!$B$719:$P$730,5)</f>
        <v>0</v>
      </c>
      <c r="G93" s="492">
        <f>VLOOKUP($C93,'Irrigation Returns'!$B$719:$P$730,6)</f>
        <v>0</v>
      </c>
      <c r="H93" s="492">
        <f>VLOOKUP($C93,'Irrigation Returns'!$B$719:$P$730,7)</f>
        <v>0</v>
      </c>
      <c r="I93" s="492">
        <f>VLOOKUP($C93,'Irrigation Returns'!$B$719:$P$730,8)</f>
        <v>2414.0256569227777</v>
      </c>
      <c r="J93" s="492">
        <f>VLOOKUP($C93,'Irrigation Returns'!$B$719:$P$730,9)</f>
        <v>6064.5697998968371</v>
      </c>
      <c r="K93" s="492">
        <f>VLOOKUP($C93,'Irrigation Returns'!$B$719:$P$730,10)</f>
        <v>2952.8378583455778</v>
      </c>
      <c r="L93" s="492">
        <f>VLOOKUP($C93,'Irrigation Returns'!$B$719:$P$730,11)</f>
        <v>1513.4141751905449</v>
      </c>
      <c r="M93" s="492">
        <f>VLOOKUP($C93,'Irrigation Returns'!$B$719:$P$730,12)</f>
        <v>589.78903308455074</v>
      </c>
      <c r="N93" s="492">
        <f>VLOOKUP($C93,'Irrigation Returns'!$B$719:$P$730,13)</f>
        <v>151.63368967435116</v>
      </c>
      <c r="O93" s="492">
        <f>VLOOKUP($C93,'Irrigation Returns'!$B$719:$P$730,14)</f>
        <v>44.445020740317553</v>
      </c>
      <c r="P93" s="493">
        <f>VLOOKUP($C93,'Irrigation Returns'!$B$719:$P$730,15)</f>
        <v>0</v>
      </c>
      <c r="Q93" s="315"/>
      <c r="R93" s="315"/>
    </row>
    <row r="94" spans="2:18" ht="15">
      <c r="B94" s="301"/>
      <c r="C94" s="226"/>
      <c r="D94" s="225" t="s">
        <v>204</v>
      </c>
      <c r="E94" s="494">
        <f t="shared" ref="E94:P94" si="14">SUM(E93:E93)</f>
        <v>0</v>
      </c>
      <c r="F94" s="494">
        <f t="shared" si="14"/>
        <v>0</v>
      </c>
      <c r="G94" s="494">
        <f t="shared" si="14"/>
        <v>0</v>
      </c>
      <c r="H94" s="494">
        <f t="shared" si="14"/>
        <v>0</v>
      </c>
      <c r="I94" s="494">
        <f t="shared" si="14"/>
        <v>2414.0256569227777</v>
      </c>
      <c r="J94" s="494">
        <f t="shared" si="14"/>
        <v>6064.5697998968371</v>
      </c>
      <c r="K94" s="494">
        <f t="shared" si="14"/>
        <v>2952.8378583455778</v>
      </c>
      <c r="L94" s="494">
        <f t="shared" si="14"/>
        <v>1513.4141751905449</v>
      </c>
      <c r="M94" s="494">
        <f t="shared" si="14"/>
        <v>589.78903308455074</v>
      </c>
      <c r="N94" s="494">
        <f t="shared" si="14"/>
        <v>151.63368967435116</v>
      </c>
      <c r="O94" s="494">
        <f t="shared" si="14"/>
        <v>44.445020740317553</v>
      </c>
      <c r="P94" s="495">
        <f t="shared" si="14"/>
        <v>0</v>
      </c>
      <c r="Q94" s="129"/>
      <c r="R94" s="129"/>
    </row>
    <row r="95" spans="2:18" ht="15">
      <c r="B95" s="301"/>
      <c r="C95" s="226"/>
      <c r="D95" s="225"/>
      <c r="E95" s="483"/>
      <c r="F95" s="483"/>
      <c r="G95" s="483"/>
      <c r="H95" s="483"/>
      <c r="I95" s="483"/>
      <c r="J95" s="483"/>
      <c r="K95" s="483"/>
      <c r="L95" s="483"/>
      <c r="M95" s="483"/>
      <c r="N95" s="483"/>
      <c r="O95" s="483"/>
      <c r="P95" s="484"/>
      <c r="Q95" s="129"/>
      <c r="R95" s="129"/>
    </row>
    <row r="96" spans="2:18" ht="15" thickBot="1">
      <c r="B96" s="301"/>
      <c r="C96" s="226"/>
      <c r="D96" s="136"/>
      <c r="E96" s="399"/>
      <c r="F96" s="399"/>
      <c r="G96" s="399"/>
      <c r="H96" s="399"/>
      <c r="I96" s="399"/>
      <c r="J96" s="399"/>
      <c r="K96" s="399"/>
      <c r="L96" s="399"/>
      <c r="M96" s="399"/>
      <c r="N96" s="399"/>
      <c r="O96" s="399"/>
      <c r="P96" s="496"/>
      <c r="Q96" s="129"/>
      <c r="R96" s="129"/>
    </row>
    <row r="97" spans="2:18" ht="15" thickBot="1">
      <c r="B97" s="306" t="s">
        <v>515</v>
      </c>
      <c r="C97" s="310" t="s">
        <v>25</v>
      </c>
      <c r="D97" s="309" t="s">
        <v>205</v>
      </c>
      <c r="E97" s="497">
        <f t="shared" ref="E97:P97" si="15">+E86+E90-E94</f>
        <v>417.38738181818167</v>
      </c>
      <c r="F97" s="497">
        <f t="shared" si="15"/>
        <v>15.569476033057754</v>
      </c>
      <c r="G97" s="497">
        <f t="shared" si="15"/>
        <v>1991.2845388429755</v>
      </c>
      <c r="H97" s="497">
        <f t="shared" si="15"/>
        <v>782.75645867768617</v>
      </c>
      <c r="I97" s="497">
        <f t="shared" si="15"/>
        <v>5653.6705762079591</v>
      </c>
      <c r="J97" s="497">
        <f t="shared" si="15"/>
        <v>18847.315918223365</v>
      </c>
      <c r="K97" s="497">
        <f t="shared" si="15"/>
        <v>6819.8256501590331</v>
      </c>
      <c r="L97" s="497">
        <f t="shared" si="15"/>
        <v>2059.3441984239557</v>
      </c>
      <c r="M97" s="497">
        <f t="shared" si="15"/>
        <v>1945.2580778266883</v>
      </c>
      <c r="N97" s="497">
        <f t="shared" si="15"/>
        <v>546.54579958184695</v>
      </c>
      <c r="O97" s="497">
        <f t="shared" si="15"/>
        <v>970.87761149108724</v>
      </c>
      <c r="P97" s="498">
        <f t="shared" si="15"/>
        <v>667.91867272727268</v>
      </c>
      <c r="Q97" s="129"/>
      <c r="R97" s="129"/>
    </row>
    <row r="98" spans="2:18" ht="15" thickBot="1">
      <c r="B98" s="129"/>
      <c r="C98" s="129"/>
      <c r="D98" s="129"/>
      <c r="E98" s="220"/>
      <c r="F98" s="220"/>
      <c r="G98" s="220"/>
      <c r="H98" s="220"/>
      <c r="I98" s="220"/>
      <c r="J98" s="220"/>
      <c r="K98" s="220"/>
      <c r="L98" s="220"/>
      <c r="M98" s="220"/>
      <c r="N98" s="220"/>
      <c r="O98" s="220"/>
      <c r="P98" s="220"/>
      <c r="Q98" s="129"/>
      <c r="R98" s="129"/>
    </row>
    <row r="99" spans="2:18" ht="15">
      <c r="B99" s="307"/>
      <c r="C99" s="308"/>
      <c r="D99" s="308"/>
      <c r="E99" s="488" t="s">
        <v>0</v>
      </c>
      <c r="F99" s="488" t="s">
        <v>1</v>
      </c>
      <c r="G99" s="488" t="s">
        <v>2</v>
      </c>
      <c r="H99" s="488" t="s">
        <v>3</v>
      </c>
      <c r="I99" s="488" t="s">
        <v>4</v>
      </c>
      <c r="J99" s="488" t="s">
        <v>5</v>
      </c>
      <c r="K99" s="488" t="s">
        <v>6</v>
      </c>
      <c r="L99" s="488" t="s">
        <v>7</v>
      </c>
      <c r="M99" s="488" t="s">
        <v>8</v>
      </c>
      <c r="N99" s="488" t="s">
        <v>9</v>
      </c>
      <c r="O99" s="488" t="s">
        <v>10</v>
      </c>
      <c r="P99" s="489" t="s">
        <v>11</v>
      </c>
      <c r="Q99" s="129"/>
      <c r="R99" s="129"/>
    </row>
    <row r="100" spans="2:18" ht="15">
      <c r="B100" s="301"/>
      <c r="C100" s="136"/>
      <c r="D100" s="136"/>
      <c r="E100" s="481"/>
      <c r="F100" s="481"/>
      <c r="G100" s="481"/>
      <c r="H100" s="481"/>
      <c r="I100" s="481"/>
      <c r="J100" s="481"/>
      <c r="K100" s="481"/>
      <c r="L100" s="481"/>
      <c r="M100" s="481"/>
      <c r="N100" s="481"/>
      <c r="O100" s="481"/>
      <c r="P100" s="482"/>
      <c r="Q100" s="129"/>
      <c r="R100" s="129"/>
    </row>
    <row r="101" spans="2:18" ht="14.25">
      <c r="B101" s="301" t="s">
        <v>246</v>
      </c>
      <c r="C101" s="136" t="s">
        <v>122</v>
      </c>
      <c r="D101" s="219" t="str">
        <f>VLOOKUP(C101,NodeList!$D$4:$E$121,2,FALSE)</f>
        <v>USGS 10026500:  Bear R. nr Randolph, UT</v>
      </c>
      <c r="E101" s="226">
        <f>VLOOKUP($C101,'USGS Gages'!$B$6:$P$18,4)</f>
        <v>1510.560109090909</v>
      </c>
      <c r="F101" s="226">
        <f>VLOOKUP($C101,'USGS Gages'!$B$6:$P$18,5)</f>
        <v>1041.7926165289255</v>
      </c>
      <c r="G101" s="226">
        <f>VLOOKUP($C101,'USGS Gages'!$B$6:$P$18,6)</f>
        <v>3156.7052000000003</v>
      </c>
      <c r="H101" s="226">
        <f>VLOOKUP($C101,'USGS Gages'!$B$6:$P$18,7)</f>
        <v>2580.0638966942151</v>
      </c>
      <c r="I101" s="226">
        <f>VLOOKUP($C101,'USGS Gages'!$B$6:$P$18,8)</f>
        <v>4012.0713933884299</v>
      </c>
      <c r="J101" s="226">
        <f>VLOOKUP($C101,'USGS Gages'!$B$6:$P$18,9)</f>
        <v>6827.871623966942</v>
      </c>
      <c r="K101" s="226">
        <f>VLOOKUP($C101,'USGS Gages'!$B$6:$P$18,10)</f>
        <v>2502.7709347107429</v>
      </c>
      <c r="L101" s="226">
        <f>VLOOKUP($C101,'USGS Gages'!$B$6:$P$18,11)</f>
        <v>711.91520495867746</v>
      </c>
      <c r="M101" s="226">
        <f>VLOOKUP($C101,'USGS Gages'!$B$6:$P$18,12)</f>
        <v>285.9223305785124</v>
      </c>
      <c r="N101" s="226">
        <f>VLOOKUP($C101,'USGS Gages'!$B$6:$P$18,13)</f>
        <v>1628.6406462809914</v>
      </c>
      <c r="O101" s="226">
        <f>VLOOKUP($C101,'USGS Gages'!$B$6:$P$18,14)</f>
        <v>1882.2978388429751</v>
      </c>
      <c r="P101" s="476">
        <f>VLOOKUP($C101,'USGS Gages'!$B$6:$P$18,15)</f>
        <v>1726.8120611570248</v>
      </c>
      <c r="Q101" s="129"/>
      <c r="R101" s="129"/>
    </row>
    <row r="102" spans="2:18" ht="14.25">
      <c r="B102" s="301" t="s">
        <v>247</v>
      </c>
      <c r="C102" s="136" t="s">
        <v>123</v>
      </c>
      <c r="D102" s="219" t="str">
        <f>VLOOKUP(C102,NodeList!$D$4:$E$121,2,FALSE)</f>
        <v>USGS 10028500:  Bear R. bel Pixley Dam, near Cokeville, WY</v>
      </c>
      <c r="E102" s="226">
        <f>VLOOKUP($C102,'USGS Gages'!$B$6:$P$18,4,FALSE)</f>
        <v>1077.838419834711</v>
      </c>
      <c r="F102" s="226">
        <f>VLOOKUP($C102,'USGS Gages'!$B$6:$P$18,5,FALSE)</f>
        <v>841.1306429752068</v>
      </c>
      <c r="G102" s="226">
        <f>VLOOKUP($C102,'USGS Gages'!$B$6:$P$18,6,FALSE)</f>
        <v>3059.1208727272733</v>
      </c>
      <c r="H102" s="226">
        <f>VLOOKUP($C102,'USGS Gages'!$B$6:$P$18,7,FALSE)</f>
        <v>2110.315479338843</v>
      </c>
      <c r="I102" s="226">
        <f>VLOOKUP($C102,'USGS Gages'!$B$6:$P$18,8,FALSE)</f>
        <v>238.03388429752064</v>
      </c>
      <c r="J102" s="226">
        <f>VLOOKUP($C102,'USGS Gages'!$B$6:$P$18,9,FALSE)</f>
        <v>1173.4214876033056</v>
      </c>
      <c r="K102" s="226">
        <f>VLOOKUP($C102,'USGS Gages'!$B$6:$P$18,10,FALSE)</f>
        <v>2401.9363636363637</v>
      </c>
      <c r="L102" s="226">
        <f>VLOOKUP($C102,'USGS Gages'!$B$6:$P$18,11,FALSE)</f>
        <v>1007.3129752066116</v>
      </c>
      <c r="M102" s="226">
        <f>VLOOKUP($C102,'USGS Gages'!$B$6:$P$18,12,FALSE)</f>
        <v>751.93140495867783</v>
      </c>
      <c r="N102" s="226">
        <f>VLOOKUP($C102,'USGS Gages'!$B$6:$P$18,13,FALSE)</f>
        <v>1356.409511570248</v>
      </c>
      <c r="O102" s="226">
        <f>VLOOKUP($C102,'USGS Gages'!$B$6:$P$18,14,FALSE)</f>
        <v>1745.4249586776862</v>
      </c>
      <c r="P102" s="476">
        <f>VLOOKUP($C102,'USGS Gages'!$B$6:$P$18,15,FALSE)</f>
        <v>1407.4107438016533</v>
      </c>
      <c r="Q102" s="129"/>
      <c r="R102" s="129"/>
    </row>
    <row r="103" spans="2:18" ht="14.25">
      <c r="B103" s="301"/>
      <c r="C103" s="136"/>
      <c r="D103" s="219"/>
      <c r="E103" s="226"/>
      <c r="F103" s="226"/>
      <c r="G103" s="226"/>
      <c r="H103" s="226"/>
      <c r="I103" s="226"/>
      <c r="J103" s="226"/>
      <c r="K103" s="226"/>
      <c r="L103" s="226"/>
      <c r="M103" s="226"/>
      <c r="N103" s="226"/>
      <c r="O103" s="226"/>
      <c r="P103" s="476"/>
      <c r="Q103" s="129"/>
      <c r="R103" s="129"/>
    </row>
    <row r="104" spans="2:18" ht="15">
      <c r="B104" s="301"/>
      <c r="C104" s="136"/>
      <c r="D104" s="225" t="s">
        <v>194</v>
      </c>
      <c r="E104" s="483">
        <f t="shared" ref="E104:P104" si="16">E102-E101-E103</f>
        <v>-432.72168925619803</v>
      </c>
      <c r="F104" s="483">
        <f t="shared" si="16"/>
        <v>-200.66197355371867</v>
      </c>
      <c r="G104" s="483">
        <f t="shared" si="16"/>
        <v>-97.584327272727023</v>
      </c>
      <c r="H104" s="483">
        <f t="shared" si="16"/>
        <v>-469.74841735537211</v>
      </c>
      <c r="I104" s="483">
        <f t="shared" si="16"/>
        <v>-3774.0375090909092</v>
      </c>
      <c r="J104" s="483">
        <f t="shared" si="16"/>
        <v>-5654.4501363636364</v>
      </c>
      <c r="K104" s="483">
        <f t="shared" si="16"/>
        <v>-100.83457107437926</v>
      </c>
      <c r="L104" s="483">
        <f t="shared" si="16"/>
        <v>295.39777024793409</v>
      </c>
      <c r="M104" s="483">
        <f t="shared" si="16"/>
        <v>466.00907438016543</v>
      </c>
      <c r="N104" s="483">
        <f t="shared" si="16"/>
        <v>-272.23113471074339</v>
      </c>
      <c r="O104" s="483">
        <f t="shared" si="16"/>
        <v>-136.87288016528896</v>
      </c>
      <c r="P104" s="484">
        <f t="shared" si="16"/>
        <v>-319.40131735537148</v>
      </c>
      <c r="Q104" s="129"/>
      <c r="R104" s="129"/>
    </row>
    <row r="105" spans="2:18" ht="14.25">
      <c r="B105" s="301"/>
      <c r="C105" s="136"/>
      <c r="D105" s="136"/>
      <c r="E105" s="226"/>
      <c r="F105" s="226"/>
      <c r="G105" s="226"/>
      <c r="H105" s="226"/>
      <c r="I105" s="226"/>
      <c r="J105" s="226"/>
      <c r="K105" s="226"/>
      <c r="L105" s="226"/>
      <c r="M105" s="226"/>
      <c r="N105" s="226"/>
      <c r="O105" s="226"/>
      <c r="P105" s="476"/>
      <c r="Q105" s="129"/>
      <c r="R105" s="129"/>
    </row>
    <row r="106" spans="2:18" ht="15">
      <c r="B106" s="301"/>
      <c r="C106" s="225" t="s">
        <v>80</v>
      </c>
      <c r="D106" s="225" t="s">
        <v>195</v>
      </c>
      <c r="E106" s="226"/>
      <c r="F106" s="226"/>
      <c r="G106" s="226"/>
      <c r="H106" s="226"/>
      <c r="I106" s="226"/>
      <c r="J106" s="226"/>
      <c r="K106" s="226"/>
      <c r="L106" s="226"/>
      <c r="M106" s="226"/>
      <c r="N106" s="226"/>
      <c r="O106" s="226"/>
      <c r="P106" s="476"/>
      <c r="Q106" s="129"/>
      <c r="R106" s="129"/>
    </row>
    <row r="107" spans="2:18" ht="14.25">
      <c r="B107" s="301"/>
      <c r="C107" s="332">
        <v>8</v>
      </c>
      <c r="D107" s="136" t="s">
        <v>196</v>
      </c>
      <c r="E107" s="226">
        <f>VLOOKUP($C107,'Diversion Data'!$B$83:$O$94,3)</f>
        <v>0</v>
      </c>
      <c r="F107" s="226">
        <f>VLOOKUP($C107,'Diversion Data'!$B$83:$O$94,4)</f>
        <v>0</v>
      </c>
      <c r="G107" s="226">
        <f>VLOOKUP($C107,'Diversion Data'!$B$83:$O$94,5)</f>
        <v>0</v>
      </c>
      <c r="H107" s="226">
        <f>VLOOKUP($C107,'Diversion Data'!$B$83:$O$94,6)</f>
        <v>0</v>
      </c>
      <c r="I107" s="226">
        <f>VLOOKUP($C107,'Diversion Data'!$B$83:$O$94,7)</f>
        <v>2985.8911908185228</v>
      </c>
      <c r="J107" s="226">
        <f>VLOOKUP($C107,'Diversion Data'!$B$83:$O$94,8)</f>
        <v>10360.615445869164</v>
      </c>
      <c r="K107" s="226">
        <f>VLOOKUP($C107,'Diversion Data'!$B$83:$O$94,9)</f>
        <v>3094.2068273492559</v>
      </c>
      <c r="L107" s="226">
        <f>VLOOKUP($C107,'Diversion Data'!$B$83:$O$94,10)</f>
        <v>194.16520827272728</v>
      </c>
      <c r="M107" s="226">
        <f>VLOOKUP($C107,'Diversion Data'!$B$83:$O$94,11)</f>
        <v>115.06689133471075</v>
      </c>
      <c r="N107" s="226">
        <f>VLOOKUP($C107,'Diversion Data'!$B$83:$O$94,12)</f>
        <v>0</v>
      </c>
      <c r="O107" s="226">
        <f>VLOOKUP($C107,'Diversion Data'!$B$83:$O$94,13)</f>
        <v>0</v>
      </c>
      <c r="P107" s="476">
        <f>VLOOKUP($C107,'Diversion Data'!$B$83:$O$94,14)</f>
        <v>0</v>
      </c>
      <c r="Q107" s="129"/>
      <c r="R107" s="129"/>
    </row>
    <row r="108" spans="2:18" ht="15">
      <c r="B108" s="301"/>
      <c r="C108" s="332"/>
      <c r="D108" s="225" t="s">
        <v>197</v>
      </c>
      <c r="E108" s="483">
        <f t="shared" ref="E108:P108" si="17">SUM(E107:E107)</f>
        <v>0</v>
      </c>
      <c r="F108" s="483">
        <f t="shared" si="17"/>
        <v>0</v>
      </c>
      <c r="G108" s="483">
        <f t="shared" si="17"/>
        <v>0</v>
      </c>
      <c r="H108" s="483">
        <f t="shared" si="17"/>
        <v>0</v>
      </c>
      <c r="I108" s="483">
        <f t="shared" si="17"/>
        <v>2985.8911908185228</v>
      </c>
      <c r="J108" s="483">
        <f t="shared" si="17"/>
        <v>10360.615445869164</v>
      </c>
      <c r="K108" s="483">
        <f t="shared" si="17"/>
        <v>3094.2068273492559</v>
      </c>
      <c r="L108" s="483">
        <f t="shared" si="17"/>
        <v>194.16520827272728</v>
      </c>
      <c r="M108" s="483">
        <f t="shared" si="17"/>
        <v>115.06689133471075</v>
      </c>
      <c r="N108" s="483">
        <f t="shared" si="17"/>
        <v>0</v>
      </c>
      <c r="O108" s="483">
        <f t="shared" si="17"/>
        <v>0</v>
      </c>
      <c r="P108" s="484">
        <f t="shared" si="17"/>
        <v>0</v>
      </c>
      <c r="Q108" s="129"/>
      <c r="R108" s="129"/>
    </row>
    <row r="109" spans="2:18" ht="15">
      <c r="B109" s="301"/>
      <c r="C109" s="332"/>
      <c r="D109" s="225"/>
      <c r="E109" s="490"/>
      <c r="F109" s="490"/>
      <c r="G109" s="490"/>
      <c r="H109" s="490"/>
      <c r="I109" s="490"/>
      <c r="J109" s="490"/>
      <c r="K109" s="490"/>
      <c r="L109" s="490"/>
      <c r="M109" s="490"/>
      <c r="N109" s="490"/>
      <c r="O109" s="490"/>
      <c r="P109" s="491"/>
      <c r="Q109" s="129"/>
      <c r="R109" s="129"/>
    </row>
    <row r="110" spans="2:18" ht="15">
      <c r="B110" s="301"/>
      <c r="C110" s="332"/>
      <c r="D110" s="225" t="s">
        <v>202</v>
      </c>
      <c r="E110" s="226"/>
      <c r="F110" s="226"/>
      <c r="G110" s="226"/>
      <c r="H110" s="226"/>
      <c r="I110" s="226"/>
      <c r="J110" s="226"/>
      <c r="K110" s="226"/>
      <c r="L110" s="226"/>
      <c r="M110" s="226"/>
      <c r="N110" s="226"/>
      <c r="O110" s="226"/>
      <c r="P110" s="476"/>
      <c r="Q110" s="129"/>
      <c r="R110" s="129"/>
    </row>
    <row r="111" spans="2:18" ht="14.25">
      <c r="B111" s="301"/>
      <c r="C111" s="332">
        <v>8</v>
      </c>
      <c r="D111" s="136" t="s">
        <v>203</v>
      </c>
      <c r="E111" s="499">
        <f>VLOOKUP($C111,'Irrigation Returns'!$B$719:$P$730,4)</f>
        <v>0</v>
      </c>
      <c r="F111" s="499">
        <f>VLOOKUP($C111,'Irrigation Returns'!$B$719:$P$730,5)</f>
        <v>0</v>
      </c>
      <c r="G111" s="499">
        <f>VLOOKUP($C111,'Irrigation Returns'!$B$719:$P$730,6)</f>
        <v>0</v>
      </c>
      <c r="H111" s="499">
        <f>VLOOKUP($C111,'Irrigation Returns'!$B$719:$P$730,7)</f>
        <v>0</v>
      </c>
      <c r="I111" s="499">
        <f>VLOOKUP($C111,'Irrigation Returns'!$B$719:$P$730,8)</f>
        <v>9273.3406059224562</v>
      </c>
      <c r="J111" s="499">
        <f>VLOOKUP($C111,'Irrigation Returns'!$B$719:$P$730,9)</f>
        <v>24447.881091454983</v>
      </c>
      <c r="K111" s="499">
        <f>VLOOKUP($C111,'Irrigation Returns'!$B$719:$P$730,10)</f>
        <v>13026.104041782093</v>
      </c>
      <c r="L111" s="499">
        <f>VLOOKUP($C111,'Irrigation Returns'!$B$719:$P$730,11)</f>
        <v>6826.2021200286235</v>
      </c>
      <c r="M111" s="499">
        <f>VLOOKUP($C111,'Irrigation Returns'!$B$719:$P$730,12)</f>
        <v>2894.4590275824567</v>
      </c>
      <c r="N111" s="499">
        <f>VLOOKUP($C111,'Irrigation Returns'!$B$719:$P$730,13)</f>
        <v>793.69153309042451</v>
      </c>
      <c r="O111" s="499">
        <f>VLOOKUP($C111,'Irrigation Returns'!$B$719:$P$730,14)</f>
        <v>242.9946215955799</v>
      </c>
      <c r="P111" s="500">
        <f>VLOOKUP($C111,'Irrigation Returns'!$B$719:$P$730,15)</f>
        <v>39.263741696918188</v>
      </c>
      <c r="Q111" s="129"/>
      <c r="R111" s="129"/>
    </row>
    <row r="112" spans="2:18" ht="15">
      <c r="B112" s="301"/>
      <c r="C112" s="332"/>
      <c r="D112" s="225" t="s">
        <v>204</v>
      </c>
      <c r="E112" s="483">
        <f t="shared" ref="E112:P112" si="18">SUM(E111:E111)</f>
        <v>0</v>
      </c>
      <c r="F112" s="483">
        <f t="shared" si="18"/>
        <v>0</v>
      </c>
      <c r="G112" s="483">
        <f t="shared" si="18"/>
        <v>0</v>
      </c>
      <c r="H112" s="483">
        <f t="shared" si="18"/>
        <v>0</v>
      </c>
      <c r="I112" s="483">
        <f t="shared" si="18"/>
        <v>9273.3406059224562</v>
      </c>
      <c r="J112" s="483">
        <f t="shared" si="18"/>
        <v>24447.881091454983</v>
      </c>
      <c r="K112" s="483">
        <f t="shared" si="18"/>
        <v>13026.104041782093</v>
      </c>
      <c r="L112" s="483">
        <f t="shared" si="18"/>
        <v>6826.2021200286235</v>
      </c>
      <c r="M112" s="483">
        <f t="shared" si="18"/>
        <v>2894.4590275824567</v>
      </c>
      <c r="N112" s="483">
        <f t="shared" si="18"/>
        <v>793.69153309042451</v>
      </c>
      <c r="O112" s="483">
        <f t="shared" si="18"/>
        <v>242.9946215955799</v>
      </c>
      <c r="P112" s="484">
        <f t="shared" si="18"/>
        <v>39.263741696918188</v>
      </c>
    </row>
    <row r="113" spans="2:16" ht="15">
      <c r="B113" s="301"/>
      <c r="C113" s="226"/>
      <c r="D113" s="225"/>
      <c r="E113" s="483"/>
      <c r="F113" s="483"/>
      <c r="G113" s="483"/>
      <c r="H113" s="483"/>
      <c r="I113" s="483"/>
      <c r="J113" s="483"/>
      <c r="K113" s="483"/>
      <c r="L113" s="483"/>
      <c r="M113" s="483"/>
      <c r="N113" s="483"/>
      <c r="O113" s="483"/>
      <c r="P113" s="484"/>
    </row>
    <row r="114" spans="2:16" ht="15" thickBot="1">
      <c r="B114" s="301"/>
      <c r="C114" s="226"/>
      <c r="D114" s="136"/>
      <c r="E114" s="399"/>
      <c r="F114" s="399"/>
      <c r="G114" s="399"/>
      <c r="H114" s="399"/>
      <c r="I114" s="399"/>
      <c r="J114" s="399"/>
      <c r="K114" s="399"/>
      <c r="L114" s="399"/>
      <c r="M114" s="399"/>
      <c r="N114" s="399"/>
      <c r="O114" s="399"/>
      <c r="P114" s="496"/>
    </row>
    <row r="115" spans="2:16" ht="15" thickBot="1">
      <c r="B115" s="306" t="s">
        <v>515</v>
      </c>
      <c r="C115" s="310" t="s">
        <v>26</v>
      </c>
      <c r="D115" s="309" t="s">
        <v>205</v>
      </c>
      <c r="E115" s="497">
        <f t="shared" ref="E115:P115" si="19">+E104+E108-E112</f>
        <v>-432.72168925619803</v>
      </c>
      <c r="F115" s="497">
        <f t="shared" si="19"/>
        <v>-200.66197355371867</v>
      </c>
      <c r="G115" s="497">
        <f t="shared" si="19"/>
        <v>-97.584327272727023</v>
      </c>
      <c r="H115" s="497">
        <f t="shared" si="19"/>
        <v>-469.74841735537211</v>
      </c>
      <c r="I115" s="497">
        <f t="shared" si="19"/>
        <v>-10061.486924194844</v>
      </c>
      <c r="J115" s="497">
        <f t="shared" si="19"/>
        <v>-19741.715781949457</v>
      </c>
      <c r="K115" s="497">
        <f t="shared" si="19"/>
        <v>-10032.731785507216</v>
      </c>
      <c r="L115" s="497">
        <f t="shared" si="19"/>
        <v>-6336.6391415079624</v>
      </c>
      <c r="M115" s="497">
        <f t="shared" si="19"/>
        <v>-2313.3830618675806</v>
      </c>
      <c r="N115" s="497">
        <f t="shared" si="19"/>
        <v>-1065.9226678011678</v>
      </c>
      <c r="O115" s="497">
        <f t="shared" si="19"/>
        <v>-379.86750176086889</v>
      </c>
      <c r="P115" s="498">
        <f t="shared" si="19"/>
        <v>-358.66505905228968</v>
      </c>
    </row>
    <row r="116" spans="2:16" ht="13.5" thickBot="1"/>
    <row r="117" spans="2:16" ht="15">
      <c r="B117" s="307"/>
      <c r="C117" s="308"/>
      <c r="D117" s="308"/>
      <c r="E117" s="488" t="s">
        <v>0</v>
      </c>
      <c r="F117" s="488" t="s">
        <v>1</v>
      </c>
      <c r="G117" s="488" t="s">
        <v>2</v>
      </c>
      <c r="H117" s="488" t="s">
        <v>3</v>
      </c>
      <c r="I117" s="488" t="s">
        <v>4</v>
      </c>
      <c r="J117" s="488" t="s">
        <v>5</v>
      </c>
      <c r="K117" s="488" t="s">
        <v>6</v>
      </c>
      <c r="L117" s="488" t="s">
        <v>7</v>
      </c>
      <c r="M117" s="488" t="s">
        <v>8</v>
      </c>
      <c r="N117" s="488" t="s">
        <v>9</v>
      </c>
      <c r="O117" s="488" t="s">
        <v>10</v>
      </c>
      <c r="P117" s="489" t="s">
        <v>11</v>
      </c>
    </row>
    <row r="118" spans="2:16" ht="15">
      <c r="B118" s="301"/>
      <c r="C118" s="136"/>
      <c r="D118" s="136"/>
      <c r="E118" s="481"/>
      <c r="F118" s="481"/>
      <c r="G118" s="481"/>
      <c r="H118" s="481"/>
      <c r="I118" s="481"/>
      <c r="J118" s="481"/>
      <c r="K118" s="481"/>
      <c r="L118" s="481"/>
      <c r="M118" s="481"/>
      <c r="N118" s="481"/>
      <c r="O118" s="481"/>
      <c r="P118" s="482"/>
    </row>
    <row r="119" spans="2:16" ht="14.25">
      <c r="B119" s="301" t="s">
        <v>246</v>
      </c>
      <c r="C119" s="136" t="s">
        <v>123</v>
      </c>
      <c r="D119" s="219" t="str">
        <f>VLOOKUP(C119,NodeList!$D$4:$E$121,2,FALSE)</f>
        <v>USGS 10028500:  Bear R. bel Pixley Dam, near Cokeville, WY</v>
      </c>
      <c r="E119" s="226">
        <f>VLOOKUP($C119,'USGS Gages'!$B$6:$P$18,4,FALSE)</f>
        <v>1077.838419834711</v>
      </c>
      <c r="F119" s="226">
        <f>VLOOKUP($C119,'USGS Gages'!$B$6:$P$18,5,FALSE)</f>
        <v>841.1306429752068</v>
      </c>
      <c r="G119" s="226">
        <f>VLOOKUP($C119,'USGS Gages'!$B$6:$P$18,6,FALSE)</f>
        <v>3059.1208727272733</v>
      </c>
      <c r="H119" s="226">
        <f>VLOOKUP($C119,'USGS Gages'!$B$6:$P$18,7,FALSE)</f>
        <v>2110.315479338843</v>
      </c>
      <c r="I119" s="226">
        <f>VLOOKUP($C119,'USGS Gages'!$B$6:$P$18,8,FALSE)</f>
        <v>238.03388429752064</v>
      </c>
      <c r="J119" s="226">
        <f>VLOOKUP($C119,'USGS Gages'!$B$6:$P$18,9,FALSE)</f>
        <v>1173.4214876033056</v>
      </c>
      <c r="K119" s="226">
        <f>VLOOKUP($C119,'USGS Gages'!$B$6:$P$18,10,FALSE)</f>
        <v>2401.9363636363637</v>
      </c>
      <c r="L119" s="226">
        <f>VLOOKUP($C119,'USGS Gages'!$B$6:$P$18,11,FALSE)</f>
        <v>1007.3129752066116</v>
      </c>
      <c r="M119" s="226">
        <f>VLOOKUP($C119,'USGS Gages'!$B$6:$P$18,12,FALSE)</f>
        <v>751.93140495867783</v>
      </c>
      <c r="N119" s="226">
        <f>VLOOKUP($C119,'USGS Gages'!$B$6:$P$18,13,FALSE)</f>
        <v>1356.409511570248</v>
      </c>
      <c r="O119" s="226">
        <f>VLOOKUP($C119,'USGS Gages'!$B$6:$P$18,14,FALSE)</f>
        <v>1745.4249586776862</v>
      </c>
      <c r="P119" s="476">
        <f>VLOOKUP($C119,'USGS Gages'!$B$6:$P$18,15,FALSE)</f>
        <v>1407.4107438016533</v>
      </c>
    </row>
    <row r="120" spans="2:16" ht="14.25">
      <c r="B120" s="301" t="s">
        <v>246</v>
      </c>
      <c r="C120" s="136" t="s">
        <v>147</v>
      </c>
      <c r="D120" s="219" t="str">
        <f>VLOOKUP(C120,NodeList!$D$4:$E$121,2,FALSE)</f>
        <v>USGS 10032000:  Smiths Fork nr Border,WY</v>
      </c>
      <c r="E120" s="226">
        <f>VLOOKUP($C120,'USGS Gages'!$B$6:$P$18,4,FALSE)</f>
        <v>3351.0743801652893</v>
      </c>
      <c r="F120" s="226">
        <f>VLOOKUP($C120,'USGS Gages'!$B$6:$P$18,5,FALSE)</f>
        <v>2981.8512396694214</v>
      </c>
      <c r="G120" s="226">
        <f>VLOOKUP($C120,'USGS Gages'!$B$6:$P$18,6,FALSE)</f>
        <v>3702.3223140495866</v>
      </c>
      <c r="H120" s="226">
        <f>VLOOKUP($C120,'USGS Gages'!$B$6:$P$18,7,FALSE)</f>
        <v>7379.2561983471069</v>
      </c>
      <c r="I120" s="226">
        <f>VLOOKUP($C120,'USGS Gages'!$B$6:$P$18,8,FALSE)</f>
        <v>15723.917355371901</v>
      </c>
      <c r="J120" s="226">
        <f>VLOOKUP($C120,'USGS Gages'!$B$6:$P$18,9,FALSE)</f>
        <v>13200.991735537193</v>
      </c>
      <c r="K120" s="226">
        <f>VLOOKUP($C120,'USGS Gages'!$B$6:$P$18,10,FALSE)</f>
        <v>7004.9752066115707</v>
      </c>
      <c r="L120" s="226">
        <f>VLOOKUP($C120,'USGS Gages'!$B$6:$P$18,11,FALSE)</f>
        <v>5029.6859504132226</v>
      </c>
      <c r="M120" s="226">
        <f>VLOOKUP($C120,'USGS Gages'!$B$6:$P$18,12,FALSE)</f>
        <v>4132.5619834710742</v>
      </c>
      <c r="N120" s="226">
        <f>VLOOKUP($C120,'USGS Gages'!$B$6:$P$18,13,FALSE)</f>
        <v>5037.3719008264461</v>
      </c>
      <c r="O120" s="226">
        <f>VLOOKUP($C120,'USGS Gages'!$B$6:$P$18,14,FALSE)</f>
        <v>4132.5619834710742</v>
      </c>
      <c r="P120" s="476">
        <f>VLOOKUP($C120,'USGS Gages'!$B$6:$P$18,15,FALSE)</f>
        <v>3663.1239669421484</v>
      </c>
    </row>
    <row r="121" spans="2:16" ht="14.25">
      <c r="B121" s="301" t="s">
        <v>247</v>
      </c>
      <c r="C121" s="136" t="s">
        <v>124</v>
      </c>
      <c r="D121" s="219" t="str">
        <f>VLOOKUP(C121,NodeList!$D$4:$E$121,2,FALSE)</f>
        <v>USGS 10038000:  Bear R. bel Smiths Fork, nr Cokeville, WY</v>
      </c>
      <c r="E121" s="226">
        <f>VLOOKUP($C121,'USGS Gages'!$B$6:$P$18,4,FALSE)</f>
        <v>7469.2066115702482</v>
      </c>
      <c r="F121" s="226">
        <f>VLOOKUP($C121,'USGS Gages'!$B$6:$P$18,5,FALSE)</f>
        <v>6631.5619834710742</v>
      </c>
      <c r="G121" s="226">
        <f>VLOOKUP($C121,'USGS Gages'!$B$6:$P$18,6,FALSE)</f>
        <v>11350.611570247933</v>
      </c>
      <c r="H121" s="226">
        <f>VLOOKUP($C121,'USGS Gages'!$B$6:$P$18,7,FALSE)</f>
        <v>10784.380165289256</v>
      </c>
      <c r="I121" s="226">
        <f>VLOOKUP($C121,'USGS Gages'!$B$6:$P$18,8,FALSE)</f>
        <v>14799.297520661157</v>
      </c>
      <c r="J121" s="226">
        <f>VLOOKUP($C121,'USGS Gages'!$B$6:$P$18,9,FALSE)</f>
        <v>15874.958677685951</v>
      </c>
      <c r="K121" s="226">
        <f>VLOOKUP($C121,'USGS Gages'!$B$6:$P$18,10,FALSE)</f>
        <v>10024.016528925618</v>
      </c>
      <c r="L121" s="226">
        <f>VLOOKUP($C121,'USGS Gages'!$B$6:$P$18,11,FALSE)</f>
        <v>6432.3719008264452</v>
      </c>
      <c r="M121" s="226">
        <f>VLOOKUP($C121,'USGS Gages'!$B$6:$P$18,12,FALSE)</f>
        <v>5193.9669421487606</v>
      </c>
      <c r="N121" s="226">
        <f>VLOOKUP($C121,'USGS Gages'!$B$6:$P$18,13,FALSE)</f>
        <v>8409.1983471074382</v>
      </c>
      <c r="O121" s="226">
        <f>VLOOKUP($C121,'USGS Gages'!$B$6:$P$18,14,FALSE)</f>
        <v>9006.6942148760318</v>
      </c>
      <c r="P121" s="476">
        <f>VLOOKUP($C121,'USGS Gages'!$B$6:$P$18,15,FALSE)</f>
        <v>8029.5123966942165</v>
      </c>
    </row>
    <row r="122" spans="2:16" ht="14.25">
      <c r="B122" s="301"/>
      <c r="C122" s="136"/>
      <c r="D122" s="219"/>
      <c r="E122" s="226"/>
      <c r="F122" s="226"/>
      <c r="G122" s="226"/>
      <c r="H122" s="226"/>
      <c r="I122" s="226"/>
      <c r="J122" s="226"/>
      <c r="K122" s="226"/>
      <c r="L122" s="226"/>
      <c r="M122" s="226"/>
      <c r="N122" s="226"/>
      <c r="O122" s="226"/>
      <c r="P122" s="476"/>
    </row>
    <row r="123" spans="2:16" ht="15">
      <c r="B123" s="301"/>
      <c r="C123" s="136"/>
      <c r="D123" s="225" t="s">
        <v>194</v>
      </c>
      <c r="E123" s="483">
        <f>+E121-E120-E119</f>
        <v>3040.2938115702482</v>
      </c>
      <c r="F123" s="483">
        <f t="shared" ref="F123:P123" si="20">+F121-F120-F119</f>
        <v>2808.5801008264461</v>
      </c>
      <c r="G123" s="483">
        <f t="shared" si="20"/>
        <v>4589.168383471073</v>
      </c>
      <c r="H123" s="483">
        <f t="shared" si="20"/>
        <v>1294.8084876033063</v>
      </c>
      <c r="I123" s="483">
        <f t="shared" si="20"/>
        <v>-1162.6537190082645</v>
      </c>
      <c r="J123" s="483">
        <f t="shared" si="20"/>
        <v>1500.5454545454522</v>
      </c>
      <c r="K123" s="483">
        <f t="shared" si="20"/>
        <v>617.10495867768395</v>
      </c>
      <c r="L123" s="483">
        <f t="shared" si="20"/>
        <v>395.37297520661104</v>
      </c>
      <c r="M123" s="483">
        <f t="shared" si="20"/>
        <v>309.47355371900858</v>
      </c>
      <c r="N123" s="483">
        <f t="shared" si="20"/>
        <v>2015.416934710744</v>
      </c>
      <c r="O123" s="483">
        <f t="shared" si="20"/>
        <v>3128.7072727272716</v>
      </c>
      <c r="P123" s="484">
        <f t="shared" si="20"/>
        <v>2958.9776859504145</v>
      </c>
    </row>
    <row r="124" spans="2:16" ht="14.25">
      <c r="B124" s="301"/>
      <c r="C124" s="136"/>
      <c r="D124" s="136"/>
      <c r="E124" s="226"/>
      <c r="F124" s="226"/>
      <c r="G124" s="226"/>
      <c r="H124" s="226"/>
      <c r="I124" s="226"/>
      <c r="J124" s="226"/>
      <c r="K124" s="226"/>
      <c r="L124" s="226"/>
      <c r="M124" s="226"/>
      <c r="N124" s="226"/>
      <c r="O124" s="226"/>
      <c r="P124" s="476"/>
    </row>
    <row r="125" spans="2:16" ht="15">
      <c r="B125" s="301"/>
      <c r="C125" s="225" t="s">
        <v>80</v>
      </c>
      <c r="D125" s="225" t="s">
        <v>195</v>
      </c>
      <c r="E125" s="226"/>
      <c r="F125" s="226"/>
      <c r="G125" s="226"/>
      <c r="H125" s="226"/>
      <c r="I125" s="226"/>
      <c r="J125" s="226"/>
      <c r="K125" s="226"/>
      <c r="L125" s="226"/>
      <c r="M125" s="226"/>
      <c r="N125" s="226"/>
      <c r="O125" s="226"/>
      <c r="P125" s="476"/>
    </row>
    <row r="126" spans="2:16" ht="14.25">
      <c r="B126" s="301"/>
      <c r="C126" s="332">
        <v>9</v>
      </c>
      <c r="D126" s="136" t="s">
        <v>196</v>
      </c>
      <c r="E126" s="226">
        <f>VLOOKUP($C126,'Diversion Data'!$B$83:$O$94,3,FALSE)</f>
        <v>0</v>
      </c>
      <c r="F126" s="226">
        <f>VLOOKUP($C126,'Diversion Data'!$B$83:$O$94,4,FALSE)</f>
        <v>0</v>
      </c>
      <c r="G126" s="226">
        <f>VLOOKUP($C126,'Diversion Data'!$B$83:$O$94,5,FALSE)</f>
        <v>0</v>
      </c>
      <c r="H126" s="226">
        <f>VLOOKUP($C126,'Diversion Data'!$B$83:$O$94,6,FALSE)</f>
        <v>0</v>
      </c>
      <c r="I126" s="226">
        <f>VLOOKUP($C126,'Diversion Data'!$B$83:$O$94,7,FALSE)</f>
        <v>691.02375000000006</v>
      </c>
      <c r="J126" s="226">
        <f>VLOOKUP($C126,'Diversion Data'!$B$83:$O$94,8,FALSE)</f>
        <v>2031.52</v>
      </c>
      <c r="K126" s="226">
        <f>VLOOKUP($C126,'Diversion Data'!$B$83:$O$94,9,FALSE)</f>
        <v>2453.8799999999997</v>
      </c>
      <c r="L126" s="226">
        <f>VLOOKUP($C126,'Diversion Data'!$B$83:$O$94,10,FALSE)</f>
        <v>1075.8462500000001</v>
      </c>
      <c r="M126" s="226">
        <f>VLOOKUP($C126,'Diversion Data'!$B$83:$O$94,11,FALSE)</f>
        <v>347.375</v>
      </c>
      <c r="N126" s="226">
        <f>VLOOKUP($C126,'Diversion Data'!$B$83:$O$94,12,FALSE)</f>
        <v>0</v>
      </c>
      <c r="O126" s="226">
        <f>VLOOKUP($C126,'Diversion Data'!$B$83:$O$94,13,FALSE)</f>
        <v>0</v>
      </c>
      <c r="P126" s="476">
        <f>VLOOKUP($C126,'Diversion Data'!$B$83:$O$94,14,FALSE)</f>
        <v>0</v>
      </c>
    </row>
    <row r="127" spans="2:16" ht="14.25">
      <c r="B127" s="301"/>
      <c r="C127" s="332">
        <v>10</v>
      </c>
      <c r="D127" s="136" t="s">
        <v>196</v>
      </c>
      <c r="E127" s="226">
        <f>VLOOKUP($C127,'Diversion Data'!$B$83:$O$94,3,FALSE)-'Diversion Data'!D24</f>
        <v>0</v>
      </c>
      <c r="F127" s="226">
        <f>VLOOKUP($C127,'Diversion Data'!$B$83:$O$94,4,FALSE)-'Diversion Data'!E24</f>
        <v>0</v>
      </c>
      <c r="G127" s="226">
        <f>VLOOKUP($C127,'Diversion Data'!$B$83:$O$94,5,FALSE)-'Diversion Data'!F24</f>
        <v>0</v>
      </c>
      <c r="H127" s="226">
        <f>VLOOKUP($C127,'Diversion Data'!$B$83:$O$94,6,FALSE)-'Diversion Data'!G24</f>
        <v>0</v>
      </c>
      <c r="I127" s="226">
        <f>VLOOKUP($C127,'Diversion Data'!$B$83:$O$94,7,FALSE)-'Diversion Data'!H24</f>
        <v>5891.786115702479</v>
      </c>
      <c r="J127" s="226">
        <f>VLOOKUP($C127,'Diversion Data'!$B$83:$O$94,8,FALSE)-'Diversion Data'!I24</f>
        <v>9357.1158367768585</v>
      </c>
      <c r="K127" s="226">
        <f>VLOOKUP($C127,'Diversion Data'!$B$83:$O$94,9,FALSE)-'Diversion Data'!J24</f>
        <v>6663.0155475206602</v>
      </c>
      <c r="L127" s="226">
        <f>VLOOKUP($C127,'Diversion Data'!$B$83:$O$94,10,FALSE)-'Diversion Data'!K24</f>
        <v>3200.3385020661153</v>
      </c>
      <c r="M127" s="226">
        <f>VLOOKUP($C127,'Diversion Data'!$B$83:$O$94,11,FALSE)-'Diversion Data'!L24</f>
        <v>1709.287747933884</v>
      </c>
      <c r="N127" s="226">
        <f>VLOOKUP($C127,'Diversion Data'!$B$83:$O$94,12,FALSE)-'Diversion Data'!M24</f>
        <v>0</v>
      </c>
      <c r="O127" s="226">
        <f>VLOOKUP($C127,'Diversion Data'!$B$83:$O$94,13,FALSE)-'Diversion Data'!N24</f>
        <v>0</v>
      </c>
      <c r="P127" s="476">
        <f>VLOOKUP($C127,'Diversion Data'!$B$83:$O$94,14,FALSE)-'Diversion Data'!O24</f>
        <v>0</v>
      </c>
    </row>
    <row r="128" spans="2:16" ht="15">
      <c r="B128" s="301"/>
      <c r="C128" s="332"/>
      <c r="D128" s="225" t="s">
        <v>197</v>
      </c>
      <c r="E128" s="483">
        <f>SUM(E126:E127)</f>
        <v>0</v>
      </c>
      <c r="F128" s="483">
        <f t="shared" ref="F128:P128" si="21">SUM(F126:F127)</f>
        <v>0</v>
      </c>
      <c r="G128" s="483">
        <f t="shared" si="21"/>
        <v>0</v>
      </c>
      <c r="H128" s="483">
        <f t="shared" si="21"/>
        <v>0</v>
      </c>
      <c r="I128" s="483">
        <f>SUM(I126:I127)</f>
        <v>6582.8098657024793</v>
      </c>
      <c r="J128" s="483">
        <f t="shared" si="21"/>
        <v>11388.635836776859</v>
      </c>
      <c r="K128" s="483">
        <f t="shared" si="21"/>
        <v>9116.8955475206603</v>
      </c>
      <c r="L128" s="483">
        <f t="shared" si="21"/>
        <v>4276.1847520661158</v>
      </c>
      <c r="M128" s="483">
        <f t="shared" si="21"/>
        <v>2056.662747933884</v>
      </c>
      <c r="N128" s="483">
        <f t="shared" si="21"/>
        <v>0</v>
      </c>
      <c r="O128" s="483">
        <f t="shared" si="21"/>
        <v>0</v>
      </c>
      <c r="P128" s="484">
        <f t="shared" si="21"/>
        <v>0</v>
      </c>
    </row>
    <row r="129" spans="2:16" ht="15">
      <c r="B129" s="301"/>
      <c r="C129" s="332"/>
      <c r="D129" s="225"/>
      <c r="E129" s="490"/>
      <c r="F129" s="490"/>
      <c r="G129" s="490"/>
      <c r="H129" s="490"/>
      <c r="I129" s="490"/>
      <c r="J129" s="490"/>
      <c r="K129" s="490"/>
      <c r="L129" s="490"/>
      <c r="M129" s="490"/>
      <c r="N129" s="490"/>
      <c r="O129" s="490"/>
      <c r="P129" s="491"/>
    </row>
    <row r="130" spans="2:16" ht="15">
      <c r="B130" s="301"/>
      <c r="C130" s="332"/>
      <c r="D130" s="225" t="s">
        <v>202</v>
      </c>
      <c r="E130" s="226"/>
      <c r="F130" s="226"/>
      <c r="G130" s="226"/>
      <c r="H130" s="226"/>
      <c r="I130" s="226"/>
      <c r="J130" s="226"/>
      <c r="K130" s="226"/>
      <c r="L130" s="226"/>
      <c r="M130" s="226"/>
      <c r="N130" s="226"/>
      <c r="O130" s="226"/>
      <c r="P130" s="476"/>
    </row>
    <row r="131" spans="2:16" ht="14.25">
      <c r="B131" s="301"/>
      <c r="C131" s="332">
        <v>9</v>
      </c>
      <c r="D131" s="136" t="s">
        <v>203</v>
      </c>
      <c r="E131" s="226">
        <f>VLOOKUP($C131,'Irrigation Returns'!$B$719:$P$730,4,FALSE)</f>
        <v>0</v>
      </c>
      <c r="F131" s="226">
        <f>VLOOKUP($C131,'Irrigation Returns'!$B$719:$P$730,5,FALSE)</f>
        <v>0</v>
      </c>
      <c r="G131" s="226">
        <f>VLOOKUP($C131,'Irrigation Returns'!$B$719:$P$730,6,FALSE)</f>
        <v>0</v>
      </c>
      <c r="H131" s="226">
        <f>VLOOKUP($C131,'Irrigation Returns'!$B$719:$P$730,7,FALSE)</f>
        <v>0</v>
      </c>
      <c r="I131" s="226">
        <f>VLOOKUP($C131,'Irrigation Returns'!$B$719:$P$730,8,FALSE)</f>
        <v>1161.4531978019772</v>
      </c>
      <c r="J131" s="226">
        <f>VLOOKUP($C131,'Irrigation Returns'!$B$719:$P$730,9,FALSE)</f>
        <v>3625.7764693524132</v>
      </c>
      <c r="K131" s="226">
        <f>VLOOKUP($C131,'Irrigation Returns'!$B$719:$P$730,10,FALSE)</f>
        <v>3551.0176316540865</v>
      </c>
      <c r="L131" s="226">
        <f>VLOOKUP($C131,'Irrigation Returns'!$B$719:$P$730,11,FALSE)</f>
        <v>2048.0654095048021</v>
      </c>
      <c r="M131" s="226">
        <f>VLOOKUP($C131,'Irrigation Returns'!$B$719:$P$730,12,FALSE)</f>
        <v>904.71036749059704</v>
      </c>
      <c r="N131" s="226">
        <f>VLOOKUP($C131,'Irrigation Returns'!$B$719:$P$730,13,FALSE)</f>
        <v>212.56486634431818</v>
      </c>
      <c r="O131" s="226">
        <f>VLOOKUP($C131,'Irrigation Returns'!$B$719:$P$730,14,FALSE)</f>
        <v>43.4805869294091</v>
      </c>
      <c r="P131" s="476">
        <f>VLOOKUP($C131,'Irrigation Returns'!$B$719:$P$730,15,FALSE)</f>
        <v>0</v>
      </c>
    </row>
    <row r="132" spans="2:16" ht="14.25">
      <c r="B132" s="301"/>
      <c r="C132" s="332">
        <v>10</v>
      </c>
      <c r="D132" s="136" t="s">
        <v>203</v>
      </c>
      <c r="E132" s="226">
        <f>VLOOKUP($C132,'Irrigation Returns'!$B$719:$P$730,4,FALSE)</f>
        <v>0</v>
      </c>
      <c r="F132" s="226">
        <f>VLOOKUP($C132,'Irrigation Returns'!$B$719:$P$730,5,FALSE)</f>
        <v>0</v>
      </c>
      <c r="G132" s="226">
        <f>VLOOKUP($C132,'Irrigation Returns'!$B$719:$P$730,6,FALSE)</f>
        <v>0</v>
      </c>
      <c r="H132" s="226">
        <f>VLOOKUP($C132,'Irrigation Returns'!$B$719:$P$730,7,FALSE)</f>
        <v>0</v>
      </c>
      <c r="I132" s="226">
        <f>VLOOKUP($C132,'Irrigation Returns'!$B$719:$P$730,8,FALSE)</f>
        <v>571.91281298553713</v>
      </c>
      <c r="J132" s="226">
        <f>VLOOKUP($C132,'Irrigation Returns'!$B$719:$P$730,9,FALSE)</f>
        <v>1092.5969092510331</v>
      </c>
      <c r="K132" s="226">
        <f>VLOOKUP($C132,'Irrigation Returns'!$B$719:$P$730,10,FALSE)</f>
        <v>1005.0786379648761</v>
      </c>
      <c r="L132" s="226">
        <f>VLOOKUP($C132,'Irrigation Returns'!$B$719:$P$730,11,FALSE)</f>
        <v>767.08227038739676</v>
      </c>
      <c r="M132" s="226">
        <f>VLOOKUP($C132,'Irrigation Returns'!$B$719:$P$730,12,FALSE)</f>
        <v>547.53957888946275</v>
      </c>
      <c r="N132" s="226">
        <f>VLOOKUP($C132,'Irrigation Returns'!$B$719:$P$730,13,FALSE)</f>
        <v>243.89919541322314</v>
      </c>
      <c r="O132" s="226">
        <f>VLOOKUP($C132,'Irrigation Returns'!$B$719:$P$730,14,FALSE)</f>
        <v>110.25846491219008</v>
      </c>
      <c r="P132" s="476">
        <f>VLOOKUP($C132,'Irrigation Returns'!$B$719:$P$730,15,FALSE)</f>
        <v>40.039714907024788</v>
      </c>
    </row>
    <row r="133" spans="2:16" ht="15">
      <c r="B133" s="301"/>
      <c r="C133" s="332"/>
      <c r="D133" s="225" t="s">
        <v>204</v>
      </c>
      <c r="E133" s="483">
        <f>SUM(E131:E132)</f>
        <v>0</v>
      </c>
      <c r="F133" s="483">
        <f t="shared" ref="F133:P133" si="22">SUM(F131:F132)</f>
        <v>0</v>
      </c>
      <c r="G133" s="483">
        <f t="shared" si="22"/>
        <v>0</v>
      </c>
      <c r="H133" s="483">
        <f t="shared" si="22"/>
        <v>0</v>
      </c>
      <c r="I133" s="483">
        <f t="shared" si="22"/>
        <v>1733.3660107875144</v>
      </c>
      <c r="J133" s="483">
        <f t="shared" si="22"/>
        <v>4718.3733786034463</v>
      </c>
      <c r="K133" s="483">
        <f t="shared" si="22"/>
        <v>4556.0962696189627</v>
      </c>
      <c r="L133" s="483">
        <f t="shared" si="22"/>
        <v>2815.147679892199</v>
      </c>
      <c r="M133" s="483">
        <f t="shared" si="22"/>
        <v>1452.2499463800598</v>
      </c>
      <c r="N133" s="483">
        <f t="shared" si="22"/>
        <v>456.46406175754134</v>
      </c>
      <c r="O133" s="483">
        <f t="shared" si="22"/>
        <v>153.73905184159918</v>
      </c>
      <c r="P133" s="485">
        <f t="shared" si="22"/>
        <v>40.039714907024788</v>
      </c>
    </row>
    <row r="134" spans="2:16" ht="15">
      <c r="B134" s="301"/>
      <c r="C134" s="332"/>
      <c r="D134" s="225"/>
      <c r="E134" s="483"/>
      <c r="F134" s="483"/>
      <c r="G134" s="483"/>
      <c r="H134" s="483"/>
      <c r="I134" s="483"/>
      <c r="J134" s="483"/>
      <c r="K134" s="483"/>
      <c r="L134" s="483"/>
      <c r="M134" s="483"/>
      <c r="N134" s="483"/>
      <c r="O134" s="483"/>
      <c r="P134" s="484"/>
    </row>
    <row r="135" spans="2:16" ht="15" thickBot="1">
      <c r="B135" s="301"/>
      <c r="C135" s="226"/>
      <c r="D135" s="136"/>
      <c r="E135" s="399"/>
      <c r="F135" s="399"/>
      <c r="G135" s="399"/>
      <c r="H135" s="399"/>
      <c r="I135" s="399"/>
      <c r="J135" s="399"/>
      <c r="K135" s="399"/>
      <c r="L135" s="399"/>
      <c r="M135" s="399"/>
      <c r="N135" s="399"/>
      <c r="O135" s="399"/>
      <c r="P135" s="496"/>
    </row>
    <row r="136" spans="2:16" ht="15" thickBot="1">
      <c r="B136" s="306" t="s">
        <v>515</v>
      </c>
      <c r="C136" s="310" t="s">
        <v>365</v>
      </c>
      <c r="D136" s="309" t="s">
        <v>205</v>
      </c>
      <c r="E136" s="497">
        <f t="shared" ref="E136:P136" si="23">+E123+E128-E133</f>
        <v>3040.2938115702482</v>
      </c>
      <c r="F136" s="497">
        <f t="shared" si="23"/>
        <v>2808.5801008264461</v>
      </c>
      <c r="G136" s="497">
        <f t="shared" si="23"/>
        <v>4589.168383471073</v>
      </c>
      <c r="H136" s="497">
        <f t="shared" si="23"/>
        <v>1294.8084876033063</v>
      </c>
      <c r="I136" s="497">
        <f t="shared" si="23"/>
        <v>3686.7901359067005</v>
      </c>
      <c r="J136" s="497">
        <f t="shared" si="23"/>
        <v>8170.8079127188648</v>
      </c>
      <c r="K136" s="497">
        <f t="shared" si="23"/>
        <v>5177.9042365793821</v>
      </c>
      <c r="L136" s="497">
        <f t="shared" si="23"/>
        <v>1856.4100473805279</v>
      </c>
      <c r="M136" s="497">
        <f t="shared" si="23"/>
        <v>913.88635527283282</v>
      </c>
      <c r="N136" s="497">
        <f t="shared" si="23"/>
        <v>1558.9528729532026</v>
      </c>
      <c r="O136" s="497">
        <f t="shared" si="23"/>
        <v>2974.9682208856725</v>
      </c>
      <c r="P136" s="498">
        <f t="shared" si="23"/>
        <v>2918.9379710433896</v>
      </c>
    </row>
    <row r="137" spans="2:16" ht="14.25">
      <c r="B137" s="136"/>
      <c r="C137" s="124"/>
      <c r="D137" s="136"/>
      <c r="E137" s="226"/>
      <c r="F137" s="226"/>
      <c r="G137" s="226"/>
      <c r="H137" s="226"/>
      <c r="I137" s="226"/>
      <c r="J137" s="226"/>
      <c r="K137" s="226"/>
      <c r="L137" s="226"/>
      <c r="M137" s="226"/>
      <c r="N137" s="226"/>
      <c r="O137" s="226"/>
      <c r="P137" s="226"/>
    </row>
    <row r="138" spans="2:16" ht="14.25">
      <c r="B138" s="227"/>
      <c r="C138" s="227"/>
      <c r="D138" s="227"/>
    </row>
    <row r="139" spans="2:16" ht="13.5" thickBot="1"/>
    <row r="140" spans="2:16" ht="15">
      <c r="B140" s="307"/>
      <c r="C140" s="308"/>
      <c r="D140" s="308"/>
      <c r="E140" s="488" t="s">
        <v>0</v>
      </c>
      <c r="F140" s="488" t="s">
        <v>1</v>
      </c>
      <c r="G140" s="488" t="s">
        <v>2</v>
      </c>
      <c r="H140" s="488" t="s">
        <v>3</v>
      </c>
      <c r="I140" s="488" t="s">
        <v>4</v>
      </c>
      <c r="J140" s="488" t="s">
        <v>5</v>
      </c>
      <c r="K140" s="488" t="s">
        <v>6</v>
      </c>
      <c r="L140" s="488" t="s">
        <v>7</v>
      </c>
      <c r="M140" s="488" t="s">
        <v>8</v>
      </c>
      <c r="N140" s="488" t="s">
        <v>9</v>
      </c>
      <c r="O140" s="488" t="s">
        <v>10</v>
      </c>
      <c r="P140" s="489" t="s">
        <v>11</v>
      </c>
    </row>
    <row r="141" spans="2:16" ht="15">
      <c r="B141" s="301"/>
      <c r="C141" s="136"/>
      <c r="D141" s="136"/>
      <c r="E141" s="481"/>
      <c r="F141" s="481"/>
      <c r="G141" s="481"/>
      <c r="H141" s="481"/>
      <c r="I141" s="481"/>
      <c r="J141" s="481"/>
      <c r="K141" s="481"/>
      <c r="L141" s="481"/>
      <c r="M141" s="481"/>
      <c r="N141" s="481"/>
      <c r="O141" s="481"/>
      <c r="P141" s="482"/>
    </row>
    <row r="142" spans="2:16" ht="14.25">
      <c r="B142" s="301" t="s">
        <v>246</v>
      </c>
      <c r="C142" s="136" t="s">
        <v>124</v>
      </c>
      <c r="D142" s="219" t="str">
        <f>VLOOKUP(C142,NodeList!$D$4:$E$121,2,FALSE)</f>
        <v>USGS 10038000:  Bear R. bel Smiths Fork, nr Cokeville, WY</v>
      </c>
      <c r="E142" s="226">
        <f>VLOOKUP($C142,'USGS Gages'!$B$6:$P$18,4,FALSE)</f>
        <v>7469.2066115702482</v>
      </c>
      <c r="F142" s="226">
        <f>VLOOKUP($C142,'USGS Gages'!$B$6:$P$18,5,FALSE)</f>
        <v>6631.5619834710742</v>
      </c>
      <c r="G142" s="226">
        <f>VLOOKUP($C142,'USGS Gages'!$B$6:$P$18,6,FALSE)</f>
        <v>11350.611570247933</v>
      </c>
      <c r="H142" s="226">
        <f>VLOOKUP($C142,'USGS Gages'!$B$6:$P$18,7,FALSE)</f>
        <v>10784.380165289256</v>
      </c>
      <c r="I142" s="226">
        <f>VLOOKUP($C142,'USGS Gages'!$B$6:$P$18,8,FALSE)</f>
        <v>14799.297520661157</v>
      </c>
      <c r="J142" s="226">
        <f>VLOOKUP($C142,'USGS Gages'!$B$6:$P$18,9,FALSE)</f>
        <v>15874.958677685951</v>
      </c>
      <c r="K142" s="226">
        <f>VLOOKUP($C142,'USGS Gages'!$B$6:$P$18,10,FALSE)</f>
        <v>10024.016528925618</v>
      </c>
      <c r="L142" s="226">
        <f>VLOOKUP($C142,'USGS Gages'!$B$6:$P$18,11,FALSE)</f>
        <v>6432.3719008264452</v>
      </c>
      <c r="M142" s="226">
        <f>VLOOKUP($C142,'USGS Gages'!$B$6:$P$18,12,FALSE)</f>
        <v>5193.9669421487606</v>
      </c>
      <c r="N142" s="226">
        <f>VLOOKUP($C142,'USGS Gages'!$B$6:$P$18,13,FALSE)</f>
        <v>8409.1983471074382</v>
      </c>
      <c r="O142" s="226">
        <f>VLOOKUP($C142,'USGS Gages'!$B$6:$P$18,14,FALSE)</f>
        <v>9006.6942148760318</v>
      </c>
      <c r="P142" s="476">
        <f>VLOOKUP($C142,'USGS Gages'!$B$6:$P$18,15,FALSE)</f>
        <v>8029.5123966942165</v>
      </c>
    </row>
    <row r="143" spans="2:16" ht="14.25">
      <c r="B143" s="301" t="s">
        <v>247</v>
      </c>
      <c r="C143" s="136" t="s">
        <v>125</v>
      </c>
      <c r="D143" s="219" t="str">
        <f>VLOOKUP(C143,NodeList!$D$4:$E$121,2,FALSE)</f>
        <v>USGS 10039500:  Bear R. at Border, WY</v>
      </c>
      <c r="E143" s="226">
        <f>VLOOKUP($C143,'USGS Gages'!$B$6:$P$18,4,FALSE)</f>
        <v>7440.7685950413224</v>
      </c>
      <c r="F143" s="226">
        <f>VLOOKUP($C143,'USGS Gages'!$B$6:$P$18,5,FALSE)</f>
        <v>6473.9256198347121</v>
      </c>
      <c r="G143" s="226">
        <f>VLOOKUP($C143,'USGS Gages'!$B$6:$P$18,6,FALSE)</f>
        <v>11598.099173553717</v>
      </c>
      <c r="H143" s="226">
        <f>VLOOKUP($C143,'USGS Gages'!$B$6:$P$18,7,FALSE)</f>
        <v>10073.305785123968</v>
      </c>
      <c r="I143" s="226">
        <f>VLOOKUP($C143,'USGS Gages'!$B$6:$P$18,8,FALSE)</f>
        <v>11818.685950413224</v>
      </c>
      <c r="J143" s="226">
        <f>VLOOKUP($C143,'USGS Gages'!$B$6:$P$18,9,FALSE)</f>
        <v>12809.008264462809</v>
      </c>
      <c r="K143" s="226">
        <f>VLOOKUP($C143,'USGS Gages'!$B$6:$P$18,10,FALSE)</f>
        <v>8906.4793388429753</v>
      </c>
      <c r="L143" s="226">
        <f>VLOOKUP($C143,'USGS Gages'!$B$6:$P$18,11,FALSE)</f>
        <v>4673.0578512396696</v>
      </c>
      <c r="M143" s="226">
        <f>VLOOKUP($C143,'USGS Gages'!$B$6:$P$18,12,FALSE)</f>
        <v>3855.8677685950411</v>
      </c>
      <c r="N143" s="226">
        <f>VLOOKUP($C143,'USGS Gages'!$B$6:$P$18,13,FALSE)</f>
        <v>7626</v>
      </c>
      <c r="O143" s="226">
        <f>VLOOKUP($C143,'USGS Gages'!$B$6:$P$18,14,FALSE)</f>
        <v>8701.7355371900831</v>
      </c>
      <c r="P143" s="476">
        <f>VLOOKUP($C143,'USGS Gages'!$B$6:$P$18,15,FALSE)</f>
        <v>7959.5702479338852</v>
      </c>
    </row>
    <row r="144" spans="2:16" ht="15">
      <c r="B144" s="301"/>
      <c r="C144" s="136"/>
      <c r="D144" s="225" t="s">
        <v>194</v>
      </c>
      <c r="E144" s="483">
        <f>+E143-E142</f>
        <v>-28.4380165289258</v>
      </c>
      <c r="F144" s="483">
        <f t="shared" ref="F144:P144" si="24">+F143-F142</f>
        <v>-157.63636363636215</v>
      </c>
      <c r="G144" s="483">
        <f t="shared" si="24"/>
        <v>247.48760330578443</v>
      </c>
      <c r="H144" s="483">
        <f t="shared" si="24"/>
        <v>-711.07438016528795</v>
      </c>
      <c r="I144" s="483">
        <f t="shared" si="24"/>
        <v>-2980.6115702479328</v>
      </c>
      <c r="J144" s="483">
        <f t="shared" si="24"/>
        <v>-3065.9504132231414</v>
      </c>
      <c r="K144" s="483">
        <f t="shared" si="24"/>
        <v>-1117.5371900826431</v>
      </c>
      <c r="L144" s="483">
        <f t="shared" si="24"/>
        <v>-1759.3140495867756</v>
      </c>
      <c r="M144" s="483">
        <f t="shared" si="24"/>
        <v>-1338.0991735537195</v>
      </c>
      <c r="N144" s="483">
        <f t="shared" si="24"/>
        <v>-783.19834710743817</v>
      </c>
      <c r="O144" s="483">
        <f t="shared" si="24"/>
        <v>-304.95867768594871</v>
      </c>
      <c r="P144" s="484">
        <f t="shared" si="24"/>
        <v>-69.942148760331293</v>
      </c>
    </row>
    <row r="145" spans="2:16" ht="14.25">
      <c r="B145" s="301"/>
      <c r="C145" s="136"/>
      <c r="D145" s="136"/>
      <c r="E145" s="226"/>
      <c r="F145" s="226"/>
      <c r="G145" s="226"/>
      <c r="H145" s="226"/>
      <c r="I145" s="226"/>
      <c r="J145" s="226"/>
      <c r="K145" s="226"/>
      <c r="L145" s="226"/>
      <c r="M145" s="226"/>
      <c r="N145" s="226"/>
      <c r="O145" s="226"/>
      <c r="P145" s="476"/>
    </row>
    <row r="146" spans="2:16" ht="15">
      <c r="B146" s="301"/>
      <c r="C146" s="225" t="s">
        <v>80</v>
      </c>
      <c r="D146" s="225" t="s">
        <v>195</v>
      </c>
      <c r="E146" s="226"/>
      <c r="F146" s="226"/>
      <c r="G146" s="226"/>
      <c r="H146" s="226"/>
      <c r="I146" s="226"/>
      <c r="J146" s="226"/>
      <c r="K146" s="226"/>
      <c r="L146" s="226"/>
      <c r="M146" s="226"/>
      <c r="N146" s="226"/>
      <c r="O146" s="226"/>
      <c r="P146" s="476"/>
    </row>
    <row r="147" spans="2:16" ht="14.25">
      <c r="B147" s="301"/>
      <c r="C147" s="226">
        <v>11</v>
      </c>
      <c r="D147" s="136" t="s">
        <v>196</v>
      </c>
      <c r="E147" s="226">
        <f>VLOOKUP($C147,'Diversion Data'!$B$83:$O$94,3,FALSE)</f>
        <v>0</v>
      </c>
      <c r="F147" s="226">
        <f>VLOOKUP($C147,'Diversion Data'!$B$83:$O$94,4,FALSE)</f>
        <v>0</v>
      </c>
      <c r="G147" s="226">
        <f>VLOOKUP($C147,'Diversion Data'!$B$83:$O$94,5,FALSE)</f>
        <v>0</v>
      </c>
      <c r="H147" s="226">
        <f>VLOOKUP($C147,'Diversion Data'!$B$83:$O$94,6,FALSE)</f>
        <v>0</v>
      </c>
      <c r="I147" s="226">
        <f>VLOOKUP($C147,'Diversion Data'!$B$83:$O$94,7,FALSE)</f>
        <v>3809.4701652892563</v>
      </c>
      <c r="J147" s="226">
        <f>VLOOKUP($C147,'Diversion Data'!$B$83:$O$94,8,FALSE)</f>
        <v>5232.9466632231415</v>
      </c>
      <c r="K147" s="226">
        <f>VLOOKUP($C147,'Diversion Data'!$B$83:$O$94,9,FALSE)</f>
        <v>4568.5396384297528</v>
      </c>
      <c r="L147" s="226">
        <f>VLOOKUP($C147,'Diversion Data'!$B$83:$O$94,10,FALSE)</f>
        <v>3231.0407541322311</v>
      </c>
      <c r="M147" s="226">
        <f>VLOOKUP($C147,'Diversion Data'!$B$83:$O$94,11,FALSE)</f>
        <v>2065.9189566115701</v>
      </c>
      <c r="N147" s="226">
        <f>VLOOKUP($C147,'Diversion Data'!$B$83:$O$94,12,FALSE)</f>
        <v>0</v>
      </c>
      <c r="O147" s="226">
        <f>VLOOKUP($C147,'Diversion Data'!$B$83:$O$94,13,FALSE)</f>
        <v>0</v>
      </c>
      <c r="P147" s="476">
        <f>VLOOKUP($C147,'Diversion Data'!$B$83:$O$94,14,FALSE)</f>
        <v>0</v>
      </c>
    </row>
    <row r="148" spans="2:16" ht="14.25">
      <c r="B148" s="301"/>
      <c r="C148" s="226"/>
      <c r="D148" s="136"/>
      <c r="E148" s="226"/>
      <c r="F148" s="226"/>
      <c r="G148" s="226"/>
      <c r="H148" s="226"/>
      <c r="I148" s="226"/>
      <c r="J148" s="226"/>
      <c r="K148" s="226"/>
      <c r="L148" s="226"/>
      <c r="M148" s="226"/>
      <c r="N148" s="226"/>
      <c r="O148" s="226"/>
      <c r="P148" s="476"/>
    </row>
    <row r="149" spans="2:16" ht="15">
      <c r="B149" s="301"/>
      <c r="C149" s="332"/>
      <c r="D149" s="225" t="s">
        <v>197</v>
      </c>
      <c r="E149" s="483">
        <f t="shared" ref="E149:P149" si="25">SUM(E147:E148)</f>
        <v>0</v>
      </c>
      <c r="F149" s="483">
        <f t="shared" si="25"/>
        <v>0</v>
      </c>
      <c r="G149" s="483">
        <f t="shared" si="25"/>
        <v>0</v>
      </c>
      <c r="H149" s="483">
        <f t="shared" si="25"/>
        <v>0</v>
      </c>
      <c r="I149" s="483">
        <f t="shared" si="25"/>
        <v>3809.4701652892563</v>
      </c>
      <c r="J149" s="483">
        <f t="shared" si="25"/>
        <v>5232.9466632231415</v>
      </c>
      <c r="K149" s="483">
        <f t="shared" si="25"/>
        <v>4568.5396384297528</v>
      </c>
      <c r="L149" s="483">
        <f t="shared" si="25"/>
        <v>3231.0407541322311</v>
      </c>
      <c r="M149" s="483">
        <f t="shared" si="25"/>
        <v>2065.9189566115701</v>
      </c>
      <c r="N149" s="483">
        <f t="shared" si="25"/>
        <v>0</v>
      </c>
      <c r="O149" s="483">
        <f t="shared" si="25"/>
        <v>0</v>
      </c>
      <c r="P149" s="484">
        <f t="shared" si="25"/>
        <v>0</v>
      </c>
    </row>
    <row r="150" spans="2:16" ht="15">
      <c r="B150" s="301"/>
      <c r="C150" s="332"/>
      <c r="D150" s="225"/>
      <c r="E150" s="490"/>
      <c r="F150" s="490"/>
      <c r="G150" s="490"/>
      <c r="H150" s="490"/>
      <c r="I150" s="490"/>
      <c r="J150" s="490"/>
      <c r="K150" s="490"/>
      <c r="L150" s="490"/>
      <c r="M150" s="490"/>
      <c r="N150" s="490"/>
      <c r="O150" s="490"/>
      <c r="P150" s="491"/>
    </row>
    <row r="151" spans="2:16" ht="15">
      <c r="B151" s="301"/>
      <c r="C151" s="332"/>
      <c r="D151" s="225" t="s">
        <v>202</v>
      </c>
      <c r="E151" s="226"/>
      <c r="F151" s="226"/>
      <c r="G151" s="226"/>
      <c r="H151" s="226"/>
      <c r="I151" s="226"/>
      <c r="J151" s="226"/>
      <c r="K151" s="226"/>
      <c r="L151" s="226"/>
      <c r="M151" s="226"/>
      <c r="N151" s="226"/>
      <c r="O151" s="226"/>
      <c r="P151" s="476"/>
    </row>
    <row r="152" spans="2:16" ht="14.25">
      <c r="B152" s="301"/>
      <c r="C152" s="332">
        <v>11</v>
      </c>
      <c r="D152" s="136" t="s">
        <v>203</v>
      </c>
      <c r="E152" s="226">
        <f>VLOOKUP($C152,'Irrigation Returns'!$B$719:$P$730,3,FALSE)</f>
        <v>0</v>
      </c>
      <c r="F152" s="226">
        <f>VLOOKUP($C152,'Irrigation Returns'!$B$719:$P$730,5,FALSE)</f>
        <v>0</v>
      </c>
      <c r="G152" s="226">
        <f>VLOOKUP($C152,'Irrigation Returns'!$B$719:$P$730,6,FALSE)</f>
        <v>0</v>
      </c>
      <c r="H152" s="226">
        <f>VLOOKUP($C152,'Irrigation Returns'!$B$719:$P$730,7,FALSE)</f>
        <v>0</v>
      </c>
      <c r="I152" s="226">
        <f>VLOOKUP($C152,'Irrigation Returns'!$B$719:$P$730,8,FALSE)</f>
        <v>1796.2060416942147</v>
      </c>
      <c r="J152" s="226">
        <f>VLOOKUP($C152,'Irrigation Returns'!$B$719:$P$730,9,FALSE)</f>
        <v>3302.6691540185948</v>
      </c>
      <c r="K152" s="226">
        <f>VLOOKUP($C152,'Irrigation Returns'!$B$719:$P$730,10,FALSE)</f>
        <v>3339.3986725878099</v>
      </c>
      <c r="L152" s="226">
        <f>VLOOKUP($C152,'Irrigation Returns'!$B$719:$P$730,11,FALSE)</f>
        <v>2253.7450865599171</v>
      </c>
      <c r="M152" s="226">
        <f>VLOOKUP($C152,'Irrigation Returns'!$B$719:$P$730,12,FALSE)</f>
        <v>1230.3644771332645</v>
      </c>
      <c r="N152" s="226">
        <f>VLOOKUP($C152,'Irrigation Returns'!$B$719:$P$730,13,FALSE)</f>
        <v>382.84997839876036</v>
      </c>
      <c r="O152" s="226">
        <f>VLOOKUP($C152,'Irrigation Returns'!$B$719:$P$730,14,FALSE)</f>
        <v>106.68330394628101</v>
      </c>
      <c r="P152" s="476">
        <f>VLOOKUP($C152,'Irrigation Returns'!$B$719:$P$730,15,FALSE)</f>
        <v>18.900458181818184</v>
      </c>
    </row>
    <row r="153" spans="2:16" ht="14.25">
      <c r="B153" s="301"/>
      <c r="C153" s="332"/>
      <c r="D153" s="136"/>
      <c r="E153" s="226"/>
      <c r="F153" s="226"/>
      <c r="G153" s="226"/>
      <c r="H153" s="226"/>
      <c r="I153" s="226"/>
      <c r="J153" s="226"/>
      <c r="K153" s="226"/>
      <c r="L153" s="226"/>
      <c r="M153" s="226"/>
      <c r="N153" s="226"/>
      <c r="O153" s="226"/>
      <c r="P153" s="476"/>
    </row>
    <row r="154" spans="2:16" ht="15">
      <c r="B154" s="301"/>
      <c r="C154" s="332"/>
      <c r="D154" s="225" t="s">
        <v>204</v>
      </c>
      <c r="E154" s="483">
        <f t="shared" ref="E154:P154" si="26">SUM(E152:E153)</f>
        <v>0</v>
      </c>
      <c r="F154" s="483">
        <f t="shared" si="26"/>
        <v>0</v>
      </c>
      <c r="G154" s="483">
        <f t="shared" si="26"/>
        <v>0</v>
      </c>
      <c r="H154" s="483">
        <f t="shared" si="26"/>
        <v>0</v>
      </c>
      <c r="I154" s="483">
        <f t="shared" si="26"/>
        <v>1796.2060416942147</v>
      </c>
      <c r="J154" s="483">
        <f t="shared" si="26"/>
        <v>3302.6691540185948</v>
      </c>
      <c r="K154" s="483">
        <f t="shared" si="26"/>
        <v>3339.3986725878099</v>
      </c>
      <c r="L154" s="483">
        <f t="shared" si="26"/>
        <v>2253.7450865599171</v>
      </c>
      <c r="M154" s="483">
        <f t="shared" si="26"/>
        <v>1230.3644771332645</v>
      </c>
      <c r="N154" s="483">
        <f t="shared" si="26"/>
        <v>382.84997839876036</v>
      </c>
      <c r="O154" s="483">
        <f t="shared" si="26"/>
        <v>106.68330394628101</v>
      </c>
      <c r="P154" s="485">
        <f t="shared" si="26"/>
        <v>18.900458181818184</v>
      </c>
    </row>
    <row r="155" spans="2:16" ht="15">
      <c r="B155" s="301"/>
      <c r="C155" s="332"/>
      <c r="D155" s="225"/>
      <c r="E155" s="483"/>
      <c r="F155" s="483"/>
      <c r="G155" s="483"/>
      <c r="H155" s="483"/>
      <c r="I155" s="483"/>
      <c r="J155" s="483"/>
      <c r="K155" s="483"/>
      <c r="L155" s="483"/>
      <c r="M155" s="483"/>
      <c r="N155" s="483"/>
      <c r="O155" s="483"/>
      <c r="P155" s="484"/>
    </row>
    <row r="156" spans="2:16" ht="15" thickBot="1">
      <c r="B156" s="301"/>
      <c r="C156" s="226"/>
      <c r="D156" s="136"/>
      <c r="E156" s="399"/>
      <c r="F156" s="399"/>
      <c r="G156" s="399"/>
      <c r="H156" s="399"/>
      <c r="I156" s="399"/>
      <c r="J156" s="399"/>
      <c r="K156" s="399"/>
      <c r="L156" s="399"/>
      <c r="M156" s="399"/>
      <c r="N156" s="399"/>
      <c r="O156" s="399"/>
      <c r="P156" s="496"/>
    </row>
    <row r="157" spans="2:16" ht="15" thickBot="1">
      <c r="B157" s="306" t="s">
        <v>515</v>
      </c>
      <c r="C157" s="310" t="s">
        <v>29</v>
      </c>
      <c r="D157" s="309" t="s">
        <v>205</v>
      </c>
      <c r="E157" s="497">
        <f t="shared" ref="E157:P157" si="27">+E144+E149-E154</f>
        <v>-28.4380165289258</v>
      </c>
      <c r="F157" s="497">
        <f t="shared" si="27"/>
        <v>-157.63636363636215</v>
      </c>
      <c r="G157" s="497">
        <f t="shared" si="27"/>
        <v>247.48760330578443</v>
      </c>
      <c r="H157" s="497">
        <f t="shared" si="27"/>
        <v>-711.07438016528795</v>
      </c>
      <c r="I157" s="497">
        <f t="shared" si="27"/>
        <v>-967.34744665289122</v>
      </c>
      <c r="J157" s="497">
        <f t="shared" si="27"/>
        <v>-1135.6729040185946</v>
      </c>
      <c r="K157" s="497">
        <f t="shared" si="27"/>
        <v>111.60377575929988</v>
      </c>
      <c r="L157" s="497">
        <f t="shared" si="27"/>
        <v>-782.01838201446162</v>
      </c>
      <c r="M157" s="497">
        <f t="shared" si="27"/>
        <v>-502.54469407541387</v>
      </c>
      <c r="N157" s="497">
        <f t="shared" si="27"/>
        <v>-1166.0483255061986</v>
      </c>
      <c r="O157" s="497">
        <f t="shared" si="27"/>
        <v>-411.64198163222972</v>
      </c>
      <c r="P157" s="498">
        <f t="shared" si="27"/>
        <v>-88.842606942149473</v>
      </c>
    </row>
    <row r="158" spans="2:16" ht="13.5" thickBot="1"/>
    <row r="159" spans="2:16" ht="15">
      <c r="B159" s="307"/>
      <c r="C159" s="308"/>
      <c r="D159" s="308"/>
      <c r="E159" s="488" t="s">
        <v>0</v>
      </c>
      <c r="F159" s="488" t="s">
        <v>1</v>
      </c>
      <c r="G159" s="488" t="s">
        <v>2</v>
      </c>
      <c r="H159" s="488" t="s">
        <v>3</v>
      </c>
      <c r="I159" s="488" t="s">
        <v>4</v>
      </c>
      <c r="J159" s="488" t="s">
        <v>5</v>
      </c>
      <c r="K159" s="488" t="s">
        <v>6</v>
      </c>
      <c r="L159" s="488" t="s">
        <v>7</v>
      </c>
      <c r="M159" s="488" t="s">
        <v>8</v>
      </c>
      <c r="N159" s="488" t="s">
        <v>9</v>
      </c>
      <c r="O159" s="488" t="s">
        <v>10</v>
      </c>
      <c r="P159" s="489" t="s">
        <v>11</v>
      </c>
    </row>
    <row r="160" spans="2:16" ht="15">
      <c r="B160" s="301"/>
      <c r="C160" s="136"/>
      <c r="D160" s="136"/>
      <c r="E160" s="481"/>
      <c r="F160" s="481"/>
      <c r="G160" s="481"/>
      <c r="H160" s="481"/>
      <c r="I160" s="481"/>
      <c r="J160" s="481"/>
      <c r="K160" s="481"/>
      <c r="L160" s="481"/>
      <c r="M160" s="481"/>
      <c r="N160" s="481"/>
      <c r="O160" s="481"/>
      <c r="P160" s="482"/>
    </row>
    <row r="161" spans="2:16" ht="14.25">
      <c r="B161" s="301" t="s">
        <v>246</v>
      </c>
      <c r="C161" s="136" t="s">
        <v>125</v>
      </c>
      <c r="D161" s="219" t="str">
        <f>VLOOKUP(C161,NodeList!$D$4:$E$121,2,FALSE)</f>
        <v>USGS 10039500:  Bear R. at Border, WY</v>
      </c>
      <c r="E161" s="226">
        <f>VLOOKUP($C161,'USGS Gages'!$B$6:$P$18,4,FALSE)</f>
        <v>7440.7685950413224</v>
      </c>
      <c r="F161" s="226">
        <f>VLOOKUP($C161,'USGS Gages'!$B$6:$P$18,5,FALSE)</f>
        <v>6473.9256198347121</v>
      </c>
      <c r="G161" s="226">
        <f>VLOOKUP($C161,'USGS Gages'!$B$6:$P$18,6,FALSE)</f>
        <v>11598.099173553717</v>
      </c>
      <c r="H161" s="226">
        <f>VLOOKUP($C161,'USGS Gages'!$B$6:$P$18,7,FALSE)</f>
        <v>10073.305785123968</v>
      </c>
      <c r="I161" s="226">
        <f>VLOOKUP($C161,'USGS Gages'!$B$6:$P$18,8,FALSE)</f>
        <v>11818.685950413224</v>
      </c>
      <c r="J161" s="226">
        <f>VLOOKUP($C161,'USGS Gages'!$B$6:$P$18,9,FALSE)</f>
        <v>12809.008264462809</v>
      </c>
      <c r="K161" s="226">
        <f>VLOOKUP($C161,'USGS Gages'!$B$6:$P$18,10,FALSE)</f>
        <v>8906.4793388429753</v>
      </c>
      <c r="L161" s="226">
        <f>VLOOKUP($C161,'USGS Gages'!$B$6:$P$18,11,FALSE)</f>
        <v>4673.0578512396696</v>
      </c>
      <c r="M161" s="226">
        <f>VLOOKUP($C161,'USGS Gages'!$B$6:$P$18,12,FALSE)</f>
        <v>3855.8677685950411</v>
      </c>
      <c r="N161" s="226">
        <f>VLOOKUP($C161,'USGS Gages'!$B$6:$P$18,13,FALSE)</f>
        <v>7626</v>
      </c>
      <c r="O161" s="226">
        <f>VLOOKUP($C161,'USGS Gages'!$B$6:$P$18,14,FALSE)</f>
        <v>8701.7355371900831</v>
      </c>
      <c r="P161" s="476">
        <f>VLOOKUP($C161,'USGS Gages'!$B$6:$P$18,15,FALSE)</f>
        <v>7959.5702479338852</v>
      </c>
    </row>
    <row r="162" spans="2:16" ht="14.25">
      <c r="B162" s="301" t="s">
        <v>247</v>
      </c>
      <c r="C162" s="525" t="s">
        <v>324</v>
      </c>
      <c r="D162" s="514" t="str">
        <f>VLOOKUP(C162,[1]NodeList!$D$4:$E$120,2,FALSE)</f>
        <v>Stewart Dam</v>
      </c>
      <c r="E162" s="226">
        <f>VLOOKUP($C162,'USGS Gages'!$B$6:$P$18,4,FALSE)</f>
        <v>0</v>
      </c>
      <c r="F162" s="226">
        <f>VLOOKUP($C162,'USGS Gages'!$B$6:$P$18,5,FALSE)</f>
        <v>0</v>
      </c>
      <c r="G162" s="226">
        <f>VLOOKUP($C162,'USGS Gages'!$B$6:$P$18,6,FALSE)</f>
        <v>0</v>
      </c>
      <c r="H162" s="226">
        <f>VLOOKUP($C162,'USGS Gages'!$B$6:$P$18,7,FALSE)</f>
        <v>0</v>
      </c>
      <c r="I162" s="226">
        <f>VLOOKUP($C162,'USGS Gages'!$B$6:$P$18,8,FALSE)</f>
        <v>245.26862123450414</v>
      </c>
      <c r="J162" s="226">
        <f>VLOOKUP($C162,'USGS Gages'!$B$6:$P$18,9,FALSE)</f>
        <v>312.95379720041325</v>
      </c>
      <c r="K162" s="226">
        <f>VLOOKUP($C162,'USGS Gages'!$B$6:$P$18,10,FALSE)</f>
        <v>238.51983391322315</v>
      </c>
      <c r="L162" s="226">
        <f>VLOOKUP($C162,'USGS Gages'!$B$6:$P$18,11,FALSE)</f>
        <v>223.51012555061979</v>
      </c>
      <c r="M162" s="226">
        <f>VLOOKUP($C162,'USGS Gages'!$B$6:$P$18,12,FALSE)</f>
        <v>280.96710012809922</v>
      </c>
      <c r="N162" s="226">
        <f>VLOOKUP($C162,'USGS Gages'!$B$6:$P$18,13,FALSE)</f>
        <v>0</v>
      </c>
      <c r="O162" s="226">
        <f>VLOOKUP($C162,'USGS Gages'!$B$6:$P$18,14,FALSE)</f>
        <v>0</v>
      </c>
      <c r="P162" s="476">
        <f>VLOOKUP($C162,'USGS Gages'!$B$6:$P$18,15,FALSE)</f>
        <v>0</v>
      </c>
    </row>
    <row r="163" spans="2:16" ht="15">
      <c r="B163" s="301"/>
      <c r="C163" s="136"/>
      <c r="D163" s="225" t="s">
        <v>194</v>
      </c>
      <c r="E163" s="483">
        <f t="shared" ref="E163:P163" si="28">+E162-E161</f>
        <v>-7440.7685950413224</v>
      </c>
      <c r="F163" s="483">
        <f t="shared" si="28"/>
        <v>-6473.9256198347121</v>
      </c>
      <c r="G163" s="483">
        <f t="shared" si="28"/>
        <v>-11598.099173553717</v>
      </c>
      <c r="H163" s="483">
        <f t="shared" si="28"/>
        <v>-10073.305785123968</v>
      </c>
      <c r="I163" s="483">
        <f t="shared" si="28"/>
        <v>-11573.417329178721</v>
      </c>
      <c r="J163" s="483">
        <f t="shared" si="28"/>
        <v>-12496.054467262396</v>
      </c>
      <c r="K163" s="483">
        <f t="shared" si="28"/>
        <v>-8667.9595049297513</v>
      </c>
      <c r="L163" s="483">
        <f t="shared" si="28"/>
        <v>-4449.5477256890499</v>
      </c>
      <c r="M163" s="483">
        <f t="shared" si="28"/>
        <v>-3574.9006684669421</v>
      </c>
      <c r="N163" s="483">
        <f t="shared" si="28"/>
        <v>-7626</v>
      </c>
      <c r="O163" s="483">
        <f t="shared" si="28"/>
        <v>-8701.7355371900831</v>
      </c>
      <c r="P163" s="484">
        <f t="shared" si="28"/>
        <v>-7959.5702479338852</v>
      </c>
    </row>
    <row r="164" spans="2:16" ht="14.25">
      <c r="B164" s="301"/>
      <c r="C164" s="136"/>
      <c r="D164" s="136"/>
      <c r="E164" s="226"/>
      <c r="F164" s="226"/>
      <c r="G164" s="226"/>
      <c r="H164" s="226"/>
      <c r="I164" s="226"/>
      <c r="J164" s="226"/>
      <c r="K164" s="226"/>
      <c r="L164" s="226"/>
      <c r="M164" s="226"/>
      <c r="N164" s="226"/>
      <c r="O164" s="226"/>
      <c r="P164" s="476"/>
    </row>
    <row r="165" spans="2:16" ht="15">
      <c r="B165" s="301"/>
      <c r="C165" s="225" t="s">
        <v>80</v>
      </c>
      <c r="D165" s="225" t="s">
        <v>195</v>
      </c>
      <c r="E165" s="226"/>
      <c r="F165" s="226"/>
      <c r="G165" s="226"/>
      <c r="H165" s="226"/>
      <c r="I165" s="226"/>
      <c r="J165" s="226"/>
      <c r="K165" s="226"/>
      <c r="L165" s="226"/>
      <c r="M165" s="226"/>
      <c r="N165" s="226"/>
      <c r="O165" s="226"/>
      <c r="P165" s="476"/>
    </row>
    <row r="166" spans="2:16" ht="14.25">
      <c r="B166" s="301"/>
      <c r="C166" s="332">
        <v>12</v>
      </c>
      <c r="D166" s="136" t="s">
        <v>196</v>
      </c>
      <c r="E166" s="226">
        <f>VLOOKUP($C166,'Diversion Data'!$B$83:$O$94,3,FALSE)</f>
        <v>6190.7644628099179</v>
      </c>
      <c r="F166" s="226">
        <f>VLOOKUP($C166,'Diversion Data'!$B$83:$O$94,4,FALSE)</f>
        <v>5850.7851239669417</v>
      </c>
      <c r="G166" s="226">
        <f>VLOOKUP($C166,'Diversion Data'!$B$83:$O$94,5,FALSE)</f>
        <v>12648.243801652892</v>
      </c>
      <c r="H166" s="226">
        <f>VLOOKUP($C166,'Diversion Data'!$B$83:$O$94,6,FALSE)</f>
        <v>8360.8512396694205</v>
      </c>
      <c r="I166" s="226">
        <f>VLOOKUP($C166,'Diversion Data'!$B$83:$O$94,7,FALSE)</f>
        <v>15200.591066541925</v>
      </c>
      <c r="J166" s="226">
        <f>VLOOKUP($C166,'Diversion Data'!$B$83:$O$94,8,FALSE)</f>
        <v>16358.962922846957</v>
      </c>
      <c r="K166" s="226">
        <f>VLOOKUP($C166,'Diversion Data'!$B$83:$O$94,9,FALSE)</f>
        <v>10472.234525109407</v>
      </c>
      <c r="L166" s="226">
        <f>VLOOKUP($C166,'Diversion Data'!$B$83:$O$94,10,FALSE)</f>
        <v>6316.994762228127</v>
      </c>
      <c r="M166" s="226">
        <f>VLOOKUP($C166,'Diversion Data'!$B$83:$O$94,11,FALSE)</f>
        <v>5500.5016670322848</v>
      </c>
      <c r="N166" s="226">
        <f>VLOOKUP($C166,'Diversion Data'!$B$83:$O$94,12,FALSE)</f>
        <v>2633.7561983471073</v>
      </c>
      <c r="O166" s="226">
        <f>VLOOKUP($C166,'Diversion Data'!$B$83:$O$94,13,FALSE)</f>
        <v>4433.0371900826449</v>
      </c>
      <c r="P166" s="476">
        <f>VLOOKUP($C166,'Diversion Data'!$B$83:$O$94,14,FALSE)</f>
        <v>4688.553719008265</v>
      </c>
    </row>
    <row r="167" spans="2:16" ht="14.25">
      <c r="B167" s="301"/>
      <c r="C167" s="226"/>
      <c r="D167" s="136"/>
      <c r="E167" s="226"/>
      <c r="F167" s="226"/>
      <c r="G167" s="226"/>
      <c r="H167" s="226"/>
      <c r="I167" s="226"/>
      <c r="J167" s="226"/>
      <c r="K167" s="226"/>
      <c r="L167" s="226"/>
      <c r="M167" s="226"/>
      <c r="N167" s="226"/>
      <c r="O167" s="226"/>
      <c r="P167" s="476"/>
    </row>
    <row r="168" spans="2:16" ht="15">
      <c r="B168" s="301"/>
      <c r="C168" s="332"/>
      <c r="D168" s="225" t="s">
        <v>197</v>
      </c>
      <c r="E168" s="483">
        <f t="shared" ref="E168:P168" si="29">SUM(E166:E167)</f>
        <v>6190.7644628099179</v>
      </c>
      <c r="F168" s="483">
        <f t="shared" si="29"/>
        <v>5850.7851239669417</v>
      </c>
      <c r="G168" s="483">
        <f t="shared" si="29"/>
        <v>12648.243801652892</v>
      </c>
      <c r="H168" s="483">
        <f t="shared" si="29"/>
        <v>8360.8512396694205</v>
      </c>
      <c r="I168" s="483">
        <f t="shared" si="29"/>
        <v>15200.591066541925</v>
      </c>
      <c r="J168" s="483">
        <f t="shared" si="29"/>
        <v>16358.962922846957</v>
      </c>
      <c r="K168" s="483">
        <f t="shared" si="29"/>
        <v>10472.234525109407</v>
      </c>
      <c r="L168" s="483">
        <f t="shared" si="29"/>
        <v>6316.994762228127</v>
      </c>
      <c r="M168" s="483">
        <f t="shared" si="29"/>
        <v>5500.5016670322848</v>
      </c>
      <c r="N168" s="483">
        <f t="shared" si="29"/>
        <v>2633.7561983471073</v>
      </c>
      <c r="O168" s="483">
        <f t="shared" si="29"/>
        <v>4433.0371900826449</v>
      </c>
      <c r="P168" s="484">
        <f t="shared" si="29"/>
        <v>4688.553719008265</v>
      </c>
    </row>
    <row r="169" spans="2:16" ht="15">
      <c r="B169" s="301"/>
      <c r="C169" s="332"/>
      <c r="D169" s="225"/>
      <c r="E169" s="490"/>
      <c r="F169" s="490"/>
      <c r="G169" s="490"/>
      <c r="H169" s="490"/>
      <c r="I169" s="490"/>
      <c r="J169" s="490"/>
      <c r="K169" s="490"/>
      <c r="L169" s="490"/>
      <c r="M169" s="490"/>
      <c r="N169" s="490"/>
      <c r="O169" s="490"/>
      <c r="P169" s="491"/>
    </row>
    <row r="170" spans="2:16" ht="15">
      <c r="B170" s="301"/>
      <c r="C170" s="332"/>
      <c r="D170" s="225" t="s">
        <v>202</v>
      </c>
      <c r="E170" s="226"/>
      <c r="F170" s="226"/>
      <c r="G170" s="226"/>
      <c r="H170" s="226"/>
      <c r="I170" s="226"/>
      <c r="J170" s="226"/>
      <c r="K170" s="226"/>
      <c r="L170" s="226"/>
      <c r="M170" s="226"/>
      <c r="N170" s="226"/>
      <c r="O170" s="226"/>
      <c r="P170" s="476"/>
    </row>
    <row r="171" spans="2:16" ht="14.25">
      <c r="B171" s="301"/>
      <c r="C171" s="332">
        <v>12</v>
      </c>
      <c r="D171" s="136" t="s">
        <v>203</v>
      </c>
      <c r="E171" s="226">
        <f>VLOOKUP($C171,'Irrigation Returns'!$B$719:$P$730,3,FALSE)</f>
        <v>0</v>
      </c>
      <c r="F171" s="226">
        <f>VLOOKUP($C171,'Irrigation Returns'!$B$719:$P$730,5,FALSE)</f>
        <v>0</v>
      </c>
      <c r="G171" s="226">
        <f>VLOOKUP($C171,'Irrigation Returns'!$B$719:$P$730,6,FALSE)</f>
        <v>0</v>
      </c>
      <c r="H171" s="226">
        <f>VLOOKUP($C171,'Irrigation Returns'!$B$719:$P$730,7,FALSE)</f>
        <v>0</v>
      </c>
      <c r="I171" s="226">
        <f>VLOOKUP($C171,'Irrigation Returns'!$B$719:$P$730,8,FALSE)</f>
        <v>5070.1136628286813</v>
      </c>
      <c r="J171" s="226">
        <f>VLOOKUP($C171,'Irrigation Returns'!$B$719:$P$730,9,FALSE)</f>
        <v>6849.3136139847584</v>
      </c>
      <c r="K171" s="226">
        <f>VLOOKUP($C171,'Irrigation Returns'!$B$719:$P$730,10,FALSE)</f>
        <v>5432.8110744782907</v>
      </c>
      <c r="L171" s="226">
        <f>VLOOKUP($C171,'Irrigation Returns'!$B$719:$P$730,11,FALSE)</f>
        <v>3970.2577832367551</v>
      </c>
      <c r="M171" s="226">
        <f>VLOOKUP($C171,'Irrigation Returns'!$B$719:$P$730,12,FALSE)</f>
        <v>3042.3549768117905</v>
      </c>
      <c r="N171" s="226">
        <f>VLOOKUP($C171,'Irrigation Returns'!$B$719:$P$730,13,FALSE)</f>
        <v>880.51046045579892</v>
      </c>
      <c r="O171" s="226">
        <f>VLOOKUP($C171,'Irrigation Returns'!$B$719:$P$730,14,FALSE)</f>
        <v>276.37567551856415</v>
      </c>
      <c r="P171" s="476">
        <f>VLOOKUP($C171,'Irrigation Returns'!$B$719:$P$730,15,FALSE)</f>
        <v>0</v>
      </c>
    </row>
    <row r="172" spans="2:16" ht="14.25">
      <c r="B172" s="301"/>
      <c r="C172" s="332"/>
      <c r="D172" s="136"/>
      <c r="E172" s="226"/>
      <c r="F172" s="226"/>
      <c r="G172" s="226"/>
      <c r="H172" s="226"/>
      <c r="I172" s="226"/>
      <c r="J172" s="226"/>
      <c r="K172" s="226"/>
      <c r="L172" s="226"/>
      <c r="M172" s="226"/>
      <c r="N172" s="226"/>
      <c r="O172" s="226"/>
      <c r="P172" s="476"/>
    </row>
    <row r="173" spans="2:16" ht="15">
      <c r="B173" s="301"/>
      <c r="C173" s="332"/>
      <c r="D173" s="225" t="s">
        <v>204</v>
      </c>
      <c r="E173" s="483">
        <f t="shared" ref="E173:P173" si="30">SUM(E171:E172)</f>
        <v>0</v>
      </c>
      <c r="F173" s="483">
        <f t="shared" si="30"/>
        <v>0</v>
      </c>
      <c r="G173" s="483">
        <f t="shared" si="30"/>
        <v>0</v>
      </c>
      <c r="H173" s="483">
        <f t="shared" si="30"/>
        <v>0</v>
      </c>
      <c r="I173" s="483">
        <f t="shared" si="30"/>
        <v>5070.1136628286813</v>
      </c>
      <c r="J173" s="483">
        <f t="shared" si="30"/>
        <v>6849.3136139847584</v>
      </c>
      <c r="K173" s="483">
        <f t="shared" si="30"/>
        <v>5432.8110744782907</v>
      </c>
      <c r="L173" s="483">
        <f t="shared" si="30"/>
        <v>3970.2577832367551</v>
      </c>
      <c r="M173" s="483">
        <f t="shared" si="30"/>
        <v>3042.3549768117905</v>
      </c>
      <c r="N173" s="483">
        <f t="shared" si="30"/>
        <v>880.51046045579892</v>
      </c>
      <c r="O173" s="483">
        <f t="shared" si="30"/>
        <v>276.37567551856415</v>
      </c>
      <c r="P173" s="485">
        <f t="shared" si="30"/>
        <v>0</v>
      </c>
    </row>
    <row r="174" spans="2:16" ht="15">
      <c r="B174" s="301"/>
      <c r="C174" s="332"/>
      <c r="D174" s="225"/>
      <c r="E174" s="483"/>
      <c r="F174" s="483"/>
      <c r="G174" s="483"/>
      <c r="H174" s="483"/>
      <c r="I174" s="483"/>
      <c r="J174" s="483"/>
      <c r="K174" s="483"/>
      <c r="L174" s="483"/>
      <c r="M174" s="483"/>
      <c r="N174" s="483"/>
      <c r="O174" s="483"/>
      <c r="P174" s="484"/>
    </row>
    <row r="175" spans="2:16" ht="15" thickBot="1">
      <c r="B175" s="301"/>
      <c r="C175" s="226"/>
      <c r="D175" s="136"/>
      <c r="E175" s="399"/>
      <c r="F175" s="399"/>
      <c r="G175" s="399"/>
      <c r="H175" s="399"/>
      <c r="I175" s="399"/>
      <c r="J175" s="399"/>
      <c r="K175" s="399"/>
      <c r="L175" s="399"/>
      <c r="M175" s="399"/>
      <c r="N175" s="399"/>
      <c r="O175" s="399"/>
      <c r="P175" s="496"/>
    </row>
    <row r="176" spans="2:16" ht="15" thickBot="1">
      <c r="B176" s="306" t="s">
        <v>515</v>
      </c>
      <c r="C176" s="310" t="s">
        <v>30</v>
      </c>
      <c r="D176" s="309" t="s">
        <v>205</v>
      </c>
      <c r="E176" s="497">
        <f t="shared" ref="E176:P176" si="31">+E163+E168-E173</f>
        <v>-1250.0041322314046</v>
      </c>
      <c r="F176" s="497">
        <f t="shared" si="31"/>
        <v>-623.14049586777037</v>
      </c>
      <c r="G176" s="497">
        <f t="shared" si="31"/>
        <v>1050.144628099175</v>
      </c>
      <c r="H176" s="497">
        <f t="shared" si="31"/>
        <v>-1712.4545454545478</v>
      </c>
      <c r="I176" s="497">
        <f t="shared" si="31"/>
        <v>-1442.9399254654772</v>
      </c>
      <c r="J176" s="497">
        <f t="shared" si="31"/>
        <v>-2986.4051584001982</v>
      </c>
      <c r="K176" s="497">
        <f t="shared" si="31"/>
        <v>-3628.5360542986355</v>
      </c>
      <c r="L176" s="497">
        <f t="shared" si="31"/>
        <v>-2102.810746697678</v>
      </c>
      <c r="M176" s="497">
        <f t="shared" si="31"/>
        <v>-1116.7539782464478</v>
      </c>
      <c r="N176" s="497">
        <f t="shared" si="31"/>
        <v>-5872.7542621086914</v>
      </c>
      <c r="O176" s="497">
        <f t="shared" si="31"/>
        <v>-4545.0740226260023</v>
      </c>
      <c r="P176" s="498">
        <f t="shared" si="31"/>
        <v>-3271.0165289256202</v>
      </c>
    </row>
  </sheetData>
  <sheetProtection objects="1" scenarios="1"/>
  <mergeCells count="3">
    <mergeCell ref="C4:L9"/>
    <mergeCell ref="D1:H1"/>
    <mergeCell ref="K1:O1"/>
  </mergeCells>
  <phoneticPr fontId="0" type="noConversion"/>
  <pageMargins left="0.75" right="0.75" top="1" bottom="1" header="0.5" footer="0.5"/>
  <pageSetup scale="53" fitToHeight="6" orientation="landscape" horizontalDpi="4294967292" verticalDpi="0" r:id="rId1"/>
  <headerFooter alignWithMargins="0">
    <oddHeader>&amp;C&amp;"Arial,Bold"&amp;12Bear River Spreadsheet Model
Dry Year Conditions</oddHeader>
    <oddFooter>&amp;L&amp;F &amp;A&amp;RAPPENDIX A (Page &amp;P of &amp;N)</oddFooter>
  </headerFooter>
  <rowBreaks count="2" manualBreakCount="2">
    <brk id="57" max="16383" man="1"/>
    <brk id="116" max="16383" man="1"/>
  </rowBreaks>
  <legacyDrawing r:id="rId2"/>
</worksheet>
</file>

<file path=xl/worksheets/sheet21.xml><?xml version="1.0" encoding="utf-8"?>
<worksheet xmlns="http://schemas.openxmlformats.org/spreadsheetml/2006/main" xmlns:r="http://schemas.openxmlformats.org/officeDocument/2006/relationships">
  <sheetPr codeName="Sheet15">
    <pageSetUpPr autoPageBreaks="0"/>
  </sheetPr>
  <dimension ref="B2:S71"/>
  <sheetViews>
    <sheetView showGridLines="0" showRowColHeaders="0" zoomScale="75" zoomScaleNormal="75" workbookViewId="0">
      <pane ySplit="5" topLeftCell="A30" activePane="bottomLeft" state="frozen"/>
      <selection activeCell="B26" sqref="B26"/>
      <selection pane="bottomLeft" activeCell="B26" sqref="B26"/>
    </sheetView>
  </sheetViews>
  <sheetFormatPr defaultRowHeight="12.75"/>
  <cols>
    <col min="2" max="2" width="11.42578125" customWidth="1"/>
    <col min="3" max="3" width="44.85546875" customWidth="1"/>
  </cols>
  <sheetData>
    <row r="2" spans="2:19" ht="26.25">
      <c r="L2" s="674" t="s">
        <v>541</v>
      </c>
      <c r="M2" s="674"/>
      <c r="N2" s="674"/>
      <c r="O2" s="674"/>
      <c r="P2" s="674"/>
    </row>
    <row r="3" spans="2:19" ht="25.5">
      <c r="G3" s="170" t="s">
        <v>184</v>
      </c>
      <c r="H3" s="420"/>
      <c r="I3" s="420"/>
      <c r="J3" s="420"/>
      <c r="K3" s="420"/>
      <c r="L3" s="420"/>
      <c r="M3" s="420"/>
      <c r="N3" s="420"/>
      <c r="O3" s="420"/>
      <c r="P3" s="420"/>
      <c r="Q3" s="420"/>
      <c r="R3" s="420"/>
      <c r="S3" s="420"/>
    </row>
    <row r="4" spans="2:19">
      <c r="B4" s="271" t="s">
        <v>90</v>
      </c>
      <c r="C4" s="135"/>
    </row>
    <row r="5" spans="2:19" ht="13.5" thickBot="1">
      <c r="B5" s="269" t="s">
        <v>126</v>
      </c>
      <c r="C5" s="270" t="s">
        <v>36</v>
      </c>
      <c r="D5" s="168" t="s">
        <v>106</v>
      </c>
      <c r="E5" s="168" t="s">
        <v>107</v>
      </c>
      <c r="F5" s="168" t="s">
        <v>108</v>
      </c>
      <c r="G5" s="168" t="s">
        <v>109</v>
      </c>
      <c r="H5" s="168" t="s">
        <v>110</v>
      </c>
      <c r="I5" s="168" t="s">
        <v>111</v>
      </c>
      <c r="J5" s="168" t="s">
        <v>112</v>
      </c>
      <c r="K5" s="168" t="s">
        <v>113</v>
      </c>
      <c r="L5" s="168" t="s">
        <v>114</v>
      </c>
      <c r="M5" s="168" t="s">
        <v>115</v>
      </c>
      <c r="N5" s="168" t="s">
        <v>116</v>
      </c>
      <c r="O5" s="168" t="s">
        <v>117</v>
      </c>
    </row>
    <row r="6" spans="2:19" ht="15">
      <c r="B6" s="187" t="s">
        <v>76</v>
      </c>
      <c r="C6" s="172" t="str">
        <f>VLOOKUP(B6,NodeList!$D$5:$E$73,2,FALSE)</f>
        <v>USGS 10011500:  Bear River near UT-WY State Line</v>
      </c>
      <c r="D6">
        <v>0</v>
      </c>
      <c r="E6">
        <v>0</v>
      </c>
      <c r="F6">
        <v>0</v>
      </c>
      <c r="G6">
        <v>0</v>
      </c>
      <c r="H6">
        <v>0</v>
      </c>
      <c r="I6">
        <v>0</v>
      </c>
      <c r="J6">
        <v>0</v>
      </c>
      <c r="K6">
        <v>0</v>
      </c>
      <c r="L6">
        <v>0</v>
      </c>
      <c r="M6">
        <v>0</v>
      </c>
      <c r="N6">
        <v>0</v>
      </c>
      <c r="O6">
        <v>0</v>
      </c>
    </row>
    <row r="7" spans="2:19" ht="15">
      <c r="B7" s="187" t="s">
        <v>58</v>
      </c>
      <c r="C7" s="172" t="str">
        <f>VLOOKUP(B7,NodeList!$D$5:$E$73,2,FALSE)</f>
        <v>Lannon &amp; Lone Mountain</v>
      </c>
      <c r="D7">
        <v>0</v>
      </c>
      <c r="E7">
        <v>0</v>
      </c>
      <c r="F7">
        <v>0</v>
      </c>
      <c r="G7">
        <v>0</v>
      </c>
      <c r="H7">
        <v>0</v>
      </c>
      <c r="I7">
        <v>0</v>
      </c>
      <c r="J7">
        <v>0</v>
      </c>
      <c r="K7">
        <v>0</v>
      </c>
      <c r="L7">
        <v>0</v>
      </c>
      <c r="M7">
        <v>0</v>
      </c>
      <c r="N7">
        <v>0</v>
      </c>
      <c r="O7">
        <v>0</v>
      </c>
    </row>
    <row r="8" spans="2:19" ht="15">
      <c r="B8" s="187" t="s">
        <v>59</v>
      </c>
      <c r="C8" s="172" t="str">
        <f>VLOOKUP(B8,NodeList!$D$5:$E$73,2,FALSE)</f>
        <v>Hilliard West Side</v>
      </c>
      <c r="D8">
        <v>0</v>
      </c>
      <c r="E8">
        <v>0</v>
      </c>
      <c r="F8">
        <v>0</v>
      </c>
      <c r="G8">
        <v>0</v>
      </c>
      <c r="H8">
        <v>0</v>
      </c>
      <c r="I8">
        <v>0</v>
      </c>
      <c r="J8">
        <v>0</v>
      </c>
      <c r="K8">
        <v>0</v>
      </c>
      <c r="L8">
        <v>0</v>
      </c>
      <c r="M8">
        <v>0</v>
      </c>
      <c r="N8">
        <v>0</v>
      </c>
      <c r="O8">
        <v>0</v>
      </c>
    </row>
    <row r="9" spans="2:19" ht="15">
      <c r="B9" s="187" t="s">
        <v>60</v>
      </c>
      <c r="C9" s="172" t="str">
        <f>VLOOKUP(B9,NodeList!$D$5:$E$73,2,FALSE)</f>
        <v>Bear Canal</v>
      </c>
      <c r="D9">
        <v>0</v>
      </c>
      <c r="E9">
        <v>0</v>
      </c>
      <c r="F9">
        <v>0</v>
      </c>
      <c r="G9">
        <v>0</v>
      </c>
      <c r="H9">
        <v>0</v>
      </c>
      <c r="I9">
        <v>0</v>
      </c>
      <c r="J9">
        <v>0</v>
      </c>
      <c r="K9">
        <v>0</v>
      </c>
      <c r="L9">
        <v>0</v>
      </c>
      <c r="M9">
        <v>0</v>
      </c>
      <c r="N9">
        <v>0</v>
      </c>
      <c r="O9">
        <v>0</v>
      </c>
    </row>
    <row r="10" spans="2:19" ht="15">
      <c r="B10" s="187" t="s">
        <v>61</v>
      </c>
      <c r="C10" s="172" t="str">
        <f>VLOOKUP(B10,NodeList!$D$5:$E$73,2,FALSE)</f>
        <v>Crown &amp; Pine Grove</v>
      </c>
      <c r="D10">
        <v>0</v>
      </c>
      <c r="E10">
        <v>0</v>
      </c>
      <c r="F10">
        <v>0</v>
      </c>
      <c r="G10">
        <v>0</v>
      </c>
      <c r="H10">
        <v>0</v>
      </c>
      <c r="I10">
        <v>0</v>
      </c>
      <c r="J10">
        <v>0</v>
      </c>
      <c r="K10">
        <v>0</v>
      </c>
      <c r="L10">
        <v>0</v>
      </c>
      <c r="M10">
        <v>0</v>
      </c>
      <c r="N10">
        <v>0</v>
      </c>
      <c r="O10">
        <v>0</v>
      </c>
    </row>
    <row r="11" spans="2:19" ht="15">
      <c r="B11" s="187" t="s">
        <v>62</v>
      </c>
      <c r="C11" s="172" t="str">
        <f>VLOOKUP(B11,NodeList!$D$5:$E$73,2,FALSE)</f>
        <v>McGraw &amp; Big Bend</v>
      </c>
      <c r="D11">
        <v>0</v>
      </c>
      <c r="E11">
        <v>0</v>
      </c>
      <c r="F11">
        <v>0</v>
      </c>
      <c r="G11">
        <v>0</v>
      </c>
      <c r="H11">
        <v>0</v>
      </c>
      <c r="I11">
        <v>0</v>
      </c>
      <c r="J11">
        <v>0</v>
      </c>
      <c r="K11">
        <v>0</v>
      </c>
      <c r="L11">
        <v>0</v>
      </c>
      <c r="M11">
        <v>0</v>
      </c>
      <c r="N11">
        <v>0</v>
      </c>
      <c r="O11">
        <v>0</v>
      </c>
    </row>
    <row r="12" spans="2:19" ht="15">
      <c r="B12" s="187" t="s">
        <v>63</v>
      </c>
      <c r="C12" s="172" t="str">
        <f>VLOOKUP(B12,NodeList!$D$5:$E$73,2,FALSE)</f>
        <v>Lewis</v>
      </c>
      <c r="D12">
        <v>0</v>
      </c>
      <c r="E12">
        <v>0</v>
      </c>
      <c r="F12">
        <v>0</v>
      </c>
      <c r="G12">
        <v>0</v>
      </c>
      <c r="H12">
        <v>0</v>
      </c>
      <c r="I12">
        <v>0</v>
      </c>
      <c r="J12">
        <v>0</v>
      </c>
      <c r="K12">
        <v>0</v>
      </c>
      <c r="L12">
        <v>0</v>
      </c>
      <c r="M12">
        <v>0</v>
      </c>
      <c r="N12">
        <v>0</v>
      </c>
      <c r="O12">
        <v>0</v>
      </c>
    </row>
    <row r="13" spans="2:19" ht="15">
      <c r="B13" s="187" t="s">
        <v>64</v>
      </c>
      <c r="C13" s="172" t="str">
        <f>VLOOKUP(B13,NodeList!$D$5:$E$73,2,FALSE)</f>
        <v>Meyers No. 2</v>
      </c>
      <c r="D13">
        <v>0</v>
      </c>
      <c r="E13">
        <v>0</v>
      </c>
      <c r="F13">
        <v>0</v>
      </c>
      <c r="G13">
        <v>0</v>
      </c>
      <c r="H13">
        <v>0</v>
      </c>
      <c r="I13">
        <v>0</v>
      </c>
      <c r="J13">
        <v>0</v>
      </c>
      <c r="K13">
        <v>0</v>
      </c>
      <c r="L13">
        <v>0</v>
      </c>
      <c r="M13">
        <v>0</v>
      </c>
      <c r="N13">
        <v>0</v>
      </c>
      <c r="O13">
        <v>0</v>
      </c>
    </row>
    <row r="14" spans="2:19" ht="15">
      <c r="B14" s="187" t="s">
        <v>65</v>
      </c>
      <c r="C14" s="172" t="str">
        <f>VLOOKUP(B14,NodeList!$D$5:$E$73,2,FALSE)</f>
        <v>Meyers No. 1</v>
      </c>
      <c r="D14">
        <v>0</v>
      </c>
      <c r="E14">
        <v>0</v>
      </c>
      <c r="F14">
        <v>0</v>
      </c>
      <c r="G14">
        <v>0</v>
      </c>
      <c r="H14">
        <v>0</v>
      </c>
      <c r="I14">
        <v>0</v>
      </c>
      <c r="J14">
        <v>0</v>
      </c>
      <c r="K14">
        <v>0</v>
      </c>
      <c r="L14">
        <v>0</v>
      </c>
      <c r="M14">
        <v>0</v>
      </c>
      <c r="N14">
        <v>0</v>
      </c>
      <c r="O14">
        <v>0</v>
      </c>
    </row>
    <row r="15" spans="2:19" ht="15">
      <c r="B15" s="187" t="s">
        <v>66</v>
      </c>
      <c r="C15" s="172" t="str">
        <f>VLOOKUP(B15,NodeList!$D$5:$E$73,2,FALSE)</f>
        <v>Meyers Irrigation</v>
      </c>
      <c r="D15">
        <v>0</v>
      </c>
      <c r="E15">
        <v>0</v>
      </c>
      <c r="F15">
        <v>0</v>
      </c>
      <c r="G15">
        <v>0</v>
      </c>
      <c r="H15">
        <v>0</v>
      </c>
      <c r="I15">
        <v>0</v>
      </c>
      <c r="J15">
        <v>0</v>
      </c>
      <c r="K15">
        <v>0</v>
      </c>
      <c r="L15">
        <v>0</v>
      </c>
      <c r="M15">
        <v>0</v>
      </c>
      <c r="N15">
        <v>0</v>
      </c>
      <c r="O15">
        <v>0</v>
      </c>
    </row>
    <row r="16" spans="2:19" ht="15">
      <c r="B16" s="187" t="s">
        <v>67</v>
      </c>
      <c r="C16" s="172" t="str">
        <f>VLOOKUP(B16,NodeList!$D$5:$E$73,2,FALSE)</f>
        <v>Evanston Pipeline</v>
      </c>
      <c r="D16">
        <v>0</v>
      </c>
      <c r="E16">
        <v>0</v>
      </c>
      <c r="F16">
        <v>0</v>
      </c>
      <c r="G16">
        <v>0</v>
      </c>
      <c r="H16">
        <v>0</v>
      </c>
      <c r="I16">
        <v>0</v>
      </c>
      <c r="J16">
        <v>0</v>
      </c>
      <c r="K16">
        <v>0</v>
      </c>
      <c r="L16">
        <v>0</v>
      </c>
      <c r="M16">
        <v>0</v>
      </c>
      <c r="N16">
        <v>0</v>
      </c>
      <c r="O16">
        <v>0</v>
      </c>
    </row>
    <row r="17" spans="2:15" ht="15">
      <c r="B17" s="187" t="s">
        <v>68</v>
      </c>
      <c r="C17" s="172" t="str">
        <f>VLOOKUP(B17,NodeList!$D$5:$E$73,2,FALSE)</f>
        <v>Booth</v>
      </c>
      <c r="D17">
        <v>0</v>
      </c>
      <c r="E17">
        <v>0</v>
      </c>
      <c r="F17">
        <v>0</v>
      </c>
      <c r="G17">
        <v>0</v>
      </c>
      <c r="H17">
        <v>0</v>
      </c>
      <c r="I17">
        <v>0</v>
      </c>
      <c r="J17">
        <v>0</v>
      </c>
      <c r="K17">
        <v>0</v>
      </c>
      <c r="L17">
        <v>0</v>
      </c>
      <c r="M17">
        <v>0</v>
      </c>
      <c r="N17">
        <v>0</v>
      </c>
      <c r="O17">
        <v>0</v>
      </c>
    </row>
    <row r="18" spans="2:15" ht="15">
      <c r="B18" s="187" t="s">
        <v>69</v>
      </c>
      <c r="C18" s="172" t="str">
        <f>VLOOKUP(B18,NodeList!$D$5:$E$73,2,FALSE)</f>
        <v>Anel</v>
      </c>
      <c r="D18">
        <v>0</v>
      </c>
      <c r="E18">
        <v>0</v>
      </c>
      <c r="F18">
        <v>0</v>
      </c>
      <c r="G18">
        <v>0</v>
      </c>
      <c r="H18">
        <v>0</v>
      </c>
      <c r="I18">
        <v>0</v>
      </c>
      <c r="J18">
        <v>0</v>
      </c>
      <c r="K18">
        <v>0</v>
      </c>
      <c r="L18">
        <v>0</v>
      </c>
      <c r="M18">
        <v>0</v>
      </c>
      <c r="N18">
        <v>0</v>
      </c>
      <c r="O18">
        <v>0</v>
      </c>
    </row>
    <row r="19" spans="2:15" ht="15">
      <c r="B19" s="187" t="s">
        <v>70</v>
      </c>
      <c r="C19" s="172" t="str">
        <f>VLOOKUP(B19,NodeList!$D$5:$E$73,2,FALSE)</f>
        <v>Evanston Water Supply</v>
      </c>
      <c r="D19">
        <v>0</v>
      </c>
      <c r="E19">
        <v>0</v>
      </c>
      <c r="F19">
        <v>0</v>
      </c>
      <c r="G19">
        <v>0</v>
      </c>
      <c r="H19">
        <v>0</v>
      </c>
      <c r="I19">
        <v>0</v>
      </c>
      <c r="J19">
        <v>0</v>
      </c>
      <c r="K19">
        <v>0</v>
      </c>
      <c r="L19">
        <v>0</v>
      </c>
      <c r="M19">
        <v>0</v>
      </c>
      <c r="N19">
        <v>0</v>
      </c>
      <c r="O19">
        <v>0</v>
      </c>
    </row>
    <row r="20" spans="2:15" ht="15">
      <c r="B20" s="187" t="s">
        <v>315</v>
      </c>
      <c r="C20" s="172" t="str">
        <f>VLOOKUP(B20,NodeList!$D$5:$E$73,2,FALSE)</f>
        <v>AggDiv BR-1</v>
      </c>
      <c r="D20">
        <v>0</v>
      </c>
      <c r="E20">
        <v>0</v>
      </c>
      <c r="F20">
        <v>0</v>
      </c>
      <c r="G20">
        <v>0</v>
      </c>
      <c r="H20">
        <v>0</v>
      </c>
      <c r="I20">
        <v>0</v>
      </c>
      <c r="J20">
        <v>0</v>
      </c>
      <c r="K20">
        <v>0</v>
      </c>
      <c r="L20">
        <v>0</v>
      </c>
      <c r="M20">
        <v>0</v>
      </c>
      <c r="N20">
        <v>0</v>
      </c>
      <c r="O20">
        <v>0</v>
      </c>
    </row>
    <row r="21" spans="2:15" ht="15">
      <c r="B21" s="187" t="s">
        <v>319</v>
      </c>
      <c r="C21" s="172" t="str">
        <f>VLOOKUP(B21,NodeList!$D$5:$E$73,2,FALSE)</f>
        <v>Confluence Mill Cr.</v>
      </c>
      <c r="D21">
        <v>0</v>
      </c>
      <c r="E21">
        <v>0</v>
      </c>
      <c r="F21">
        <v>0</v>
      </c>
      <c r="G21">
        <v>0</v>
      </c>
      <c r="H21">
        <v>0</v>
      </c>
      <c r="I21">
        <v>0</v>
      </c>
      <c r="J21">
        <v>0</v>
      </c>
      <c r="K21">
        <v>0</v>
      </c>
      <c r="L21">
        <v>0</v>
      </c>
      <c r="M21">
        <v>0</v>
      </c>
      <c r="N21">
        <v>0</v>
      </c>
      <c r="O21">
        <v>0</v>
      </c>
    </row>
    <row r="22" spans="2:15" ht="15">
      <c r="B22" s="187" t="s">
        <v>77</v>
      </c>
      <c r="C22" s="172" t="str">
        <f>VLOOKUP(B22,NodeList!$D$5:$E$73,2,FALSE)</f>
        <v>USGS 10015700:  Sulphur Cr. ab Res.Bl.La Chapelle Cr.Nr.Evanston,WY</v>
      </c>
      <c r="D22">
        <v>0</v>
      </c>
      <c r="E22">
        <v>0</v>
      </c>
      <c r="F22">
        <v>0</v>
      </c>
      <c r="G22">
        <v>0</v>
      </c>
      <c r="H22">
        <v>0</v>
      </c>
      <c r="I22">
        <v>0</v>
      </c>
      <c r="J22">
        <v>0</v>
      </c>
      <c r="K22">
        <v>0</v>
      </c>
      <c r="L22">
        <v>0</v>
      </c>
      <c r="M22">
        <v>0</v>
      </c>
      <c r="N22">
        <v>0</v>
      </c>
      <c r="O22">
        <v>0</v>
      </c>
    </row>
    <row r="23" spans="2:15" ht="15">
      <c r="B23" s="187" t="s">
        <v>78</v>
      </c>
      <c r="C23" s="172" t="str">
        <f>VLOOKUP(B23,NodeList!$D$5:$E$73,2,FALSE)</f>
        <v>AggDiv SC-1/Broadbent</v>
      </c>
      <c r="D23">
        <v>0</v>
      </c>
      <c r="E23">
        <v>0</v>
      </c>
      <c r="F23">
        <v>0</v>
      </c>
      <c r="G23">
        <v>0</v>
      </c>
      <c r="H23">
        <v>0</v>
      </c>
      <c r="I23">
        <v>12</v>
      </c>
      <c r="J23">
        <v>12</v>
      </c>
      <c r="K23">
        <v>12</v>
      </c>
      <c r="L23">
        <v>12</v>
      </c>
      <c r="M23">
        <v>0</v>
      </c>
      <c r="N23">
        <v>0</v>
      </c>
      <c r="O23">
        <v>0</v>
      </c>
    </row>
    <row r="24" spans="2:15" ht="15">
      <c r="B24" s="187" t="s">
        <v>161</v>
      </c>
      <c r="C24" s="172" t="str">
        <f>VLOOKUP(B24,NodeList!$D$5:$E$73,2,FALSE)</f>
        <v>Sulphur Creek Reservoir</v>
      </c>
      <c r="D24">
        <v>0</v>
      </c>
      <c r="E24">
        <v>0</v>
      </c>
      <c r="F24">
        <v>0</v>
      </c>
      <c r="G24">
        <v>0</v>
      </c>
      <c r="H24">
        <v>0</v>
      </c>
      <c r="I24">
        <v>0</v>
      </c>
      <c r="J24">
        <v>0</v>
      </c>
      <c r="K24">
        <v>0</v>
      </c>
      <c r="L24">
        <v>0</v>
      </c>
      <c r="M24">
        <v>0</v>
      </c>
      <c r="N24">
        <v>0</v>
      </c>
      <c r="O24">
        <v>0</v>
      </c>
    </row>
    <row r="25" spans="2:15" ht="15">
      <c r="B25" s="187" t="s">
        <v>189</v>
      </c>
      <c r="C25" s="172" t="str">
        <f>VLOOKUP(B25,NodeList!$D$5:$E$73,2,FALSE)</f>
        <v>AggDiv SC-2</v>
      </c>
      <c r="D25">
        <v>0</v>
      </c>
      <c r="E25">
        <v>0</v>
      </c>
      <c r="F25">
        <v>0</v>
      </c>
      <c r="G25">
        <v>0</v>
      </c>
      <c r="H25">
        <v>0</v>
      </c>
      <c r="I25">
        <v>0</v>
      </c>
      <c r="J25">
        <v>0</v>
      </c>
      <c r="K25">
        <v>0</v>
      </c>
      <c r="L25">
        <v>0</v>
      </c>
      <c r="M25">
        <v>0</v>
      </c>
      <c r="N25">
        <v>0</v>
      </c>
      <c r="O25">
        <v>0</v>
      </c>
    </row>
    <row r="26" spans="2:15" ht="15">
      <c r="B26" s="187" t="s">
        <v>79</v>
      </c>
      <c r="C26" s="172" t="str">
        <f>VLOOKUP(B26,NodeList!$D$5:$E$73,2,FALSE)</f>
        <v>Confluence Sulphur Creek / Bear River</v>
      </c>
      <c r="D26">
        <v>0</v>
      </c>
      <c r="E26">
        <v>0</v>
      </c>
      <c r="F26">
        <v>0</v>
      </c>
      <c r="G26">
        <v>0</v>
      </c>
      <c r="H26">
        <v>0</v>
      </c>
      <c r="I26">
        <v>0</v>
      </c>
      <c r="J26">
        <v>0</v>
      </c>
      <c r="K26">
        <v>0</v>
      </c>
      <c r="L26">
        <v>0</v>
      </c>
      <c r="M26">
        <v>0</v>
      </c>
      <c r="N26">
        <v>0</v>
      </c>
      <c r="O26">
        <v>0</v>
      </c>
    </row>
    <row r="27" spans="2:15" ht="15">
      <c r="B27" s="187" t="s">
        <v>71</v>
      </c>
      <c r="C27" s="172" t="str">
        <f>VLOOKUP(B27,NodeList!$D$5:$E$73,2,FALSE)</f>
        <v>Evanston Water Ditch</v>
      </c>
      <c r="D27">
        <v>0</v>
      </c>
      <c r="E27">
        <v>0</v>
      </c>
      <c r="F27">
        <v>0</v>
      </c>
      <c r="G27">
        <v>0</v>
      </c>
      <c r="H27">
        <v>0</v>
      </c>
      <c r="I27">
        <v>0</v>
      </c>
      <c r="J27">
        <v>0</v>
      </c>
      <c r="K27">
        <v>0</v>
      </c>
      <c r="L27">
        <v>0</v>
      </c>
      <c r="M27">
        <v>0</v>
      </c>
      <c r="N27">
        <v>0</v>
      </c>
      <c r="O27">
        <v>0</v>
      </c>
    </row>
    <row r="28" spans="2:15" ht="15">
      <c r="B28" s="187" t="s">
        <v>149</v>
      </c>
      <c r="C28" s="172" t="str">
        <f>VLOOKUP(B28,NodeList!$D$5:$E$73,2,FALSE)</f>
        <v>Rocky Mtn &amp; Blyth</v>
      </c>
      <c r="D28">
        <v>0</v>
      </c>
      <c r="E28">
        <v>0</v>
      </c>
      <c r="F28">
        <v>0</v>
      </c>
      <c r="G28">
        <v>0</v>
      </c>
      <c r="H28">
        <v>0</v>
      </c>
      <c r="I28">
        <v>0</v>
      </c>
      <c r="J28">
        <v>0</v>
      </c>
      <c r="K28">
        <v>0</v>
      </c>
      <c r="L28">
        <v>0</v>
      </c>
      <c r="M28">
        <v>0</v>
      </c>
      <c r="N28">
        <v>0</v>
      </c>
      <c r="O28">
        <v>0</v>
      </c>
    </row>
    <row r="29" spans="2:15" ht="15">
      <c r="B29" s="187" t="s">
        <v>119</v>
      </c>
      <c r="C29" s="172" t="str">
        <f>VLOOKUP(B29,NodeList!$D$5:$E$73,2,FALSE)</f>
        <v>USGS 10016900: Bear R. at Evanston, WY</v>
      </c>
      <c r="D29">
        <v>0</v>
      </c>
      <c r="E29">
        <v>0</v>
      </c>
      <c r="F29">
        <v>0</v>
      </c>
      <c r="G29">
        <v>0</v>
      </c>
      <c r="H29">
        <v>0</v>
      </c>
      <c r="I29">
        <v>0</v>
      </c>
      <c r="J29">
        <v>0</v>
      </c>
      <c r="K29">
        <v>0</v>
      </c>
      <c r="L29">
        <v>0</v>
      </c>
      <c r="M29">
        <v>0</v>
      </c>
      <c r="N29">
        <v>0</v>
      </c>
      <c r="O29">
        <v>0</v>
      </c>
    </row>
    <row r="30" spans="2:15" ht="15">
      <c r="B30" s="187" t="s">
        <v>141</v>
      </c>
      <c r="C30" s="172" t="str">
        <f>VLOOKUP(B30,NodeList!$D$5:$E$73,2,FALSE)</f>
        <v>John Simms</v>
      </c>
      <c r="D30">
        <v>0</v>
      </c>
      <c r="E30">
        <v>0</v>
      </c>
      <c r="F30">
        <v>0</v>
      </c>
      <c r="G30">
        <v>0</v>
      </c>
      <c r="H30">
        <v>0</v>
      </c>
      <c r="I30">
        <v>0</v>
      </c>
      <c r="J30">
        <v>0</v>
      </c>
      <c r="K30">
        <v>0</v>
      </c>
      <c r="L30">
        <v>0</v>
      </c>
      <c r="M30">
        <v>0</v>
      </c>
      <c r="N30">
        <v>0</v>
      </c>
      <c r="O30">
        <v>0</v>
      </c>
    </row>
    <row r="31" spans="2:15" ht="15">
      <c r="B31" s="187" t="s">
        <v>153</v>
      </c>
      <c r="C31" s="172" t="str">
        <f>VLOOKUP(B31,NodeList!$D$5:$E$73,2,FALSE)</f>
        <v>S P Ramsey</v>
      </c>
      <c r="D31">
        <v>0</v>
      </c>
      <c r="E31">
        <v>0</v>
      </c>
      <c r="F31">
        <v>0</v>
      </c>
      <c r="G31">
        <v>0</v>
      </c>
      <c r="H31">
        <v>0</v>
      </c>
      <c r="I31">
        <v>0</v>
      </c>
      <c r="J31">
        <v>0</v>
      </c>
      <c r="K31">
        <v>0</v>
      </c>
      <c r="L31">
        <v>0</v>
      </c>
      <c r="M31">
        <v>0</v>
      </c>
      <c r="N31">
        <v>0</v>
      </c>
      <c r="O31">
        <v>0</v>
      </c>
    </row>
    <row r="32" spans="2:15" ht="15">
      <c r="B32" s="187" t="s">
        <v>262</v>
      </c>
      <c r="C32" s="172" t="str">
        <f>VLOOKUP(B32,NodeList!$D$5:$E$73,2,FALSE)</f>
        <v>AggDiv BR-2</v>
      </c>
      <c r="D32">
        <v>0</v>
      </c>
      <c r="E32">
        <v>0</v>
      </c>
      <c r="F32">
        <v>0</v>
      </c>
      <c r="G32">
        <v>0</v>
      </c>
      <c r="H32">
        <v>0</v>
      </c>
      <c r="I32">
        <v>0</v>
      </c>
      <c r="J32">
        <v>0</v>
      </c>
      <c r="K32">
        <v>0</v>
      </c>
      <c r="L32">
        <v>0</v>
      </c>
      <c r="M32">
        <v>0</v>
      </c>
      <c r="N32">
        <v>0</v>
      </c>
      <c r="O32">
        <v>0</v>
      </c>
    </row>
    <row r="33" spans="2:15" ht="15">
      <c r="B33" s="187" t="s">
        <v>167</v>
      </c>
      <c r="C33" s="172" t="str">
        <f>VLOOKUP(B33,NodeList!$D$5:$E$73,2,FALSE)</f>
        <v>Confluence Yellow Creek / Bear River</v>
      </c>
      <c r="D33">
        <v>0</v>
      </c>
      <c r="E33">
        <v>0</v>
      </c>
      <c r="F33">
        <v>0</v>
      </c>
      <c r="G33">
        <v>0</v>
      </c>
      <c r="H33">
        <v>0</v>
      </c>
      <c r="I33">
        <v>0</v>
      </c>
      <c r="J33">
        <v>0</v>
      </c>
      <c r="K33">
        <v>0</v>
      </c>
      <c r="L33">
        <v>0</v>
      </c>
      <c r="M33">
        <v>0</v>
      </c>
      <c r="N33">
        <v>0</v>
      </c>
      <c r="O33">
        <v>0</v>
      </c>
    </row>
    <row r="34" spans="2:15" ht="15">
      <c r="B34" s="187" t="s">
        <v>134</v>
      </c>
      <c r="C34" s="172" t="str">
        <f>VLOOKUP(B34,NodeList!$D$5:$E$73,2,FALSE)</f>
        <v>Chapman Canal</v>
      </c>
      <c r="D34">
        <v>0</v>
      </c>
      <c r="E34">
        <v>0</v>
      </c>
      <c r="F34">
        <v>0</v>
      </c>
      <c r="G34">
        <v>0</v>
      </c>
      <c r="H34">
        <v>0</v>
      </c>
      <c r="I34">
        <v>0</v>
      </c>
      <c r="J34">
        <v>0</v>
      </c>
      <c r="K34">
        <v>0</v>
      </c>
      <c r="L34">
        <v>0</v>
      </c>
      <c r="M34">
        <v>0</v>
      </c>
      <c r="N34">
        <v>0</v>
      </c>
      <c r="O34">
        <v>0</v>
      </c>
    </row>
    <row r="35" spans="2:15" ht="15">
      <c r="B35" s="187" t="s">
        <v>143</v>
      </c>
      <c r="C35" s="172" t="str">
        <f>VLOOKUP(B35,NodeList!$D$5:$E$73,2,FALSE)</f>
        <v>Morris Bros (Lower)</v>
      </c>
      <c r="D35">
        <v>0</v>
      </c>
      <c r="E35">
        <v>0</v>
      </c>
      <c r="F35">
        <v>0</v>
      </c>
      <c r="G35">
        <v>0</v>
      </c>
      <c r="H35">
        <v>0</v>
      </c>
      <c r="I35">
        <v>0</v>
      </c>
      <c r="J35">
        <v>0</v>
      </c>
      <c r="K35">
        <v>0</v>
      </c>
      <c r="L35">
        <v>0</v>
      </c>
      <c r="M35">
        <v>0</v>
      </c>
      <c r="N35">
        <v>0</v>
      </c>
      <c r="O35">
        <v>0</v>
      </c>
    </row>
    <row r="36" spans="2:15" ht="15">
      <c r="B36" s="187" t="s">
        <v>155</v>
      </c>
      <c r="C36" s="172" t="str">
        <f>VLOOKUP(B36,NodeList!$D$5:$E$73,2,FALSE)</f>
        <v>AggDiv BR-3</v>
      </c>
      <c r="D36">
        <v>0</v>
      </c>
      <c r="E36">
        <v>0</v>
      </c>
      <c r="F36">
        <v>0</v>
      </c>
      <c r="G36">
        <v>0</v>
      </c>
      <c r="H36">
        <v>0</v>
      </c>
      <c r="I36">
        <v>0</v>
      </c>
      <c r="J36">
        <v>0</v>
      </c>
      <c r="K36">
        <v>0</v>
      </c>
      <c r="L36">
        <v>0</v>
      </c>
      <c r="M36">
        <v>0</v>
      </c>
      <c r="N36">
        <v>0</v>
      </c>
      <c r="O36">
        <v>0</v>
      </c>
    </row>
    <row r="37" spans="2:15" ht="15">
      <c r="B37" s="187" t="s">
        <v>265</v>
      </c>
      <c r="C37" s="172" t="str">
        <f>VLOOKUP(B37,NodeList!$D$5:$E$73,2,FALSE)</f>
        <v>Tunnel</v>
      </c>
      <c r="D37">
        <v>0</v>
      </c>
      <c r="E37">
        <v>0</v>
      </c>
      <c r="F37">
        <v>0</v>
      </c>
      <c r="G37">
        <v>0</v>
      </c>
      <c r="H37">
        <v>0</v>
      </c>
      <c r="I37">
        <v>0</v>
      </c>
      <c r="J37">
        <v>0</v>
      </c>
      <c r="K37">
        <v>0</v>
      </c>
      <c r="L37">
        <v>0</v>
      </c>
      <c r="M37">
        <v>0</v>
      </c>
      <c r="N37">
        <v>0</v>
      </c>
      <c r="O37">
        <v>0</v>
      </c>
    </row>
    <row r="38" spans="2:15" ht="15">
      <c r="B38" s="187" t="s">
        <v>120</v>
      </c>
      <c r="C38" s="172" t="str">
        <f>VLOOKUP(B38,NodeList!$D$5:$E$73,2,FALSE)</f>
        <v>USGS 10020100:  Bear R. ab res. nr Woodruff, UT</v>
      </c>
      <c r="D38">
        <v>0</v>
      </c>
      <c r="E38">
        <v>0</v>
      </c>
      <c r="F38">
        <v>0</v>
      </c>
      <c r="G38">
        <v>0</v>
      </c>
      <c r="H38">
        <v>0</v>
      </c>
      <c r="I38">
        <v>0</v>
      </c>
      <c r="J38">
        <v>0</v>
      </c>
      <c r="K38">
        <v>0</v>
      </c>
      <c r="L38">
        <v>0</v>
      </c>
      <c r="M38">
        <v>0</v>
      </c>
      <c r="N38">
        <v>0</v>
      </c>
      <c r="O38">
        <v>0</v>
      </c>
    </row>
    <row r="39" spans="2:15" ht="15">
      <c r="B39" s="187" t="s">
        <v>162</v>
      </c>
      <c r="C39" s="172" t="str">
        <f>VLOOKUP(B39,NodeList!$D$5:$E$73,2,FALSE)</f>
        <v>Woodruff Narrows Reservoir</v>
      </c>
      <c r="D39">
        <v>0</v>
      </c>
      <c r="E39">
        <v>0</v>
      </c>
      <c r="F39">
        <v>0</v>
      </c>
      <c r="G39">
        <v>0</v>
      </c>
      <c r="H39">
        <v>0</v>
      </c>
      <c r="I39">
        <v>0</v>
      </c>
      <c r="J39">
        <v>0</v>
      </c>
      <c r="K39">
        <v>0</v>
      </c>
      <c r="L39">
        <v>0</v>
      </c>
      <c r="M39">
        <v>0</v>
      </c>
      <c r="N39">
        <v>0</v>
      </c>
      <c r="O39">
        <v>0</v>
      </c>
    </row>
    <row r="40" spans="2:15" ht="15">
      <c r="B40" s="187" t="s">
        <v>121</v>
      </c>
      <c r="C40" s="172" t="str">
        <f>VLOOKUP(B40,NodeList!$D$5:$E$73,2,FALSE)</f>
        <v>USGS 10020300:  Bear R. bel res. nr Woodruff, UT</v>
      </c>
      <c r="D40">
        <v>0</v>
      </c>
      <c r="E40">
        <v>0</v>
      </c>
      <c r="F40">
        <v>0</v>
      </c>
      <c r="G40">
        <v>0</v>
      </c>
      <c r="H40">
        <v>0</v>
      </c>
      <c r="I40">
        <v>0</v>
      </c>
      <c r="J40">
        <v>0</v>
      </c>
      <c r="K40">
        <v>0</v>
      </c>
      <c r="L40">
        <v>0</v>
      </c>
      <c r="M40">
        <v>0</v>
      </c>
      <c r="N40">
        <v>0</v>
      </c>
      <c r="O40">
        <v>0</v>
      </c>
    </row>
    <row r="41" spans="2:15" ht="15">
      <c r="B41" s="187" t="s">
        <v>139</v>
      </c>
      <c r="C41" s="172" t="str">
        <f>VLOOKUP(B41,NodeList!$D$5:$E$73,2,FALSE)</f>
        <v>Francis Lee</v>
      </c>
      <c r="D41">
        <v>0</v>
      </c>
      <c r="E41">
        <v>0</v>
      </c>
      <c r="F41">
        <v>0</v>
      </c>
      <c r="G41">
        <v>0</v>
      </c>
      <c r="H41">
        <v>0</v>
      </c>
      <c r="I41">
        <v>0</v>
      </c>
      <c r="J41">
        <v>0</v>
      </c>
      <c r="K41">
        <v>0</v>
      </c>
      <c r="L41">
        <v>0</v>
      </c>
      <c r="M41">
        <v>0</v>
      </c>
      <c r="N41">
        <v>0</v>
      </c>
      <c r="O41">
        <v>0</v>
      </c>
    </row>
    <row r="42" spans="2:15" ht="15">
      <c r="B42" s="187" t="s">
        <v>130</v>
      </c>
      <c r="C42" s="172" t="str">
        <f>VLOOKUP(B42,NodeList!$D$5:$E$73,2,FALSE)</f>
        <v>Bear River Canal</v>
      </c>
      <c r="D42">
        <v>0</v>
      </c>
      <c r="E42">
        <v>0</v>
      </c>
      <c r="F42">
        <v>0</v>
      </c>
      <c r="G42">
        <v>0</v>
      </c>
      <c r="H42">
        <v>0</v>
      </c>
      <c r="I42">
        <v>0</v>
      </c>
      <c r="J42">
        <v>0</v>
      </c>
      <c r="K42">
        <v>0</v>
      </c>
      <c r="L42">
        <v>0</v>
      </c>
      <c r="M42">
        <v>0</v>
      </c>
      <c r="N42">
        <v>0</v>
      </c>
      <c r="O42">
        <v>0</v>
      </c>
    </row>
    <row r="43" spans="2:15" ht="15">
      <c r="B43" s="187" t="s">
        <v>230</v>
      </c>
      <c r="C43" s="172" t="str">
        <f>VLOOKUP(B43,NodeList!$D$5:$E$73,2,FALSE)</f>
        <v>Aggregate Utah Diversions</v>
      </c>
      <c r="D43">
        <v>0</v>
      </c>
      <c r="E43">
        <v>0</v>
      </c>
      <c r="F43">
        <v>0</v>
      </c>
      <c r="G43">
        <v>0</v>
      </c>
      <c r="H43">
        <v>0</v>
      </c>
      <c r="I43">
        <v>0</v>
      </c>
      <c r="J43">
        <v>0</v>
      </c>
      <c r="K43">
        <v>0</v>
      </c>
      <c r="L43">
        <v>0</v>
      </c>
      <c r="M43">
        <v>0</v>
      </c>
      <c r="N43">
        <v>0</v>
      </c>
      <c r="O43">
        <v>0</v>
      </c>
    </row>
    <row r="44" spans="2:15" ht="15">
      <c r="B44" s="187" t="s">
        <v>556</v>
      </c>
      <c r="C44" s="172" t="str">
        <f>VLOOKUP(B44,NodeList!$D$5:$E$73,2,FALSE)</f>
        <v>Partial Returns from Aggregate Utah Diversions</v>
      </c>
      <c r="D44">
        <v>0</v>
      </c>
      <c r="E44">
        <v>0</v>
      </c>
      <c r="F44">
        <v>0</v>
      </c>
      <c r="G44">
        <v>0</v>
      </c>
      <c r="H44">
        <v>0</v>
      </c>
      <c r="I44">
        <v>0</v>
      </c>
      <c r="J44">
        <v>0</v>
      </c>
      <c r="K44">
        <v>0</v>
      </c>
      <c r="L44">
        <v>0</v>
      </c>
      <c r="M44">
        <v>0</v>
      </c>
      <c r="N44">
        <v>0</v>
      </c>
      <c r="O44">
        <v>0</v>
      </c>
    </row>
    <row r="45" spans="2:15" ht="15">
      <c r="B45" s="187" t="s">
        <v>122</v>
      </c>
      <c r="C45" s="172" t="str">
        <f>VLOOKUP(B45,NodeList!$D$5:$E$73,2,FALSE)</f>
        <v>USGS 10026500:  Bear R. nr Randolph, UT</v>
      </c>
      <c r="D45">
        <v>0</v>
      </c>
      <c r="E45">
        <v>0</v>
      </c>
      <c r="F45">
        <v>0</v>
      </c>
      <c r="G45">
        <v>0</v>
      </c>
      <c r="H45">
        <v>0</v>
      </c>
      <c r="I45">
        <v>0</v>
      </c>
      <c r="J45">
        <v>0</v>
      </c>
      <c r="K45">
        <v>0</v>
      </c>
      <c r="L45">
        <v>0</v>
      </c>
      <c r="M45">
        <v>0</v>
      </c>
      <c r="N45">
        <v>0</v>
      </c>
      <c r="O45">
        <v>0</v>
      </c>
    </row>
    <row r="46" spans="2:15" ht="15">
      <c r="B46" s="187" t="s">
        <v>164</v>
      </c>
      <c r="C46" s="172" t="str">
        <f>VLOOKUP(B46,NodeList!$D$5:$E$73,2,FALSE)</f>
        <v>Pixley Dam</v>
      </c>
      <c r="D46">
        <v>0</v>
      </c>
      <c r="E46">
        <v>0</v>
      </c>
      <c r="F46">
        <v>0</v>
      </c>
      <c r="G46">
        <v>0</v>
      </c>
      <c r="H46">
        <v>0</v>
      </c>
      <c r="I46">
        <v>0</v>
      </c>
      <c r="J46">
        <v>0</v>
      </c>
      <c r="K46">
        <v>0</v>
      </c>
      <c r="L46">
        <v>0</v>
      </c>
      <c r="M46">
        <v>0</v>
      </c>
      <c r="N46">
        <v>0</v>
      </c>
      <c r="O46">
        <v>0</v>
      </c>
    </row>
    <row r="47" spans="2:15" ht="15">
      <c r="B47" s="187" t="s">
        <v>270</v>
      </c>
      <c r="C47" s="172" t="str">
        <f>VLOOKUP(B47,NodeList!$D$5:$E$73,2,FALSE)</f>
        <v>BQ Dam</v>
      </c>
      <c r="D47">
        <v>0</v>
      </c>
      <c r="E47">
        <v>0</v>
      </c>
      <c r="F47">
        <v>0</v>
      </c>
      <c r="G47">
        <v>0</v>
      </c>
      <c r="H47">
        <v>0</v>
      </c>
      <c r="I47">
        <v>0</v>
      </c>
      <c r="J47">
        <v>0</v>
      </c>
      <c r="K47">
        <v>0</v>
      </c>
      <c r="L47">
        <v>0</v>
      </c>
      <c r="M47">
        <v>0</v>
      </c>
      <c r="N47">
        <v>0</v>
      </c>
      <c r="O47">
        <v>0</v>
      </c>
    </row>
    <row r="48" spans="2:15" ht="15">
      <c r="B48" s="187" t="s">
        <v>123</v>
      </c>
      <c r="C48" s="172" t="str">
        <f>VLOOKUP(B48,NodeList!$D$5:$E$73,2,FALSE)</f>
        <v>USGS 10028500:  Bear R. bel Pixley Dam, near Cokeville, WY</v>
      </c>
      <c r="D48">
        <v>0</v>
      </c>
      <c r="E48">
        <v>0</v>
      </c>
      <c r="F48">
        <v>0</v>
      </c>
      <c r="G48">
        <v>0</v>
      </c>
      <c r="H48">
        <v>0</v>
      </c>
      <c r="I48">
        <v>0</v>
      </c>
      <c r="J48">
        <v>0</v>
      </c>
      <c r="K48">
        <v>0</v>
      </c>
      <c r="L48">
        <v>0</v>
      </c>
      <c r="M48">
        <v>0</v>
      </c>
      <c r="N48">
        <v>0</v>
      </c>
      <c r="O48">
        <v>0</v>
      </c>
    </row>
    <row r="49" spans="2:15" ht="15">
      <c r="B49" s="187" t="s">
        <v>166</v>
      </c>
      <c r="C49" s="172" t="str">
        <f>VLOOKUP(B49,NodeList!$D$5:$E$73,2,FALSE)</f>
        <v>Confluence Smiths Fork / Bear</v>
      </c>
      <c r="D49">
        <v>0</v>
      </c>
      <c r="E49">
        <v>0</v>
      </c>
      <c r="F49">
        <v>0</v>
      </c>
      <c r="G49">
        <v>0</v>
      </c>
      <c r="H49">
        <v>0</v>
      </c>
      <c r="I49">
        <v>0</v>
      </c>
      <c r="J49">
        <v>0</v>
      </c>
      <c r="K49">
        <v>0</v>
      </c>
      <c r="L49">
        <v>0</v>
      </c>
      <c r="M49">
        <v>0</v>
      </c>
      <c r="N49">
        <v>0</v>
      </c>
      <c r="O49">
        <v>0</v>
      </c>
    </row>
    <row r="50" spans="2:15" ht="15">
      <c r="B50" s="187" t="s">
        <v>327</v>
      </c>
      <c r="C50" s="172" t="str">
        <f>VLOOKUP(B50,NodeList!$D$5:$E$73,2,FALSE)</f>
        <v>AggDiv BR-4</v>
      </c>
      <c r="D50">
        <v>0</v>
      </c>
      <c r="E50">
        <v>0</v>
      </c>
      <c r="F50">
        <v>0</v>
      </c>
      <c r="G50">
        <v>0</v>
      </c>
      <c r="H50">
        <v>0</v>
      </c>
      <c r="I50">
        <v>0</v>
      </c>
      <c r="J50">
        <v>0</v>
      </c>
      <c r="K50">
        <v>0</v>
      </c>
      <c r="L50">
        <v>0</v>
      </c>
      <c r="M50">
        <v>0</v>
      </c>
      <c r="N50">
        <v>0</v>
      </c>
      <c r="O50">
        <v>0</v>
      </c>
    </row>
    <row r="51" spans="2:15" ht="15">
      <c r="B51" s="187" t="s">
        <v>147</v>
      </c>
      <c r="C51" s="172" t="str">
        <f>VLOOKUP(B51,NodeList!$D$5:$E$73,2,FALSE)</f>
        <v>USGS 10032000:  Smiths Fork nr Border,WY</v>
      </c>
      <c r="D51">
        <v>0</v>
      </c>
      <c r="E51">
        <v>0</v>
      </c>
      <c r="F51">
        <v>0</v>
      </c>
      <c r="G51">
        <v>0</v>
      </c>
      <c r="H51">
        <v>0</v>
      </c>
      <c r="I51">
        <v>0</v>
      </c>
      <c r="J51">
        <v>0</v>
      </c>
      <c r="K51">
        <v>0</v>
      </c>
      <c r="L51">
        <v>0</v>
      </c>
      <c r="M51">
        <v>0</v>
      </c>
      <c r="N51">
        <v>0</v>
      </c>
      <c r="O51">
        <v>0</v>
      </c>
    </row>
    <row r="52" spans="2:15" ht="15">
      <c r="B52" s="187" t="s">
        <v>132</v>
      </c>
      <c r="C52" s="172" t="str">
        <f>VLOOKUP(B52,NodeList!$D$5:$E$73,2,FALSE)</f>
        <v>Button Flat</v>
      </c>
      <c r="D52">
        <v>0</v>
      </c>
      <c r="E52">
        <v>0</v>
      </c>
      <c r="F52">
        <v>0</v>
      </c>
      <c r="G52">
        <v>0</v>
      </c>
      <c r="H52">
        <v>0</v>
      </c>
      <c r="I52">
        <v>0</v>
      </c>
      <c r="J52">
        <v>0</v>
      </c>
      <c r="K52">
        <v>0</v>
      </c>
      <c r="L52">
        <v>0</v>
      </c>
      <c r="M52">
        <v>0</v>
      </c>
      <c r="N52">
        <v>0</v>
      </c>
      <c r="O52">
        <v>0</v>
      </c>
    </row>
    <row r="53" spans="2:15" ht="15">
      <c r="B53" s="187" t="s">
        <v>138</v>
      </c>
      <c r="C53" s="172" t="str">
        <f>VLOOKUP(B53,NodeList!$D$5:$E$73,2,FALSE)</f>
        <v>Emelle</v>
      </c>
      <c r="D53">
        <v>0</v>
      </c>
      <c r="E53">
        <v>0</v>
      </c>
      <c r="F53">
        <v>0</v>
      </c>
      <c r="G53">
        <v>0</v>
      </c>
      <c r="H53">
        <v>0</v>
      </c>
      <c r="I53">
        <v>0</v>
      </c>
      <c r="J53">
        <v>0</v>
      </c>
      <c r="K53">
        <v>0</v>
      </c>
      <c r="L53">
        <v>0</v>
      </c>
      <c r="M53">
        <v>0</v>
      </c>
      <c r="N53">
        <v>0</v>
      </c>
      <c r="O53">
        <v>0</v>
      </c>
    </row>
    <row r="54" spans="2:15" ht="15">
      <c r="B54" s="187" t="s">
        <v>136</v>
      </c>
      <c r="C54" s="172" t="str">
        <f>VLOOKUP(B54,NodeList!$D$5:$E$73,2,FALSE)</f>
        <v>Cooper</v>
      </c>
      <c r="D54">
        <v>0</v>
      </c>
      <c r="E54">
        <v>0</v>
      </c>
      <c r="F54">
        <v>0</v>
      </c>
      <c r="G54">
        <v>0</v>
      </c>
      <c r="H54">
        <v>0</v>
      </c>
      <c r="I54">
        <v>0</v>
      </c>
      <c r="J54">
        <v>0</v>
      </c>
      <c r="K54">
        <v>0</v>
      </c>
      <c r="L54">
        <v>0</v>
      </c>
      <c r="M54">
        <v>0</v>
      </c>
      <c r="N54">
        <v>0</v>
      </c>
      <c r="O54">
        <v>0</v>
      </c>
    </row>
    <row r="55" spans="2:15" ht="15">
      <c r="B55" s="187" t="s">
        <v>137</v>
      </c>
      <c r="C55" s="172" t="str">
        <f>VLOOKUP(B55,NodeList!$D$5:$E$73,2,FALSE)</f>
        <v>Covey</v>
      </c>
      <c r="D55">
        <v>0</v>
      </c>
      <c r="E55">
        <v>0</v>
      </c>
      <c r="F55">
        <v>0</v>
      </c>
      <c r="G55">
        <v>0</v>
      </c>
      <c r="H55">
        <v>0</v>
      </c>
      <c r="I55">
        <v>0</v>
      </c>
      <c r="J55">
        <v>0</v>
      </c>
      <c r="K55">
        <v>0</v>
      </c>
      <c r="L55">
        <v>0</v>
      </c>
      <c r="M55">
        <v>0</v>
      </c>
      <c r="N55">
        <v>0</v>
      </c>
      <c r="O55">
        <v>0</v>
      </c>
    </row>
    <row r="56" spans="2:15" ht="15">
      <c r="B56" s="187" t="s">
        <v>157</v>
      </c>
      <c r="C56" s="172" t="str">
        <f>VLOOKUP(B56,NodeList!$D$5:$E$73,2,FALSE)</f>
        <v>VH Canal</v>
      </c>
      <c r="D56">
        <v>0</v>
      </c>
      <c r="E56">
        <v>0</v>
      </c>
      <c r="F56">
        <v>0</v>
      </c>
      <c r="G56">
        <v>0</v>
      </c>
      <c r="H56">
        <v>0</v>
      </c>
      <c r="I56">
        <v>0</v>
      </c>
      <c r="J56">
        <v>0</v>
      </c>
      <c r="K56">
        <v>0</v>
      </c>
      <c r="L56">
        <v>0</v>
      </c>
      <c r="M56">
        <v>0</v>
      </c>
      <c r="N56">
        <v>0</v>
      </c>
      <c r="O56">
        <v>0</v>
      </c>
    </row>
    <row r="57" spans="2:15" ht="15">
      <c r="B57" s="187" t="s">
        <v>140</v>
      </c>
      <c r="C57" s="172" t="str">
        <f>VLOOKUP(B57,NodeList!$D$5:$E$73,2,FALSE)</f>
        <v>Goodell</v>
      </c>
      <c r="D57">
        <v>0</v>
      </c>
      <c r="E57">
        <v>0</v>
      </c>
      <c r="F57">
        <v>0</v>
      </c>
      <c r="G57">
        <v>0</v>
      </c>
      <c r="H57">
        <v>0</v>
      </c>
      <c r="I57">
        <v>0</v>
      </c>
      <c r="J57">
        <v>0</v>
      </c>
      <c r="K57">
        <v>0</v>
      </c>
      <c r="L57">
        <v>0</v>
      </c>
      <c r="M57">
        <v>0</v>
      </c>
      <c r="N57">
        <v>0</v>
      </c>
      <c r="O57">
        <v>0</v>
      </c>
    </row>
    <row r="58" spans="2:15" ht="15">
      <c r="B58" s="187" t="s">
        <v>159</v>
      </c>
      <c r="C58" s="172" t="str">
        <f>VLOOKUP(B58,NodeList!$D$5:$E$73,2,FALSE)</f>
        <v>Whites Water</v>
      </c>
      <c r="D58">
        <v>0</v>
      </c>
      <c r="E58">
        <v>0</v>
      </c>
      <c r="F58">
        <v>0</v>
      </c>
      <c r="G58">
        <v>0</v>
      </c>
      <c r="H58">
        <v>0</v>
      </c>
      <c r="I58">
        <v>0</v>
      </c>
      <c r="J58">
        <v>0</v>
      </c>
      <c r="K58">
        <v>0</v>
      </c>
      <c r="L58">
        <v>0</v>
      </c>
      <c r="M58">
        <v>0</v>
      </c>
      <c r="N58">
        <v>0</v>
      </c>
      <c r="O58">
        <v>0</v>
      </c>
    </row>
    <row r="59" spans="2:15" ht="15">
      <c r="B59" s="187" t="s">
        <v>151</v>
      </c>
      <c r="C59" s="172" t="str">
        <f>VLOOKUP(B59,NodeList!$D$5:$E$73,2,FALSE)</f>
        <v>S Branch Irrigating</v>
      </c>
      <c r="D59">
        <v>0</v>
      </c>
      <c r="E59">
        <v>0</v>
      </c>
      <c r="F59">
        <v>0</v>
      </c>
      <c r="G59">
        <v>0</v>
      </c>
      <c r="H59">
        <v>0</v>
      </c>
      <c r="I59">
        <v>0</v>
      </c>
      <c r="J59">
        <v>0</v>
      </c>
      <c r="K59">
        <v>0</v>
      </c>
      <c r="L59">
        <v>0</v>
      </c>
      <c r="M59">
        <v>0</v>
      </c>
      <c r="N59">
        <v>0</v>
      </c>
      <c r="O59">
        <v>0</v>
      </c>
    </row>
    <row r="60" spans="2:15" ht="15">
      <c r="B60" s="187" t="s">
        <v>312</v>
      </c>
      <c r="C60" s="172" t="str">
        <f>VLOOKUP(B60,NodeList!$D$5:$E$73,2,FALSE)</f>
        <v>AggDiv SF-1</v>
      </c>
      <c r="D60">
        <v>0</v>
      </c>
      <c r="E60">
        <v>0</v>
      </c>
      <c r="F60">
        <v>0</v>
      </c>
      <c r="G60">
        <v>0</v>
      </c>
      <c r="H60">
        <v>0</v>
      </c>
      <c r="I60">
        <v>0</v>
      </c>
      <c r="J60">
        <v>0</v>
      </c>
      <c r="K60">
        <v>0</v>
      </c>
      <c r="L60">
        <v>0</v>
      </c>
      <c r="M60">
        <v>0</v>
      </c>
      <c r="N60">
        <v>0</v>
      </c>
      <c r="O60">
        <v>0</v>
      </c>
    </row>
    <row r="61" spans="2:15" ht="15">
      <c r="B61" s="187" t="s">
        <v>124</v>
      </c>
      <c r="C61" s="172" t="str">
        <f>VLOOKUP(B61,NodeList!$D$5:$E$73,2,FALSE)</f>
        <v>USGS 10038000:  Bear R. bel Smiths Fork, nr Cokeville, WY</v>
      </c>
      <c r="D61">
        <v>0</v>
      </c>
      <c r="E61">
        <v>0</v>
      </c>
      <c r="F61">
        <v>0</v>
      </c>
      <c r="G61">
        <v>0</v>
      </c>
      <c r="H61">
        <v>0</v>
      </c>
      <c r="I61">
        <v>0</v>
      </c>
      <c r="J61">
        <v>0</v>
      </c>
      <c r="K61">
        <v>0</v>
      </c>
      <c r="L61">
        <v>0</v>
      </c>
      <c r="M61">
        <v>0</v>
      </c>
      <c r="N61">
        <v>0</v>
      </c>
      <c r="O61">
        <v>0</v>
      </c>
    </row>
    <row r="62" spans="2:15" ht="15">
      <c r="B62" s="187" t="s">
        <v>127</v>
      </c>
      <c r="C62" s="172" t="str">
        <f>VLOOKUP(B62,NodeList!$D$5:$E$73,2,FALSE)</f>
        <v>AggDiv BR-5</v>
      </c>
      <c r="D62">
        <v>0</v>
      </c>
      <c r="E62">
        <v>0</v>
      </c>
      <c r="F62">
        <v>0</v>
      </c>
      <c r="G62">
        <v>0</v>
      </c>
      <c r="H62">
        <v>0</v>
      </c>
      <c r="I62">
        <v>0</v>
      </c>
      <c r="J62">
        <v>0</v>
      </c>
      <c r="K62">
        <v>0</v>
      </c>
      <c r="L62">
        <v>0</v>
      </c>
      <c r="M62">
        <v>0</v>
      </c>
      <c r="N62">
        <v>0</v>
      </c>
      <c r="O62">
        <v>0</v>
      </c>
    </row>
    <row r="63" spans="2:15" ht="15">
      <c r="B63" s="187" t="s">
        <v>145</v>
      </c>
      <c r="C63" s="172" t="str">
        <f>VLOOKUP(B63,NodeList!$D$5:$E$73,2,FALSE)</f>
        <v>Alonzo F. Sights</v>
      </c>
      <c r="D63">
        <v>0</v>
      </c>
      <c r="E63">
        <v>0</v>
      </c>
      <c r="F63">
        <v>0</v>
      </c>
      <c r="G63">
        <v>0</v>
      </c>
      <c r="H63">
        <v>0</v>
      </c>
      <c r="I63">
        <v>0</v>
      </c>
      <c r="J63">
        <v>0</v>
      </c>
      <c r="K63">
        <v>0</v>
      </c>
      <c r="L63">
        <v>0</v>
      </c>
      <c r="M63">
        <v>0</v>
      </c>
      <c r="N63">
        <v>0</v>
      </c>
      <c r="O63">
        <v>0</v>
      </c>
    </row>
    <row r="64" spans="2:15" ht="15">
      <c r="B64" s="187" t="s">
        <v>135</v>
      </c>
      <c r="C64" s="172" t="str">
        <f>VLOOKUP(B64,NodeList!$D$5:$E$73,2,FALSE)</f>
        <v>Oscar E. Snyder</v>
      </c>
      <c r="D64">
        <v>0</v>
      </c>
      <c r="E64">
        <v>0</v>
      </c>
      <c r="F64">
        <v>0</v>
      </c>
      <c r="G64">
        <v>0</v>
      </c>
      <c r="H64">
        <v>0</v>
      </c>
      <c r="I64">
        <v>0</v>
      </c>
      <c r="J64">
        <v>0</v>
      </c>
      <c r="K64">
        <v>0</v>
      </c>
      <c r="L64">
        <v>0</v>
      </c>
      <c r="M64">
        <v>0</v>
      </c>
      <c r="N64">
        <v>0</v>
      </c>
      <c r="O64">
        <v>0</v>
      </c>
    </row>
    <row r="65" spans="2:15" ht="15">
      <c r="B65" s="187" t="s">
        <v>274</v>
      </c>
      <c r="C65" s="172" t="str">
        <f>VLOOKUP(B65,NodeList!$D$5:$E$73,2,FALSE)</f>
        <v>Cook Brothers</v>
      </c>
      <c r="D65">
        <v>0</v>
      </c>
      <c r="E65">
        <v>0</v>
      </c>
      <c r="F65">
        <v>0</v>
      </c>
      <c r="G65">
        <v>0</v>
      </c>
      <c r="H65">
        <v>0</v>
      </c>
      <c r="I65">
        <v>0</v>
      </c>
      <c r="J65">
        <v>0</v>
      </c>
      <c r="K65">
        <v>0</v>
      </c>
      <c r="L65">
        <v>0</v>
      </c>
      <c r="M65">
        <v>0</v>
      </c>
      <c r="N65">
        <v>0</v>
      </c>
      <c r="O65">
        <v>0</v>
      </c>
    </row>
    <row r="66" spans="2:15" ht="15">
      <c r="B66" s="187" t="s">
        <v>125</v>
      </c>
      <c r="C66" s="172" t="str">
        <f>VLOOKUP(B66,NodeList!$D$5:$E$73,2,FALSE)</f>
        <v>USGS 10039500:  Bear R. at Border, WY</v>
      </c>
      <c r="D66">
        <v>0</v>
      </c>
      <c r="E66">
        <v>0</v>
      </c>
      <c r="F66">
        <v>0</v>
      </c>
      <c r="G66">
        <v>0</v>
      </c>
      <c r="H66">
        <v>0</v>
      </c>
      <c r="I66">
        <v>0</v>
      </c>
      <c r="J66">
        <v>0</v>
      </c>
      <c r="K66">
        <v>0</v>
      </c>
      <c r="L66">
        <v>0</v>
      </c>
      <c r="M66">
        <v>0</v>
      </c>
      <c r="N66">
        <v>0</v>
      </c>
      <c r="O66">
        <v>0</v>
      </c>
    </row>
    <row r="67" spans="2:15" ht="15">
      <c r="B67" s="187" t="s">
        <v>238</v>
      </c>
      <c r="C67" s="172" t="str">
        <f>VLOOKUP(B67,NodeList!$D$5:$E$73,2,FALSE)</f>
        <v>Confluence Thomas Fork</v>
      </c>
      <c r="D67">
        <v>0</v>
      </c>
      <c r="E67">
        <v>0</v>
      </c>
      <c r="F67">
        <v>0</v>
      </c>
      <c r="G67">
        <v>0</v>
      </c>
      <c r="H67">
        <v>0</v>
      </c>
      <c r="I67">
        <v>0</v>
      </c>
      <c r="J67">
        <v>0</v>
      </c>
      <c r="K67">
        <v>0</v>
      </c>
      <c r="L67">
        <v>0</v>
      </c>
      <c r="M67">
        <v>0</v>
      </c>
      <c r="N67">
        <v>0</v>
      </c>
      <c r="O67">
        <v>0</v>
      </c>
    </row>
    <row r="68" spans="2:15" ht="15">
      <c r="B68" s="187" t="s">
        <v>239</v>
      </c>
      <c r="C68" s="172" t="str">
        <f>VLOOKUP(B68,NodeList!$D$5:$E$73,2,FALSE)</f>
        <v>Aggregate Idaho Diversions</v>
      </c>
      <c r="D68">
        <v>0</v>
      </c>
      <c r="E68">
        <v>0</v>
      </c>
      <c r="F68">
        <v>0</v>
      </c>
      <c r="G68">
        <v>0</v>
      </c>
      <c r="H68">
        <v>0</v>
      </c>
      <c r="I68">
        <v>0</v>
      </c>
      <c r="J68">
        <v>0</v>
      </c>
      <c r="K68">
        <v>0</v>
      </c>
      <c r="L68">
        <v>0</v>
      </c>
      <c r="M68">
        <v>0</v>
      </c>
      <c r="N68">
        <v>0</v>
      </c>
      <c r="O68">
        <v>0</v>
      </c>
    </row>
    <row r="69" spans="2:15" ht="15">
      <c r="B69" s="187" t="s">
        <v>240</v>
      </c>
      <c r="C69" s="172" t="str">
        <f>VLOOKUP(B69,NodeList!$D$5:$E$73,2,FALSE)</f>
        <v>Rainbow Inlet</v>
      </c>
      <c r="D69">
        <v>0</v>
      </c>
      <c r="E69">
        <v>0</v>
      </c>
      <c r="F69">
        <v>0</v>
      </c>
      <c r="G69">
        <v>0</v>
      </c>
      <c r="H69">
        <v>0</v>
      </c>
      <c r="I69">
        <v>0</v>
      </c>
      <c r="J69">
        <v>0</v>
      </c>
      <c r="K69">
        <v>0</v>
      </c>
      <c r="L69">
        <v>0</v>
      </c>
      <c r="M69">
        <v>0</v>
      </c>
      <c r="N69">
        <v>0</v>
      </c>
      <c r="O69">
        <v>0</v>
      </c>
    </row>
    <row r="70" spans="2:15" ht="15">
      <c r="B70" s="187" t="s">
        <v>324</v>
      </c>
      <c r="C70" s="172" t="str">
        <f>VLOOKUP(B70,NodeList!$D$5:$E$73,2,FALSE)</f>
        <v>Stewart Dam</v>
      </c>
      <c r="D70">
        <v>0</v>
      </c>
      <c r="E70">
        <v>0</v>
      </c>
      <c r="F70">
        <v>0</v>
      </c>
      <c r="G70">
        <v>0</v>
      </c>
      <c r="H70">
        <v>0</v>
      </c>
      <c r="I70">
        <v>0</v>
      </c>
      <c r="J70">
        <v>0</v>
      </c>
      <c r="K70">
        <v>0</v>
      </c>
      <c r="L70">
        <v>0</v>
      </c>
      <c r="M70">
        <v>0</v>
      </c>
      <c r="N70">
        <v>0</v>
      </c>
      <c r="O70">
        <v>0</v>
      </c>
    </row>
    <row r="71" spans="2:15">
      <c r="B71" t="s">
        <v>188</v>
      </c>
    </row>
  </sheetData>
  <sheetProtection objects="1" scenarios="1"/>
  <mergeCells count="1">
    <mergeCell ref="L2:P2"/>
  </mergeCells>
  <phoneticPr fontId="0" type="noConversion"/>
  <pageMargins left="0.75" right="0.75" top="1" bottom="1" header="0.5" footer="0.5"/>
  <pageSetup scale="65" fitToHeight="4" orientation="landscape" horizontalDpi="4294967292" verticalDpi="0" r:id="rId1"/>
  <headerFooter alignWithMargins="0">
    <oddHeader>&amp;C&amp;"Arial,Bold"&amp;12Bear River Spreadsheet Model
Dry Year Conditions</oddHeader>
    <oddFooter>&amp;L&amp;F &amp;A&amp;RAPPENDIX A (Page &amp;P of &amp;N)</oddFooter>
  </headerFooter>
  <legacyDrawing r:id="rId2"/>
</worksheet>
</file>

<file path=xl/worksheets/sheet22.xml><?xml version="1.0" encoding="utf-8"?>
<worksheet xmlns="http://schemas.openxmlformats.org/spreadsheetml/2006/main" xmlns:r="http://schemas.openxmlformats.org/officeDocument/2006/relationships">
  <sheetPr codeName="Sheet10">
    <pageSetUpPr autoPageBreaks="0" fitToPage="1"/>
  </sheetPr>
  <dimension ref="B1:T22"/>
  <sheetViews>
    <sheetView showGridLines="0" tabSelected="1" zoomScale="90" zoomScaleNormal="90" workbookViewId="0">
      <pane ySplit="1" topLeftCell="A2" activePane="bottomLeft" state="frozen"/>
      <selection activeCell="B26" sqref="B26"/>
      <selection pane="bottomLeft" activeCell="Q22" sqref="Q22"/>
    </sheetView>
  </sheetViews>
  <sheetFormatPr defaultRowHeight="12.75"/>
  <cols>
    <col min="2" max="2" width="15.42578125" customWidth="1"/>
    <col min="3" max="3" width="56.42578125" customWidth="1"/>
    <col min="4" max="4" width="14.5703125" customWidth="1"/>
    <col min="5" max="5" width="10" bestFit="1" customWidth="1"/>
    <col min="6" max="6" width="9.42578125" bestFit="1" customWidth="1"/>
    <col min="7" max="11" width="10" bestFit="1" customWidth="1"/>
    <col min="12" max="14" width="9.42578125" bestFit="1" customWidth="1"/>
    <col min="15" max="15" width="10" bestFit="1" customWidth="1"/>
    <col min="16" max="16" width="9.42578125" bestFit="1" customWidth="1"/>
    <col min="17" max="17" width="11.28515625" bestFit="1" customWidth="1"/>
    <col min="18" max="18" width="10" bestFit="1" customWidth="1"/>
    <col min="19" max="19" width="9.28515625" bestFit="1" customWidth="1"/>
  </cols>
  <sheetData>
    <row r="1" spans="2:20" ht="42" customHeight="1">
      <c r="D1" s="163" t="s">
        <v>539</v>
      </c>
    </row>
    <row r="3" spans="2:20" ht="18">
      <c r="C3" s="175" t="s">
        <v>183</v>
      </c>
      <c r="H3" s="420"/>
      <c r="I3" s="420"/>
      <c r="J3" s="420"/>
      <c r="K3" s="420"/>
      <c r="L3" s="420"/>
      <c r="M3" s="420"/>
      <c r="N3" s="420"/>
      <c r="O3" s="420"/>
      <c r="P3" s="420"/>
      <c r="Q3" s="420"/>
      <c r="R3" s="420"/>
      <c r="S3" s="420"/>
    </row>
    <row r="4" spans="2:20" ht="13.5" thickBot="1"/>
    <row r="5" spans="2:20">
      <c r="B5" s="183" t="s">
        <v>126</v>
      </c>
      <c r="C5" s="184" t="s">
        <v>36</v>
      </c>
      <c r="D5" s="185" t="s">
        <v>182</v>
      </c>
      <c r="E5" s="184" t="s">
        <v>106</v>
      </c>
      <c r="F5" s="184" t="s">
        <v>107</v>
      </c>
      <c r="G5" s="184" t="s">
        <v>108</v>
      </c>
      <c r="H5" s="184" t="s">
        <v>109</v>
      </c>
      <c r="I5" s="184" t="s">
        <v>110</v>
      </c>
      <c r="J5" s="184" t="s">
        <v>111</v>
      </c>
      <c r="K5" s="184" t="s">
        <v>112</v>
      </c>
      <c r="L5" s="184" t="s">
        <v>113</v>
      </c>
      <c r="M5" s="184" t="s">
        <v>114</v>
      </c>
      <c r="N5" s="184" t="s">
        <v>115</v>
      </c>
      <c r="O5" s="184" t="s">
        <v>116</v>
      </c>
      <c r="P5" s="186" t="s">
        <v>117</v>
      </c>
      <c r="Q5" s="595" t="s">
        <v>577</v>
      </c>
      <c r="R5" s="595" t="s">
        <v>578</v>
      </c>
    </row>
    <row r="6" spans="2:20">
      <c r="B6" s="176" t="s">
        <v>76</v>
      </c>
      <c r="C6" s="268" t="str">
        <f>VLOOKUP(B6,NodeList!$D$5:$E$73,2,FALSE)</f>
        <v>USGS 10011500:  Bear River near UT-WY State Line</v>
      </c>
      <c r="D6" s="135">
        <v>10011500</v>
      </c>
      <c r="E6" s="292">
        <v>2333.4545454545455</v>
      </c>
      <c r="F6" s="292">
        <v>1964.6528925619834</v>
      </c>
      <c r="G6" s="292">
        <v>2438.7520661157023</v>
      </c>
      <c r="H6" s="292">
        <v>6854.1322314049585</v>
      </c>
      <c r="I6" s="292">
        <v>29154.34710743801</v>
      </c>
      <c r="J6" s="292">
        <v>20546.776859504131</v>
      </c>
      <c r="K6" s="292">
        <v>7386.9669421487597</v>
      </c>
      <c r="L6" s="292">
        <v>3515.553719008265</v>
      </c>
      <c r="M6" s="292">
        <v>2795.2066115702478</v>
      </c>
      <c r="N6" s="292">
        <v>3160.4628099173551</v>
      </c>
      <c r="O6" s="292">
        <v>2829.4214876033056</v>
      </c>
      <c r="P6" s="293">
        <v>2511</v>
      </c>
      <c r="Q6" s="241">
        <f>SUM(E6:P6)</f>
        <v>85490.727272727279</v>
      </c>
      <c r="R6" s="241">
        <f>SUM(I6:M6)</f>
        <v>63398.851239669413</v>
      </c>
    </row>
    <row r="7" spans="2:20">
      <c r="B7" s="176" t="s">
        <v>77</v>
      </c>
      <c r="C7" s="268" t="str">
        <f>VLOOKUP(B7,NodeList!$D$5:$E$73,2,FALSE)</f>
        <v>USGS 10015700:  Sulphur Cr. ab Res.Bl.La Chapelle Cr.Nr.Evanston,WY</v>
      </c>
      <c r="D7" s="135">
        <v>10015700</v>
      </c>
      <c r="E7" s="292">
        <v>180.74770661157024</v>
      </c>
      <c r="F7" s="292">
        <v>188.46940082644628</v>
      </c>
      <c r="G7" s="292">
        <v>886.07324380165301</v>
      </c>
      <c r="H7" s="292">
        <v>1143.808367768595</v>
      </c>
      <c r="I7" s="292">
        <v>1487.0920454545453</v>
      </c>
      <c r="J7" s="292">
        <v>639.0879132231405</v>
      </c>
      <c r="K7" s="292">
        <v>162.32173553719008</v>
      </c>
      <c r="L7" s="292">
        <v>60.872789256198352</v>
      </c>
      <c r="M7" s="292">
        <v>49.380061983471073</v>
      </c>
      <c r="N7" s="292">
        <v>135.11683884297523</v>
      </c>
      <c r="O7" s="292">
        <v>195.62840909090909</v>
      </c>
      <c r="P7" s="293">
        <v>178.57035123966944</v>
      </c>
      <c r="Q7" s="241">
        <f t="shared" ref="Q7:Q16" si="0">SUM(E7:P7)</f>
        <v>5307.1688636363633</v>
      </c>
      <c r="R7" s="241">
        <f t="shared" ref="R7:R16" si="1">SUM(I7:M7)</f>
        <v>2398.7545454545452</v>
      </c>
      <c r="S7" s="334"/>
    </row>
    <row r="8" spans="2:20">
      <c r="B8" s="176" t="s">
        <v>119</v>
      </c>
      <c r="C8" s="268" t="str">
        <f>VLOOKUP(B8,NodeList!$D$5:$E$73,2,FALSE)</f>
        <v>USGS 10016900: Bear R. at Evanston, WY</v>
      </c>
      <c r="D8" s="135">
        <v>10016900</v>
      </c>
      <c r="E8" s="292">
        <v>2432.2815786064011</v>
      </c>
      <c r="F8" s="292">
        <v>2776.5945900602419</v>
      </c>
      <c r="G8" s="292">
        <v>8389.0608944156811</v>
      </c>
      <c r="H8" s="292">
        <v>12068.607173922546</v>
      </c>
      <c r="I8" s="292">
        <v>28821.334041560003</v>
      </c>
      <c r="J8" s="292">
        <v>16304.137807868316</v>
      </c>
      <c r="K8" s="292">
        <v>4231.8520128381942</v>
      </c>
      <c r="L8" s="292">
        <v>2031.1662327383376</v>
      </c>
      <c r="M8" s="292">
        <v>1409.2499312710881</v>
      </c>
      <c r="N8" s="292">
        <v>1842.5320540929499</v>
      </c>
      <c r="O8" s="292">
        <v>2645.6056948834093</v>
      </c>
      <c r="P8" s="293">
        <v>2383.8663127583577</v>
      </c>
      <c r="Q8" s="241">
        <f t="shared" si="0"/>
        <v>85336.288325015528</v>
      </c>
      <c r="R8" s="241">
        <f t="shared" si="1"/>
        <v>52797.740026275933</v>
      </c>
      <c r="S8" s="334"/>
    </row>
    <row r="9" spans="2:20">
      <c r="B9" s="176" t="s">
        <v>120</v>
      </c>
      <c r="C9" s="268" t="str">
        <f>VLOOKUP(B9,NodeList!$D$5:$E$73,2,FALSE)</f>
        <v>USGS 10020100:  Bear R. ab res. nr Woodruff, UT</v>
      </c>
      <c r="D9" s="135">
        <v>10020100</v>
      </c>
      <c r="E9" s="292">
        <v>2041.0809917355368</v>
      </c>
      <c r="F9" s="292">
        <v>2221.2892561983472</v>
      </c>
      <c r="G9" s="292">
        <v>7039.5619834710742</v>
      </c>
      <c r="H9" s="292">
        <v>8908.5123966942137</v>
      </c>
      <c r="I9" s="292">
        <v>19755.198347107438</v>
      </c>
      <c r="J9" s="292">
        <v>12860.330578512398</v>
      </c>
      <c r="K9" s="292">
        <v>2092.4231404958678</v>
      </c>
      <c r="L9" s="292">
        <v>936.75595041322299</v>
      </c>
      <c r="M9" s="292">
        <v>626.2066115702479</v>
      </c>
      <c r="N9" s="292">
        <v>994.79256198347116</v>
      </c>
      <c r="O9" s="292">
        <v>1899.7438016528927</v>
      </c>
      <c r="P9" s="293">
        <v>1958.4570247933884</v>
      </c>
      <c r="Q9" s="241">
        <f t="shared" si="0"/>
        <v>61334.352644628096</v>
      </c>
      <c r="R9" s="241">
        <f t="shared" si="1"/>
        <v>36270.914628099177</v>
      </c>
    </row>
    <row r="10" spans="2:20">
      <c r="B10" s="176" t="s">
        <v>121</v>
      </c>
      <c r="C10" s="268" t="str">
        <f>VLOOKUP(B10,NodeList!$D$5:$E$73,2,FALSE)</f>
        <v>USGS 10020300:  Bear R. bel res. nr Woodruff, UT</v>
      </c>
      <c r="D10" s="135">
        <v>10020300</v>
      </c>
      <c r="E10" s="292">
        <v>1093.1727272727273</v>
      </c>
      <c r="F10" s="292">
        <v>1026.2231404958677</v>
      </c>
      <c r="G10" s="292">
        <v>1165.4206611570248</v>
      </c>
      <c r="H10" s="292">
        <v>1797.307438016529</v>
      </c>
      <c r="I10" s="292">
        <v>19313.25619834711</v>
      </c>
      <c r="J10" s="292">
        <v>31794.545454545452</v>
      </c>
      <c r="K10" s="292">
        <v>3779.181818181818</v>
      </c>
      <c r="L10" s="292">
        <v>1426.2049586776859</v>
      </c>
      <c r="M10" s="292">
        <v>885.49586776859508</v>
      </c>
      <c r="N10" s="292">
        <v>930.46115702479335</v>
      </c>
      <c r="O10" s="292">
        <v>866.97520661157034</v>
      </c>
      <c r="P10" s="293">
        <v>1058.8933884297521</v>
      </c>
      <c r="Q10" s="241">
        <f t="shared" si="0"/>
        <v>65137.138016528923</v>
      </c>
      <c r="R10" s="241">
        <f t="shared" si="1"/>
        <v>57198.68429752066</v>
      </c>
    </row>
    <row r="11" spans="2:20">
      <c r="B11" s="176" t="s">
        <v>122</v>
      </c>
      <c r="C11" s="268" t="str">
        <f>VLOOKUP(B11,NodeList!$D$5:$E$73,2,FALSE)</f>
        <v>USGS 10026500:  Bear R. nr Randolph, UT</v>
      </c>
      <c r="D11" s="135">
        <v>10026500</v>
      </c>
      <c r="E11" s="292">
        <v>1510.560109090909</v>
      </c>
      <c r="F11" s="292">
        <v>1041.7926165289255</v>
      </c>
      <c r="G11" s="292">
        <v>3156.7052000000003</v>
      </c>
      <c r="H11" s="292">
        <v>2580.0638966942151</v>
      </c>
      <c r="I11" s="292">
        <v>4012.0713933884299</v>
      </c>
      <c r="J11" s="292">
        <v>6827.871623966942</v>
      </c>
      <c r="K11" s="292">
        <v>2502.7709347107429</v>
      </c>
      <c r="L11" s="292">
        <v>711.91520495867746</v>
      </c>
      <c r="M11" s="292">
        <v>285.9223305785124</v>
      </c>
      <c r="N11" s="292">
        <v>1628.6406462809914</v>
      </c>
      <c r="O11" s="292">
        <v>1882.2978388429751</v>
      </c>
      <c r="P11" s="293">
        <v>1726.8120611570248</v>
      </c>
      <c r="Q11" s="241">
        <f t="shared" si="0"/>
        <v>27867.423856198344</v>
      </c>
      <c r="R11" s="241">
        <f t="shared" si="1"/>
        <v>14340.551487603305</v>
      </c>
    </row>
    <row r="12" spans="2:20">
      <c r="B12" s="176" t="s">
        <v>123</v>
      </c>
      <c r="C12" s="268" t="str">
        <f>VLOOKUP(B12,NodeList!$D$5:$E$73,2,FALSE)</f>
        <v>USGS 10028500:  Bear R. bel Pixley Dam, near Cokeville, WY</v>
      </c>
      <c r="D12" s="135">
        <v>10028500</v>
      </c>
      <c r="E12" s="292">
        <v>1077.838419834711</v>
      </c>
      <c r="F12" s="292">
        <v>841.1306429752068</v>
      </c>
      <c r="G12" s="292">
        <v>3059.1208727272733</v>
      </c>
      <c r="H12" s="292">
        <v>2110.315479338843</v>
      </c>
      <c r="I12" s="292">
        <v>238.03388429752064</v>
      </c>
      <c r="J12" s="292">
        <v>1173.4214876033056</v>
      </c>
      <c r="K12" s="292">
        <v>2401.9363636363637</v>
      </c>
      <c r="L12" s="292">
        <v>1007.3129752066116</v>
      </c>
      <c r="M12" s="292">
        <v>751.93140495867783</v>
      </c>
      <c r="N12" s="292">
        <v>1356.409511570248</v>
      </c>
      <c r="O12" s="292">
        <v>1745.4249586776862</v>
      </c>
      <c r="P12" s="293">
        <v>1407.4107438016533</v>
      </c>
      <c r="Q12" s="241">
        <f t="shared" si="0"/>
        <v>17170.286744628098</v>
      </c>
      <c r="R12" s="241">
        <f t="shared" si="1"/>
        <v>5572.6361157024785</v>
      </c>
    </row>
    <row r="13" spans="2:20">
      <c r="B13" s="176" t="s">
        <v>147</v>
      </c>
      <c r="C13" s="268" t="str">
        <f>VLOOKUP(B13,NodeList!$D$5:$E$73,2,FALSE)</f>
        <v>USGS 10032000:  Smiths Fork nr Border,WY</v>
      </c>
      <c r="D13" s="135">
        <v>10032000</v>
      </c>
      <c r="E13" s="292">
        <v>3351.0743801652893</v>
      </c>
      <c r="F13" s="292">
        <v>2981.8512396694214</v>
      </c>
      <c r="G13" s="292">
        <v>3702.3223140495866</v>
      </c>
      <c r="H13" s="292">
        <v>7379.2561983471069</v>
      </c>
      <c r="I13" s="292">
        <v>15723.917355371901</v>
      </c>
      <c r="J13" s="292">
        <v>13200.991735537193</v>
      </c>
      <c r="K13" s="292">
        <v>7004.9752066115707</v>
      </c>
      <c r="L13" s="292">
        <v>5029.6859504132226</v>
      </c>
      <c r="M13" s="292">
        <v>4132.5619834710742</v>
      </c>
      <c r="N13" s="292">
        <v>5037.3719008264461</v>
      </c>
      <c r="O13" s="292">
        <v>4132.5619834710742</v>
      </c>
      <c r="P13" s="293">
        <v>3663.1239669421484</v>
      </c>
      <c r="Q13" s="241">
        <f t="shared" si="0"/>
        <v>75339.694214876028</v>
      </c>
      <c r="R13" s="241">
        <f t="shared" si="1"/>
        <v>45092.132231404961</v>
      </c>
    </row>
    <row r="14" spans="2:20">
      <c r="B14" s="176" t="s">
        <v>124</v>
      </c>
      <c r="C14" s="268" t="str">
        <f>VLOOKUP(B14,NodeList!$D$5:$E$73,2,FALSE)</f>
        <v>USGS 10038000:  Bear R. bel Smiths Fork, nr Cokeville, WY</v>
      </c>
      <c r="D14" s="135">
        <v>10038000</v>
      </c>
      <c r="E14" s="292">
        <v>7469.2066115702482</v>
      </c>
      <c r="F14" s="292">
        <v>6631.5619834710742</v>
      </c>
      <c r="G14" s="292">
        <v>11350.611570247933</v>
      </c>
      <c r="H14" s="292">
        <v>10784.380165289256</v>
      </c>
      <c r="I14" s="292">
        <v>14799.297520661157</v>
      </c>
      <c r="J14" s="292">
        <v>15874.958677685951</v>
      </c>
      <c r="K14" s="292">
        <v>10024.016528925618</v>
      </c>
      <c r="L14" s="292">
        <v>6432.3719008264452</v>
      </c>
      <c r="M14" s="292">
        <v>5193.9669421487606</v>
      </c>
      <c r="N14" s="292">
        <v>8409.1983471074382</v>
      </c>
      <c r="O14" s="292">
        <v>9006.6942148760318</v>
      </c>
      <c r="P14" s="293">
        <v>8029.5123966942165</v>
      </c>
      <c r="Q14" s="241">
        <f t="shared" si="0"/>
        <v>114005.77685950414</v>
      </c>
      <c r="R14" s="241">
        <f t="shared" si="1"/>
        <v>52324.611570247936</v>
      </c>
    </row>
    <row r="15" spans="2:20">
      <c r="B15" s="176" t="s">
        <v>125</v>
      </c>
      <c r="C15" s="268" t="str">
        <f>VLOOKUP(B15,NodeList!$D$5:$E$73,2,FALSE)</f>
        <v>USGS 10039500:  Bear R. at Border, WY</v>
      </c>
      <c r="D15" s="135">
        <v>10039500</v>
      </c>
      <c r="E15" s="292">
        <v>7440.7685950413224</v>
      </c>
      <c r="F15" s="292">
        <v>6473.9256198347121</v>
      </c>
      <c r="G15" s="292">
        <v>11598.099173553717</v>
      </c>
      <c r="H15" s="292">
        <v>10073.305785123968</v>
      </c>
      <c r="I15" s="292">
        <v>11818.685950413224</v>
      </c>
      <c r="J15" s="292">
        <v>12809.008264462809</v>
      </c>
      <c r="K15" s="292">
        <v>8906.4793388429753</v>
      </c>
      <c r="L15" s="292">
        <v>4673.0578512396696</v>
      </c>
      <c r="M15" s="292">
        <v>3855.8677685950411</v>
      </c>
      <c r="N15" s="292">
        <v>7626</v>
      </c>
      <c r="O15" s="292">
        <v>8701.7355371900831</v>
      </c>
      <c r="P15" s="293">
        <v>7959.5702479338852</v>
      </c>
      <c r="Q15" s="241">
        <f t="shared" si="0"/>
        <v>101936.50413223141</v>
      </c>
      <c r="R15" s="241">
        <f t="shared" si="1"/>
        <v>42063.099173553717</v>
      </c>
    </row>
    <row r="16" spans="2:20">
      <c r="B16" s="529" t="s">
        <v>324</v>
      </c>
      <c r="C16" s="506" t="str">
        <f>VLOOKUP(B16,[1]NodeList!$D$5:$E$72,2,FALSE)</f>
        <v>Stewart Dam</v>
      </c>
      <c r="D16" s="530" t="s">
        <v>325</v>
      </c>
      <c r="E16" s="292"/>
      <c r="F16" s="292"/>
      <c r="G16" s="292"/>
      <c r="H16" s="292"/>
      <c r="I16" s="576">
        <v>245.26862123450414</v>
      </c>
      <c r="J16" s="576">
        <v>312.95379720041325</v>
      </c>
      <c r="K16" s="576">
        <v>238.51983391322315</v>
      </c>
      <c r="L16" s="576">
        <v>223.51012555061979</v>
      </c>
      <c r="M16" s="576">
        <v>280.96710012809922</v>
      </c>
      <c r="N16" s="292"/>
      <c r="O16" s="292"/>
      <c r="P16" s="293"/>
      <c r="Q16" s="241">
        <f t="shared" si="0"/>
        <v>1301.2194780268596</v>
      </c>
      <c r="R16" s="241">
        <f t="shared" si="1"/>
        <v>1301.2194780268596</v>
      </c>
      <c r="T16" t="s">
        <v>571</v>
      </c>
    </row>
    <row r="17" spans="2:18">
      <c r="B17" s="176"/>
      <c r="C17" s="135"/>
      <c r="D17" s="135"/>
      <c r="E17" s="177"/>
      <c r="F17" s="177"/>
      <c r="G17" s="177"/>
      <c r="H17" s="177"/>
      <c r="I17" s="177"/>
      <c r="J17" s="177"/>
      <c r="K17" s="177"/>
      <c r="L17" s="177"/>
      <c r="M17" s="177"/>
      <c r="N17" s="177"/>
      <c r="O17" s="177"/>
      <c r="P17" s="178"/>
    </row>
    <row r="18" spans="2:18" ht="13.5" thickBot="1">
      <c r="B18" s="179"/>
      <c r="C18" s="180"/>
      <c r="D18" s="180"/>
      <c r="E18" s="181"/>
      <c r="F18" s="181"/>
      <c r="G18" s="181"/>
      <c r="H18" s="181"/>
      <c r="I18" s="181"/>
      <c r="J18" s="181"/>
      <c r="K18" s="181"/>
      <c r="L18" s="181"/>
      <c r="M18" s="181"/>
      <c r="N18" s="181"/>
      <c r="O18" s="181"/>
      <c r="P18" s="182"/>
      <c r="R18" s="241"/>
    </row>
    <row r="19" spans="2:18">
      <c r="E19" s="146"/>
      <c r="F19" s="146"/>
      <c r="G19" s="146"/>
      <c r="H19" s="146"/>
      <c r="I19" s="146"/>
      <c r="J19" s="146"/>
      <c r="K19" s="146"/>
      <c r="L19" s="146"/>
      <c r="M19" s="146"/>
      <c r="N19" s="146"/>
      <c r="O19" s="146"/>
      <c r="P19" s="146"/>
    </row>
    <row r="20" spans="2:18">
      <c r="P20" s="594" t="s">
        <v>574</v>
      </c>
      <c r="Q20" s="241">
        <f>Q6+Q7+Q13</f>
        <v>166137.59035123966</v>
      </c>
      <c r="R20" s="241">
        <f>R6+R7+R13</f>
        <v>110889.73801652892</v>
      </c>
    </row>
    <row r="21" spans="2:18">
      <c r="P21" s="594" t="s">
        <v>575</v>
      </c>
      <c r="Q21" s="559">
        <f>GainLoss!P31</f>
        <v>-30789.58259566885</v>
      </c>
      <c r="R21" s="559">
        <v>-32268.291330975437</v>
      </c>
    </row>
    <row r="22" spans="2:18">
      <c r="P22" s="594" t="s">
        <v>576</v>
      </c>
      <c r="Q22" s="241">
        <f>Q20+Q21</f>
        <v>135348.00775557081</v>
      </c>
      <c r="R22" s="241">
        <f>R20+R21</f>
        <v>78621.446685553485</v>
      </c>
    </row>
  </sheetData>
  <sheetProtection objects="1" scenarios="1"/>
  <phoneticPr fontId="0" type="noConversion"/>
  <pageMargins left="0.75" right="0.75" top="1" bottom="1" header="0.5" footer="0.5"/>
  <pageSetup scale="56" orientation="landscape" horizontalDpi="4294967292" r:id="rId1"/>
  <headerFooter alignWithMargins="0">
    <oddHeader>&amp;C&amp;"Arial,Bold"&amp;12Bear River Spreadsheet Model
Dry Year Conditions</oddHeader>
    <oddFooter>&amp;L&amp;F &amp;A&amp;RAPPENDIX A (Page &amp;P of &amp;N)</oddFooter>
  </headerFooter>
  <legacyDrawing r:id="rId2"/>
</worksheet>
</file>

<file path=xl/worksheets/sheet23.xml><?xml version="1.0" encoding="utf-8"?>
<worksheet xmlns="http://schemas.openxmlformats.org/spreadsheetml/2006/main" xmlns:r="http://schemas.openxmlformats.org/officeDocument/2006/relationships">
  <sheetPr codeName="Sheet6">
    <pageSetUpPr autoPageBreaks="0"/>
  </sheetPr>
  <dimension ref="A1:Y216"/>
  <sheetViews>
    <sheetView showGridLines="0" zoomScale="75" zoomScaleNormal="75" workbookViewId="0">
      <pane ySplit="3" topLeftCell="A58" activePane="bottomLeft" state="frozen"/>
      <selection activeCell="B26" sqref="B26"/>
      <selection pane="bottomLeft" activeCell="Q96" sqref="Q96"/>
    </sheetView>
  </sheetViews>
  <sheetFormatPr defaultRowHeight="12.75"/>
  <cols>
    <col min="1" max="1" width="6.5703125" customWidth="1"/>
    <col min="2" max="2" width="15.28515625" style="52" customWidth="1"/>
    <col min="3" max="3" width="22.140625" customWidth="1"/>
    <col min="4" max="6" width="9.85546875" style="363" bestFit="1" customWidth="1"/>
    <col min="7" max="7" width="11.28515625" style="363" bestFit="1" customWidth="1"/>
    <col min="8" max="8" width="13.7109375" style="363" bestFit="1" customWidth="1"/>
    <col min="9" max="9" width="15.42578125" style="363" bestFit="1" customWidth="1"/>
    <col min="10" max="12" width="13.7109375" style="363" bestFit="1" customWidth="1"/>
    <col min="13" max="14" width="10" style="363" bestFit="1" customWidth="1"/>
    <col min="15" max="15" width="10.140625" style="363" bestFit="1" customWidth="1"/>
    <col min="16" max="16" width="9.42578125" style="363" customWidth="1"/>
    <col min="17" max="17" width="10.85546875" bestFit="1" customWidth="1"/>
    <col min="19" max="19" width="10.7109375" bestFit="1" customWidth="1"/>
  </cols>
  <sheetData>
    <row r="1" spans="1:25" s="135" customFormat="1" ht="39" customHeight="1">
      <c r="A1"/>
      <c r="B1" s="52"/>
      <c r="C1"/>
      <c r="D1" s="363"/>
      <c r="E1" s="363"/>
      <c r="F1" s="441" t="s">
        <v>468</v>
      </c>
      <c r="G1" s="363"/>
      <c r="H1" s="363"/>
      <c r="I1" s="363"/>
      <c r="J1" s="363"/>
      <c r="K1" s="363"/>
      <c r="L1" s="363"/>
      <c r="M1" s="363"/>
      <c r="N1" s="363"/>
      <c r="O1" s="363"/>
      <c r="P1" s="363"/>
      <c r="Q1"/>
    </row>
    <row r="2" spans="1:25" s="135" customFormat="1" ht="13.5" thickBot="1">
      <c r="A2"/>
      <c r="B2" s="52"/>
      <c r="C2"/>
      <c r="D2" s="363"/>
      <c r="E2" s="363"/>
      <c r="F2" s="363"/>
      <c r="G2" s="363"/>
      <c r="H2" s="363"/>
      <c r="I2" s="363"/>
      <c r="J2" s="363"/>
      <c r="K2" s="363"/>
      <c r="L2" s="363"/>
      <c r="M2" s="363"/>
      <c r="N2" s="363"/>
      <c r="O2" s="363"/>
      <c r="P2" s="363"/>
      <c r="Q2"/>
    </row>
    <row r="3" spans="1:25" s="135" customFormat="1" ht="16.5" thickBot="1">
      <c r="A3"/>
      <c r="B3" s="100" t="s">
        <v>37</v>
      </c>
      <c r="C3" s="101" t="s">
        <v>36</v>
      </c>
      <c r="D3" s="442" t="s">
        <v>0</v>
      </c>
      <c r="E3" s="442" t="s">
        <v>1</v>
      </c>
      <c r="F3" s="442" t="s">
        <v>2</v>
      </c>
      <c r="G3" s="442" t="s">
        <v>3</v>
      </c>
      <c r="H3" s="442" t="s">
        <v>4</v>
      </c>
      <c r="I3" s="442" t="s">
        <v>5</v>
      </c>
      <c r="J3" s="442" t="s">
        <v>6</v>
      </c>
      <c r="K3" s="442" t="s">
        <v>7</v>
      </c>
      <c r="L3" s="442" t="s">
        <v>8</v>
      </c>
      <c r="M3" s="442" t="s">
        <v>9</v>
      </c>
      <c r="N3" s="442" t="s">
        <v>10</v>
      </c>
      <c r="O3" s="442" t="s">
        <v>11</v>
      </c>
      <c r="P3" s="442" t="s">
        <v>18</v>
      </c>
      <c r="Q3" s="102" t="s">
        <v>80</v>
      </c>
      <c r="R3" s="425"/>
      <c r="S3" s="425"/>
    </row>
    <row r="4" spans="1:25" s="135" customFormat="1" ht="26.25">
      <c r="A4" s="658"/>
      <c r="B4" s="103"/>
      <c r="C4" s="67"/>
      <c r="D4" s="441" t="s">
        <v>543</v>
      </c>
      <c r="E4" s="443"/>
      <c r="F4" s="363"/>
      <c r="G4" s="443"/>
      <c r="H4" s="443"/>
      <c r="I4" s="443"/>
      <c r="J4" s="443"/>
      <c r="K4" s="443"/>
      <c r="L4" s="443"/>
      <c r="M4" s="443"/>
      <c r="N4" s="443"/>
      <c r="O4" s="443"/>
      <c r="P4" s="443"/>
      <c r="Q4" s="104"/>
    </row>
    <row r="5" spans="1:25" s="135" customFormat="1">
      <c r="A5" s="658"/>
      <c r="B5" s="554">
        <v>0</v>
      </c>
      <c r="C5" s="553" t="s">
        <v>565</v>
      </c>
      <c r="D5" s="571">
        <v>0</v>
      </c>
      <c r="E5" s="571">
        <v>0</v>
      </c>
      <c r="F5" s="571">
        <v>0</v>
      </c>
      <c r="G5" s="571">
        <v>0</v>
      </c>
      <c r="H5" s="571">
        <v>56.272294816012391</v>
      </c>
      <c r="I5" s="571">
        <v>99.196140351859484</v>
      </c>
      <c r="J5" s="571">
        <v>35.026024046900822</v>
      </c>
      <c r="K5" s="571">
        <v>17.736176415599171</v>
      </c>
      <c r="L5" s="571">
        <v>17.547700795867769</v>
      </c>
      <c r="M5" s="571">
        <v>0</v>
      </c>
      <c r="N5" s="571">
        <v>0</v>
      </c>
      <c r="O5" s="571">
        <v>0</v>
      </c>
      <c r="P5" s="556">
        <v>326.72297479708118</v>
      </c>
      <c r="Q5" s="552">
        <v>0</v>
      </c>
    </row>
    <row r="6" spans="1:25" s="135" customFormat="1">
      <c r="A6" s="658"/>
      <c r="B6" s="551">
        <v>0.01</v>
      </c>
      <c r="C6" s="550" t="s">
        <v>566</v>
      </c>
      <c r="D6" s="570">
        <v>0</v>
      </c>
      <c r="E6" s="570">
        <v>0</v>
      </c>
      <c r="F6" s="570">
        <v>0</v>
      </c>
      <c r="G6" s="570">
        <v>0</v>
      </c>
      <c r="H6" s="570">
        <v>125.5864280397727</v>
      </c>
      <c r="I6" s="570">
        <v>354.01593881942148</v>
      </c>
      <c r="J6" s="570">
        <v>367.75448694090903</v>
      </c>
      <c r="K6" s="570">
        <v>164.91439355981404</v>
      </c>
      <c r="L6" s="570">
        <v>52.151087894318181</v>
      </c>
      <c r="M6" s="570">
        <v>0</v>
      </c>
      <c r="N6" s="570">
        <v>0</v>
      </c>
      <c r="O6" s="570">
        <v>0</v>
      </c>
      <c r="P6" s="555">
        <v>1770.1092134249059</v>
      </c>
      <c r="Q6" s="549">
        <v>0</v>
      </c>
    </row>
    <row r="7" spans="1:25" s="135" customFormat="1">
      <c r="A7" s="658"/>
      <c r="B7" s="408" t="s">
        <v>76</v>
      </c>
      <c r="C7" s="409" t="str">
        <f>VLOOKUP(B7,NodeList!$D$5:$E$73,2,FALSE)</f>
        <v>USGS 10011500:  Bear River near UT-WY State Line</v>
      </c>
      <c r="D7" s="507">
        <v>0</v>
      </c>
      <c r="E7" s="507">
        <v>0</v>
      </c>
      <c r="F7" s="507">
        <v>0</v>
      </c>
      <c r="G7" s="507">
        <v>0</v>
      </c>
      <c r="H7" s="507">
        <v>0</v>
      </c>
      <c r="I7" s="507">
        <v>0</v>
      </c>
      <c r="J7" s="507">
        <v>0</v>
      </c>
      <c r="K7" s="507">
        <v>0</v>
      </c>
      <c r="L7" s="507">
        <v>0</v>
      </c>
      <c r="M7" s="507">
        <v>0</v>
      </c>
      <c r="N7" s="507">
        <v>0</v>
      </c>
      <c r="O7" s="507">
        <v>0</v>
      </c>
      <c r="P7" s="508">
        <f>SUM(D7:O7)</f>
        <v>0</v>
      </c>
      <c r="Q7" s="416">
        <f>VALUE(INT(RIGHT(B7,5)))</f>
        <v>1</v>
      </c>
      <c r="R7" s="410"/>
      <c r="S7" s="410"/>
      <c r="T7" s="410"/>
      <c r="U7" s="410"/>
      <c r="V7" s="410"/>
      <c r="W7" s="410"/>
      <c r="X7" s="410"/>
      <c r="Y7" s="410"/>
    </row>
    <row r="8" spans="1:25" s="135" customFormat="1">
      <c r="A8" s="658"/>
      <c r="B8" s="408" t="s">
        <v>58</v>
      </c>
      <c r="C8" s="409" t="str">
        <f>VLOOKUP(B8,NodeList!$D$5:$E$73,2,FALSE)</f>
        <v>Lannon &amp; Lone Mountain</v>
      </c>
      <c r="D8" s="509">
        <v>0</v>
      </c>
      <c r="E8" s="509">
        <v>0</v>
      </c>
      <c r="F8" s="509">
        <v>0</v>
      </c>
      <c r="G8" s="509">
        <v>0</v>
      </c>
      <c r="H8" s="509">
        <v>783.79691711146677</v>
      </c>
      <c r="I8" s="509">
        <v>940.39186782582658</v>
      </c>
      <c r="J8" s="509">
        <v>530.45671204824384</v>
      </c>
      <c r="K8" s="509">
        <v>139.23067744886362</v>
      </c>
      <c r="L8" s="509">
        <v>56.579838640289253</v>
      </c>
      <c r="M8" s="509">
        <v>0</v>
      </c>
      <c r="N8" s="509">
        <v>0</v>
      </c>
      <c r="O8" s="509">
        <v>0</v>
      </c>
      <c r="P8" s="508">
        <f t="shared" ref="P8:P72" si="0">SUM(D8:O8)</f>
        <v>2450.4560130746904</v>
      </c>
      <c r="Q8" s="416">
        <f t="shared" ref="Q8:Q73" si="1">VALUE(INT(RIGHT(B8,5)))</f>
        <v>1</v>
      </c>
      <c r="R8" s="410"/>
      <c r="S8" s="410"/>
      <c r="T8" s="410"/>
      <c r="U8" s="410"/>
      <c r="V8" s="410"/>
      <c r="W8" s="410"/>
      <c r="X8" s="410"/>
      <c r="Y8" s="410"/>
    </row>
    <row r="9" spans="1:25" s="135" customFormat="1">
      <c r="A9" s="658"/>
      <c r="B9" s="408" t="s">
        <v>59</v>
      </c>
      <c r="C9" s="409" t="str">
        <f>VLOOKUP(B9,NodeList!$D$5:$E$73,2,FALSE)</f>
        <v>Hilliard West Side</v>
      </c>
      <c r="D9" s="509">
        <v>0</v>
      </c>
      <c r="E9" s="509">
        <v>0</v>
      </c>
      <c r="F9" s="509">
        <v>0</v>
      </c>
      <c r="G9" s="509">
        <v>0</v>
      </c>
      <c r="H9" s="509">
        <v>1110.2200528911158</v>
      </c>
      <c r="I9" s="509">
        <v>1762.9816121342976</v>
      </c>
      <c r="J9" s="509">
        <v>759.68810638553737</v>
      </c>
      <c r="K9" s="509">
        <v>156.40355244752067</v>
      </c>
      <c r="L9" s="509">
        <v>167.44052331477275</v>
      </c>
      <c r="M9" s="509">
        <v>0</v>
      </c>
      <c r="N9" s="509">
        <v>0</v>
      </c>
      <c r="O9" s="509">
        <v>0</v>
      </c>
      <c r="P9" s="508">
        <f t="shared" si="0"/>
        <v>3956.7338471732442</v>
      </c>
      <c r="Q9" s="416">
        <f t="shared" si="1"/>
        <v>1</v>
      </c>
      <c r="R9" s="410"/>
      <c r="S9" s="410"/>
      <c r="T9" s="410"/>
      <c r="U9" s="410"/>
      <c r="V9" s="410"/>
      <c r="W9" s="410"/>
      <c r="X9" s="410"/>
      <c r="Y9" s="410"/>
    </row>
    <row r="10" spans="1:25" s="135" customFormat="1">
      <c r="A10" s="658"/>
      <c r="B10" s="408" t="s">
        <v>60</v>
      </c>
      <c r="C10" s="409" t="str">
        <f>VLOOKUP(B10,NodeList!$D$5:$E$73,2,FALSE)</f>
        <v>Bear Canal</v>
      </c>
      <c r="D10" s="509">
        <v>0</v>
      </c>
      <c r="E10" s="509">
        <v>0</v>
      </c>
      <c r="F10" s="509">
        <v>0</v>
      </c>
      <c r="G10" s="509">
        <v>0</v>
      </c>
      <c r="H10" s="509">
        <v>1965.6305462113635</v>
      </c>
      <c r="I10" s="509">
        <v>3298.0788354802685</v>
      </c>
      <c r="J10" s="509">
        <v>1684.1485608552687</v>
      </c>
      <c r="K10" s="509">
        <v>532.35795900309915</v>
      </c>
      <c r="L10" s="509">
        <v>409.02576384132237</v>
      </c>
      <c r="M10" s="509">
        <v>0</v>
      </c>
      <c r="N10" s="509">
        <v>0</v>
      </c>
      <c r="O10" s="509">
        <v>0</v>
      </c>
      <c r="P10" s="508">
        <f t="shared" si="0"/>
        <v>7889.2416653913224</v>
      </c>
      <c r="Q10" s="416">
        <f t="shared" si="1"/>
        <v>1</v>
      </c>
      <c r="R10" s="410"/>
      <c r="S10" s="410"/>
      <c r="T10" s="410"/>
      <c r="U10" s="410"/>
      <c r="V10" s="410"/>
      <c r="W10" s="410"/>
      <c r="X10" s="410"/>
      <c r="Y10" s="410"/>
    </row>
    <row r="11" spans="1:25" s="135" customFormat="1">
      <c r="A11" s="658"/>
      <c r="B11" s="408" t="s">
        <v>61</v>
      </c>
      <c r="C11" s="409" t="str">
        <f>VLOOKUP(B11,NodeList!$D$5:$E$73,2,FALSE)</f>
        <v>Crown &amp; Pine Grove</v>
      </c>
      <c r="D11" s="509">
        <v>0</v>
      </c>
      <c r="E11" s="509">
        <v>0</v>
      </c>
      <c r="F11" s="509">
        <v>0</v>
      </c>
      <c r="G11" s="509">
        <v>0</v>
      </c>
      <c r="H11" s="509">
        <v>688.77645359721078</v>
      </c>
      <c r="I11" s="509">
        <v>1474.1965535522727</v>
      </c>
      <c r="J11" s="509">
        <v>660.88451192014452</v>
      </c>
      <c r="K11" s="509">
        <v>167.19384398522726</v>
      </c>
      <c r="L11" s="509">
        <v>142.57387187086778</v>
      </c>
      <c r="M11" s="509">
        <v>0</v>
      </c>
      <c r="N11" s="509">
        <v>0</v>
      </c>
      <c r="O11" s="509">
        <v>0</v>
      </c>
      <c r="P11" s="508">
        <f t="shared" si="0"/>
        <v>3133.6252349257229</v>
      </c>
      <c r="Q11" s="416">
        <f t="shared" si="1"/>
        <v>1</v>
      </c>
      <c r="R11" s="410"/>
      <c r="S11" s="410"/>
      <c r="T11" s="410"/>
      <c r="U11" s="410"/>
      <c r="V11" s="410"/>
      <c r="W11" s="410"/>
      <c r="X11" s="410"/>
      <c r="Y11" s="410"/>
    </row>
    <row r="12" spans="1:25" s="135" customFormat="1">
      <c r="A12" s="658"/>
      <c r="B12" s="408" t="s">
        <v>62</v>
      </c>
      <c r="C12" s="409" t="str">
        <f>VLOOKUP(B12,NodeList!$D$5:$E$73,2,FALSE)</f>
        <v>McGraw &amp; Big Bend</v>
      </c>
      <c r="D12" s="509">
        <v>0</v>
      </c>
      <c r="E12" s="509">
        <v>0</v>
      </c>
      <c r="F12" s="509">
        <v>0</v>
      </c>
      <c r="G12" s="509">
        <v>0</v>
      </c>
      <c r="H12" s="509">
        <v>1066.3551253000001</v>
      </c>
      <c r="I12" s="509">
        <v>930.54365335960745</v>
      </c>
      <c r="J12" s="509">
        <v>321.34674799690083</v>
      </c>
      <c r="K12" s="509">
        <v>132.03061810692148</v>
      </c>
      <c r="L12" s="509">
        <v>69.622272131404969</v>
      </c>
      <c r="M12" s="509">
        <v>0</v>
      </c>
      <c r="N12" s="509">
        <v>0</v>
      </c>
      <c r="O12" s="509">
        <v>0</v>
      </c>
      <c r="P12" s="508">
        <f t="shared" si="0"/>
        <v>2519.8984168948346</v>
      </c>
      <c r="Q12" s="416">
        <f t="shared" si="1"/>
        <v>1</v>
      </c>
      <c r="R12" s="410"/>
      <c r="S12" s="410"/>
      <c r="T12" s="410"/>
      <c r="U12" s="410"/>
      <c r="V12" s="410"/>
      <c r="W12" s="410"/>
      <c r="X12" s="410"/>
      <c r="Y12" s="410"/>
    </row>
    <row r="13" spans="1:25" s="135" customFormat="1">
      <c r="A13" s="658"/>
      <c r="B13" s="408" t="s">
        <v>63</v>
      </c>
      <c r="C13" s="409" t="str">
        <f>VLOOKUP(B13,NodeList!$D$5:$E$73,2,FALSE)</f>
        <v>Lewis</v>
      </c>
      <c r="D13" s="509">
        <v>0</v>
      </c>
      <c r="E13" s="509">
        <v>0</v>
      </c>
      <c r="F13" s="509">
        <v>0</v>
      </c>
      <c r="G13" s="509">
        <v>0</v>
      </c>
      <c r="H13" s="509">
        <v>145.79468247933883</v>
      </c>
      <c r="I13" s="509">
        <v>275.63793846725207</v>
      </c>
      <c r="J13" s="509">
        <v>279.33674740330582</v>
      </c>
      <c r="K13" s="509">
        <v>83.236883181095038</v>
      </c>
      <c r="L13" s="509">
        <v>37.193667086776856</v>
      </c>
      <c r="M13" s="509">
        <v>0</v>
      </c>
      <c r="N13" s="509">
        <v>0</v>
      </c>
      <c r="O13" s="509">
        <v>0</v>
      </c>
      <c r="P13" s="508">
        <f t="shared" si="0"/>
        <v>821.1999186177685</v>
      </c>
      <c r="Q13" s="416">
        <f t="shared" si="1"/>
        <v>1</v>
      </c>
      <c r="R13" s="410"/>
      <c r="S13" s="410"/>
      <c r="T13" s="410"/>
      <c r="U13" s="410"/>
      <c r="V13" s="410"/>
      <c r="W13" s="410"/>
      <c r="X13" s="410"/>
      <c r="Y13" s="410"/>
    </row>
    <row r="14" spans="1:25" s="135" customFormat="1">
      <c r="A14" s="658"/>
      <c r="B14" s="408" t="s">
        <v>64</v>
      </c>
      <c r="C14" s="409" t="str">
        <f>VLOOKUP(B14,NodeList!$D$5:$E$73,2,FALSE)</f>
        <v>Meyers No. 2</v>
      </c>
      <c r="D14" s="509">
        <v>0</v>
      </c>
      <c r="E14" s="509">
        <v>0</v>
      </c>
      <c r="F14" s="509">
        <v>0</v>
      </c>
      <c r="G14" s="509">
        <v>0</v>
      </c>
      <c r="H14" s="509">
        <v>97.599716695661172</v>
      </c>
      <c r="I14" s="509">
        <v>299.55910064865702</v>
      </c>
      <c r="J14" s="509">
        <v>293.64884711952482</v>
      </c>
      <c r="K14" s="509">
        <v>125.18575509411157</v>
      </c>
      <c r="L14" s="509">
        <v>81.671416827066125</v>
      </c>
      <c r="M14" s="509">
        <v>0</v>
      </c>
      <c r="N14" s="509">
        <v>0</v>
      </c>
      <c r="O14" s="509">
        <v>0</v>
      </c>
      <c r="P14" s="508">
        <f t="shared" si="0"/>
        <v>897.66483638502064</v>
      </c>
      <c r="Q14" s="416">
        <f t="shared" si="1"/>
        <v>1</v>
      </c>
      <c r="R14" s="410"/>
      <c r="S14" s="410"/>
      <c r="T14" s="410"/>
      <c r="U14" s="410"/>
      <c r="V14" s="410"/>
      <c r="W14" s="410"/>
      <c r="X14" s="410"/>
      <c r="Y14" s="410"/>
    </row>
    <row r="15" spans="1:25" s="135" customFormat="1">
      <c r="A15" s="658"/>
      <c r="B15" s="408" t="s">
        <v>65</v>
      </c>
      <c r="C15" s="409" t="str">
        <f>VLOOKUP(B15,NodeList!$D$5:$E$73,2,FALSE)</f>
        <v>Meyers No. 1</v>
      </c>
      <c r="D15" s="509">
        <v>0</v>
      </c>
      <c r="E15" s="509">
        <v>0</v>
      </c>
      <c r="F15" s="509">
        <v>0</v>
      </c>
      <c r="G15" s="509">
        <v>0</v>
      </c>
      <c r="H15" s="509">
        <v>142.0278677109504</v>
      </c>
      <c r="I15" s="509">
        <v>238.92985677727273</v>
      </c>
      <c r="J15" s="509">
        <v>273.69856300227275</v>
      </c>
      <c r="K15" s="509">
        <v>180.11688069793385</v>
      </c>
      <c r="L15" s="509">
        <v>52.911683655578514</v>
      </c>
      <c r="M15" s="509">
        <v>0</v>
      </c>
      <c r="N15" s="509">
        <v>0</v>
      </c>
      <c r="O15" s="509">
        <v>0</v>
      </c>
      <c r="P15" s="508">
        <f t="shared" si="0"/>
        <v>887.68485184400822</v>
      </c>
      <c r="Q15" s="416">
        <f t="shared" si="1"/>
        <v>1</v>
      </c>
      <c r="R15" s="410"/>
      <c r="S15" s="410"/>
      <c r="T15" s="410"/>
      <c r="U15" s="410"/>
      <c r="V15" s="410"/>
      <c r="W15" s="410"/>
      <c r="X15" s="410"/>
      <c r="Y15" s="410"/>
    </row>
    <row r="16" spans="1:25" s="135" customFormat="1">
      <c r="A16" s="658"/>
      <c r="B16" s="408" t="s">
        <v>66</v>
      </c>
      <c r="C16" s="409" t="str">
        <f>VLOOKUP(B16,NodeList!$D$5:$E$73,2,FALSE)</f>
        <v>Meyers Irrigation</v>
      </c>
      <c r="D16" s="509">
        <v>0</v>
      </c>
      <c r="E16" s="509">
        <v>0</v>
      </c>
      <c r="F16" s="509">
        <v>0</v>
      </c>
      <c r="G16" s="509">
        <v>0</v>
      </c>
      <c r="H16" s="509">
        <v>214.6277360820248</v>
      </c>
      <c r="I16" s="509">
        <v>247.11370614297519</v>
      </c>
      <c r="J16" s="509">
        <v>228.76809222252064</v>
      </c>
      <c r="K16" s="509">
        <v>112.81941612706611</v>
      </c>
      <c r="L16" s="509">
        <v>100.28145306570249</v>
      </c>
      <c r="M16" s="509">
        <v>0</v>
      </c>
      <c r="N16" s="509">
        <v>0</v>
      </c>
      <c r="O16" s="509">
        <v>0</v>
      </c>
      <c r="P16" s="508">
        <f t="shared" si="0"/>
        <v>903.61040364028929</v>
      </c>
      <c r="Q16" s="416">
        <f t="shared" si="1"/>
        <v>1</v>
      </c>
      <c r="R16" s="410"/>
      <c r="S16" s="410"/>
      <c r="T16" s="410"/>
      <c r="U16" s="410"/>
      <c r="V16" s="410"/>
      <c r="W16" s="410"/>
      <c r="X16" s="410"/>
      <c r="Y16" s="410"/>
    </row>
    <row r="17" spans="1:25" s="135" customFormat="1">
      <c r="A17" s="658"/>
      <c r="B17" s="408" t="s">
        <v>67</v>
      </c>
      <c r="C17" s="409" t="str">
        <f>VLOOKUP(B17,NodeList!$D$5:$E$73,2,FALSE)</f>
        <v>Evanston Pipeline</v>
      </c>
      <c r="D17" s="509">
        <v>0</v>
      </c>
      <c r="E17" s="509">
        <v>0</v>
      </c>
      <c r="F17" s="509">
        <v>0</v>
      </c>
      <c r="G17" s="509">
        <v>0</v>
      </c>
      <c r="H17" s="509">
        <v>275.75893700592286</v>
      </c>
      <c r="I17" s="509">
        <v>468.8110969685261</v>
      </c>
      <c r="J17" s="509">
        <v>651.2470224885675</v>
      </c>
      <c r="K17" s="509">
        <v>556.31488941033058</v>
      </c>
      <c r="L17" s="509">
        <v>399.4480644179751</v>
      </c>
      <c r="M17" s="509">
        <v>0</v>
      </c>
      <c r="N17" s="509">
        <v>0</v>
      </c>
      <c r="O17" s="509">
        <v>0</v>
      </c>
      <c r="P17" s="508">
        <f t="shared" si="0"/>
        <v>2351.5800102913222</v>
      </c>
      <c r="Q17" s="416">
        <f t="shared" si="1"/>
        <v>1</v>
      </c>
      <c r="R17" s="410"/>
      <c r="S17" s="410"/>
      <c r="T17" s="410"/>
      <c r="U17" s="410"/>
      <c r="V17" s="410"/>
      <c r="W17" s="410"/>
      <c r="X17" s="410"/>
      <c r="Y17" s="410"/>
    </row>
    <row r="18" spans="1:25" s="135" customFormat="1">
      <c r="A18" s="658"/>
      <c r="B18" s="408" t="s">
        <v>68</v>
      </c>
      <c r="C18" s="409" t="str">
        <f>VLOOKUP(B18,NodeList!$D$5:$E$73,2,FALSE)</f>
        <v>Booth</v>
      </c>
      <c r="D18" s="509">
        <v>0</v>
      </c>
      <c r="E18" s="509">
        <v>0</v>
      </c>
      <c r="F18" s="509">
        <v>0</v>
      </c>
      <c r="G18" s="509">
        <v>0</v>
      </c>
      <c r="H18" s="509">
        <v>404.51120453367764</v>
      </c>
      <c r="I18" s="509">
        <v>679.45942062572317</v>
      </c>
      <c r="J18" s="509">
        <v>457.62821301074382</v>
      </c>
      <c r="K18" s="509">
        <v>250.82871178037192</v>
      </c>
      <c r="L18" s="509">
        <v>202.24233285991738</v>
      </c>
      <c r="M18" s="509">
        <v>0</v>
      </c>
      <c r="N18" s="509">
        <v>0</v>
      </c>
      <c r="O18" s="509">
        <v>0</v>
      </c>
      <c r="P18" s="508">
        <f t="shared" si="0"/>
        <v>1994.669882810434</v>
      </c>
      <c r="Q18" s="416">
        <f t="shared" si="1"/>
        <v>1</v>
      </c>
      <c r="R18" s="410"/>
      <c r="S18" s="410"/>
      <c r="T18" s="410"/>
      <c r="U18" s="410"/>
      <c r="V18" s="410"/>
      <c r="W18" s="410"/>
      <c r="X18" s="410"/>
      <c r="Y18" s="410"/>
    </row>
    <row r="19" spans="1:25" s="135" customFormat="1">
      <c r="A19" s="658"/>
      <c r="B19" s="408" t="s">
        <v>69</v>
      </c>
      <c r="C19" s="409" t="str">
        <f>VLOOKUP(B19,NodeList!$D$5:$E$73,2,FALSE)</f>
        <v>Anel</v>
      </c>
      <c r="D19" s="509">
        <v>0</v>
      </c>
      <c r="E19" s="509">
        <v>0</v>
      </c>
      <c r="F19" s="509">
        <v>0</v>
      </c>
      <c r="G19" s="509">
        <v>0</v>
      </c>
      <c r="H19" s="509">
        <v>211.33139231270664</v>
      </c>
      <c r="I19" s="509">
        <v>346.46868143150829</v>
      </c>
      <c r="J19" s="509">
        <v>196.28271956859504</v>
      </c>
      <c r="K19" s="509">
        <v>31.785912544214877</v>
      </c>
      <c r="L19" s="509">
        <v>17.479786898243805</v>
      </c>
      <c r="M19" s="509">
        <v>0</v>
      </c>
      <c r="N19" s="509">
        <v>0</v>
      </c>
      <c r="O19" s="509">
        <v>0</v>
      </c>
      <c r="P19" s="508">
        <f t="shared" si="0"/>
        <v>803.34849275526869</v>
      </c>
      <c r="Q19" s="416">
        <f t="shared" si="1"/>
        <v>1</v>
      </c>
      <c r="R19" s="410"/>
      <c r="S19" s="410"/>
      <c r="T19" s="410"/>
      <c r="U19" s="410"/>
      <c r="V19" s="410"/>
      <c r="W19" s="410"/>
      <c r="X19" s="410"/>
      <c r="Y19" s="410"/>
    </row>
    <row r="20" spans="1:25" s="135" customFormat="1">
      <c r="A20" s="658"/>
      <c r="B20" s="408" t="s">
        <v>70</v>
      </c>
      <c r="C20" s="409" t="str">
        <f>VLOOKUP(B20,NodeList!$D$5:$E$73,2,FALSE)</f>
        <v>Evanston Water Supply</v>
      </c>
      <c r="D20" s="509">
        <v>0</v>
      </c>
      <c r="E20" s="509">
        <v>0</v>
      </c>
      <c r="F20" s="509">
        <v>0</v>
      </c>
      <c r="G20" s="509">
        <v>0</v>
      </c>
      <c r="H20" s="509">
        <v>117.74779830588845</v>
      </c>
      <c r="I20" s="509">
        <v>255.06277154989669</v>
      </c>
      <c r="J20" s="509">
        <v>213.1787392119835</v>
      </c>
      <c r="K20" s="509">
        <v>136.76054564504133</v>
      </c>
      <c r="L20" s="509">
        <v>42.892561983471076</v>
      </c>
      <c r="M20" s="509">
        <v>0</v>
      </c>
      <c r="N20" s="509">
        <v>0</v>
      </c>
      <c r="O20" s="509">
        <v>0</v>
      </c>
      <c r="P20" s="508">
        <f t="shared" si="0"/>
        <v>765.64241669628109</v>
      </c>
      <c r="Q20" s="416">
        <f t="shared" si="1"/>
        <v>1</v>
      </c>
      <c r="R20" s="410"/>
      <c r="S20" s="410"/>
      <c r="T20" s="410"/>
      <c r="U20" s="410"/>
      <c r="V20" s="410"/>
      <c r="W20" s="410"/>
      <c r="X20" s="410"/>
      <c r="Y20" s="410"/>
    </row>
    <row r="21" spans="1:25" s="135" customFormat="1">
      <c r="A21" s="658"/>
      <c r="B21" s="408" t="s">
        <v>547</v>
      </c>
      <c r="C21" s="409" t="s">
        <v>544</v>
      </c>
      <c r="D21" s="509">
        <v>0</v>
      </c>
      <c r="E21" s="509">
        <v>0</v>
      </c>
      <c r="F21" s="509">
        <v>0</v>
      </c>
      <c r="G21" s="509">
        <v>0</v>
      </c>
      <c r="H21" s="509">
        <v>348.67604971487606</v>
      </c>
      <c r="I21" s="509">
        <v>460.38518383811981</v>
      </c>
      <c r="J21" s="509">
        <v>704.72914858533056</v>
      </c>
      <c r="K21" s="509">
        <v>154.46280991735537</v>
      </c>
      <c r="L21" s="509">
        <v>163.88429752066114</v>
      </c>
      <c r="M21" s="509">
        <v>0</v>
      </c>
      <c r="N21" s="509">
        <v>0</v>
      </c>
      <c r="O21" s="509">
        <v>0</v>
      </c>
      <c r="P21" s="508">
        <f t="shared" si="0"/>
        <v>1832.1374895763431</v>
      </c>
      <c r="Q21" s="416">
        <f t="shared" si="1"/>
        <v>1</v>
      </c>
      <c r="R21" s="410"/>
      <c r="S21" s="410"/>
      <c r="T21" s="410"/>
      <c r="U21" s="410"/>
      <c r="V21" s="410"/>
      <c r="W21" s="410"/>
      <c r="X21" s="410"/>
      <c r="Y21" s="410"/>
    </row>
    <row r="22" spans="1:25" s="135" customFormat="1">
      <c r="A22" s="658"/>
      <c r="B22" s="408" t="s">
        <v>315</v>
      </c>
      <c r="C22" s="409" t="str">
        <f>VLOOKUP(B22,NodeList!$D$5:$E$73,2,FALSE)</f>
        <v>AggDiv BR-1</v>
      </c>
      <c r="D22" s="509">
        <v>0</v>
      </c>
      <c r="E22" s="509">
        <v>0</v>
      </c>
      <c r="F22" s="509">
        <v>0</v>
      </c>
      <c r="G22" s="509">
        <v>0</v>
      </c>
      <c r="H22" s="509">
        <v>183.24374999999998</v>
      </c>
      <c r="I22" s="509">
        <v>418.04500000000007</v>
      </c>
      <c r="J22" s="509">
        <v>337.14875000000001</v>
      </c>
      <c r="K22" s="509">
        <v>116.71</v>
      </c>
      <c r="L22" s="509">
        <v>50.767499999999998</v>
      </c>
      <c r="M22" s="509">
        <v>0</v>
      </c>
      <c r="N22" s="509">
        <v>0</v>
      </c>
      <c r="O22" s="509">
        <v>0</v>
      </c>
      <c r="P22" s="508">
        <f t="shared" si="0"/>
        <v>1105.915</v>
      </c>
      <c r="Q22" s="416">
        <f t="shared" si="1"/>
        <v>1</v>
      </c>
      <c r="R22" s="410"/>
      <c r="S22" s="410"/>
      <c r="T22" s="410"/>
      <c r="U22" s="410"/>
      <c r="V22" s="410"/>
      <c r="W22" s="410"/>
      <c r="X22" s="410"/>
      <c r="Y22" s="410"/>
    </row>
    <row r="23" spans="1:25" s="135" customFormat="1">
      <c r="A23" s="658"/>
      <c r="B23" s="412" t="s">
        <v>319</v>
      </c>
      <c r="C23" s="413" t="str">
        <f>VLOOKUP(B23,NodeList!$D$5:$E$73,2,FALSE)</f>
        <v>Confluence Mill Cr.</v>
      </c>
      <c r="D23" s="510">
        <v>0</v>
      </c>
      <c r="E23" s="510">
        <v>0</v>
      </c>
      <c r="F23" s="510">
        <v>0</v>
      </c>
      <c r="G23" s="510">
        <v>0</v>
      </c>
      <c r="H23" s="510">
        <v>0</v>
      </c>
      <c r="I23" s="510">
        <v>0</v>
      </c>
      <c r="J23" s="510">
        <v>0</v>
      </c>
      <c r="K23" s="510">
        <v>0</v>
      </c>
      <c r="L23" s="510">
        <v>0</v>
      </c>
      <c r="M23" s="510">
        <v>0</v>
      </c>
      <c r="N23" s="510">
        <v>0</v>
      </c>
      <c r="O23" s="510">
        <v>0</v>
      </c>
      <c r="P23" s="511">
        <f t="shared" si="0"/>
        <v>0</v>
      </c>
      <c r="Q23" s="417">
        <f t="shared" si="1"/>
        <v>1</v>
      </c>
      <c r="R23" s="410"/>
      <c r="S23" s="410"/>
      <c r="T23" s="410"/>
      <c r="U23" s="410"/>
      <c r="V23" s="410"/>
      <c r="W23" s="410"/>
      <c r="X23" s="410"/>
      <c r="Y23" s="410"/>
    </row>
    <row r="24" spans="1:25" s="135" customFormat="1">
      <c r="A24" s="658"/>
      <c r="B24" s="408" t="s">
        <v>548</v>
      </c>
      <c r="C24" s="409" t="s">
        <v>148</v>
      </c>
      <c r="D24" s="509">
        <v>0</v>
      </c>
      <c r="E24" s="509">
        <v>0</v>
      </c>
      <c r="F24" s="509">
        <v>0</v>
      </c>
      <c r="G24" s="509">
        <v>0</v>
      </c>
      <c r="H24" s="509">
        <v>102.80342975206611</v>
      </c>
      <c r="I24" s="509">
        <v>159.35974173553717</v>
      </c>
      <c r="J24" s="509">
        <v>85.884886363636355</v>
      </c>
      <c r="K24" s="509">
        <v>29.008264462809919</v>
      </c>
      <c r="L24" s="509">
        <v>33.148760330578511</v>
      </c>
      <c r="M24" s="509">
        <v>0</v>
      </c>
      <c r="N24" s="509">
        <v>0</v>
      </c>
      <c r="O24" s="509">
        <v>0</v>
      </c>
      <c r="P24" s="508">
        <v>1072.5619834710744</v>
      </c>
      <c r="Q24" s="418">
        <v>10</v>
      </c>
      <c r="R24" s="410"/>
      <c r="S24" s="410"/>
      <c r="T24" s="410"/>
      <c r="U24" s="410"/>
      <c r="V24" s="410"/>
      <c r="W24" s="410"/>
      <c r="X24" s="410"/>
      <c r="Y24" s="410"/>
    </row>
    <row r="25" spans="1:25" s="135" customFormat="1">
      <c r="A25" s="658"/>
      <c r="B25" s="408" t="s">
        <v>147</v>
      </c>
      <c r="C25" s="409" t="str">
        <f>VLOOKUP(B25,NodeList!$D$5:$E$73,2,FALSE)</f>
        <v>USGS 10032000:  Smiths Fork nr Border,WY</v>
      </c>
      <c r="D25" s="509">
        <v>0</v>
      </c>
      <c r="E25" s="509">
        <v>0</v>
      </c>
      <c r="F25" s="509">
        <v>0</v>
      </c>
      <c r="G25" s="509">
        <v>0</v>
      </c>
      <c r="H25" s="509">
        <v>0</v>
      </c>
      <c r="I25" s="509">
        <v>0</v>
      </c>
      <c r="J25" s="509">
        <v>0</v>
      </c>
      <c r="K25" s="509">
        <v>0</v>
      </c>
      <c r="L25" s="509">
        <v>0</v>
      </c>
      <c r="M25" s="509">
        <v>0</v>
      </c>
      <c r="N25" s="509">
        <v>0</v>
      </c>
      <c r="O25" s="509">
        <v>0</v>
      </c>
      <c r="P25" s="508">
        <f t="shared" si="0"/>
        <v>0</v>
      </c>
      <c r="Q25" s="416">
        <f t="shared" si="1"/>
        <v>10</v>
      </c>
      <c r="R25" s="410"/>
      <c r="S25" s="410"/>
      <c r="T25" s="410"/>
      <c r="U25" s="410"/>
      <c r="V25" s="410"/>
      <c r="W25" s="410"/>
      <c r="X25" s="410"/>
      <c r="Y25" s="410"/>
    </row>
    <row r="26" spans="1:25" s="135" customFormat="1">
      <c r="A26" s="658"/>
      <c r="B26" s="408" t="s">
        <v>132</v>
      </c>
      <c r="C26" s="409" t="str">
        <f>VLOOKUP(B26,NodeList!$D$5:$E$73,2,FALSE)</f>
        <v>Button Flat</v>
      </c>
      <c r="D26" s="509">
        <v>0</v>
      </c>
      <c r="E26" s="509">
        <v>0</v>
      </c>
      <c r="F26" s="509">
        <v>0</v>
      </c>
      <c r="G26" s="509">
        <v>0</v>
      </c>
      <c r="H26" s="509">
        <v>121.51380165289258</v>
      </c>
      <c r="I26" s="509">
        <v>233.34715909090912</v>
      </c>
      <c r="J26" s="509">
        <v>122.73444214876031</v>
      </c>
      <c r="K26" s="509">
        <v>23.539989669421487</v>
      </c>
      <c r="L26" s="509">
        <v>4.5384194214876032</v>
      </c>
      <c r="M26" s="509">
        <v>0</v>
      </c>
      <c r="N26" s="509">
        <v>0</v>
      </c>
      <c r="O26" s="509">
        <v>0</v>
      </c>
      <c r="P26" s="508">
        <f t="shared" si="0"/>
        <v>505.67381198347113</v>
      </c>
      <c r="Q26" s="416">
        <f t="shared" si="1"/>
        <v>10</v>
      </c>
      <c r="R26" s="410"/>
      <c r="S26" s="410"/>
      <c r="T26" s="410"/>
      <c r="U26" s="410"/>
      <c r="V26" s="410"/>
      <c r="W26" s="410"/>
      <c r="X26" s="410"/>
      <c r="Y26" s="410"/>
    </row>
    <row r="27" spans="1:25" s="135" customFormat="1">
      <c r="A27"/>
      <c r="B27" s="408" t="s">
        <v>138</v>
      </c>
      <c r="C27" s="409" t="str">
        <f>VLOOKUP(B27,NodeList!$D$5:$E$73,2,FALSE)</f>
        <v>Emelle</v>
      </c>
      <c r="D27" s="509">
        <v>0</v>
      </c>
      <c r="E27" s="509">
        <v>0</v>
      </c>
      <c r="F27" s="509">
        <v>0</v>
      </c>
      <c r="G27" s="509">
        <v>0</v>
      </c>
      <c r="H27" s="509">
        <v>269.93912190082642</v>
      </c>
      <c r="I27" s="509">
        <v>612.73541322314054</v>
      </c>
      <c r="J27" s="509">
        <v>404.82676652892559</v>
      </c>
      <c r="K27" s="509">
        <v>124.53765495867769</v>
      </c>
      <c r="L27" s="509">
        <v>27.124690082644626</v>
      </c>
      <c r="M27" s="509">
        <v>0</v>
      </c>
      <c r="N27" s="509">
        <v>0</v>
      </c>
      <c r="O27" s="509">
        <v>0</v>
      </c>
      <c r="P27" s="508">
        <f t="shared" si="0"/>
        <v>1439.1636466942148</v>
      </c>
      <c r="Q27" s="416">
        <f t="shared" si="1"/>
        <v>10</v>
      </c>
      <c r="R27" s="410"/>
      <c r="S27" s="410"/>
      <c r="T27" s="410"/>
      <c r="U27" s="410"/>
      <c r="V27" s="410"/>
      <c r="W27" s="410"/>
      <c r="X27" s="410"/>
      <c r="Y27" s="410"/>
    </row>
    <row r="28" spans="1:25" s="135" customFormat="1">
      <c r="A28"/>
      <c r="B28" s="408" t="s">
        <v>136</v>
      </c>
      <c r="C28" s="409" t="str">
        <f>VLOOKUP(B28,NodeList!$D$5:$E$73,2,FALSE)</f>
        <v>Cooper</v>
      </c>
      <c r="D28" s="509">
        <v>0</v>
      </c>
      <c r="E28" s="509">
        <v>0</v>
      </c>
      <c r="F28" s="509">
        <v>0</v>
      </c>
      <c r="G28" s="509">
        <v>0</v>
      </c>
      <c r="H28" s="509">
        <v>278.47495867768595</v>
      </c>
      <c r="I28" s="509">
        <v>351.79234504132233</v>
      </c>
      <c r="J28" s="509">
        <v>87.380578512396681</v>
      </c>
      <c r="K28" s="509">
        <v>16.762200413223141</v>
      </c>
      <c r="L28" s="509">
        <v>0</v>
      </c>
      <c r="M28" s="509">
        <v>0</v>
      </c>
      <c r="N28" s="509">
        <v>0</v>
      </c>
      <c r="O28" s="509">
        <v>0</v>
      </c>
      <c r="P28" s="508">
        <f t="shared" si="0"/>
        <v>734.41008264462812</v>
      </c>
      <c r="Q28" s="416">
        <f t="shared" si="1"/>
        <v>10</v>
      </c>
      <c r="R28" s="410"/>
      <c r="S28" s="410"/>
      <c r="T28" s="410"/>
      <c r="U28" s="410"/>
      <c r="V28" s="410"/>
      <c r="W28" s="410"/>
      <c r="X28" s="410"/>
      <c r="Y28" s="410"/>
    </row>
    <row r="29" spans="1:25" s="135" customFormat="1">
      <c r="A29"/>
      <c r="B29" s="408" t="s">
        <v>137</v>
      </c>
      <c r="C29" s="409" t="str">
        <f>VLOOKUP(B29,NodeList!$D$5:$E$73,2,FALSE)</f>
        <v>Covey</v>
      </c>
      <c r="D29" s="509">
        <v>0</v>
      </c>
      <c r="E29" s="509">
        <v>0</v>
      </c>
      <c r="F29" s="509">
        <v>0</v>
      </c>
      <c r="G29" s="509">
        <v>0</v>
      </c>
      <c r="H29" s="509">
        <v>2110.5698760330579</v>
      </c>
      <c r="I29" s="509">
        <v>2902.3072830578512</v>
      </c>
      <c r="J29" s="509">
        <v>1469.1835433884298</v>
      </c>
      <c r="K29" s="509">
        <v>590.62847107438017</v>
      </c>
      <c r="L29" s="509">
        <v>300.00727272727278</v>
      </c>
      <c r="M29" s="509">
        <v>0</v>
      </c>
      <c r="N29" s="509">
        <v>0</v>
      </c>
      <c r="O29" s="509">
        <v>0</v>
      </c>
      <c r="P29" s="508">
        <f t="shared" si="0"/>
        <v>7372.6964462809919</v>
      </c>
      <c r="Q29" s="416">
        <f t="shared" si="1"/>
        <v>10</v>
      </c>
      <c r="R29" s="410"/>
      <c r="S29" s="410"/>
      <c r="T29" s="410"/>
      <c r="U29" s="410"/>
      <c r="V29" s="410"/>
      <c r="W29" s="410"/>
      <c r="X29" s="410"/>
      <c r="Y29" s="410"/>
    </row>
    <row r="30" spans="1:25" s="135" customFormat="1">
      <c r="A30"/>
      <c r="B30" s="408" t="s">
        <v>157</v>
      </c>
      <c r="C30" s="409" t="str">
        <f>VLOOKUP(B30,NodeList!$D$5:$E$73,2,FALSE)</f>
        <v>VH Canal</v>
      </c>
      <c r="D30" s="509">
        <v>0</v>
      </c>
      <c r="E30" s="509">
        <v>0</v>
      </c>
      <c r="F30" s="509">
        <v>0</v>
      </c>
      <c r="G30" s="509">
        <v>0</v>
      </c>
      <c r="H30" s="509">
        <v>454.30265495867769</v>
      </c>
      <c r="I30" s="509">
        <v>475.21441115702481</v>
      </c>
      <c r="J30" s="509">
        <v>458.11577479338848</v>
      </c>
      <c r="K30" s="509">
        <v>443.59338842975211</v>
      </c>
      <c r="L30" s="509">
        <v>349.51825413223133</v>
      </c>
      <c r="M30" s="509">
        <v>0</v>
      </c>
      <c r="N30" s="509">
        <v>0</v>
      </c>
      <c r="O30" s="509">
        <v>0</v>
      </c>
      <c r="P30" s="508">
        <f t="shared" si="0"/>
        <v>2180.7444834710745</v>
      </c>
      <c r="Q30" s="416">
        <f t="shared" si="1"/>
        <v>10</v>
      </c>
      <c r="R30" s="410"/>
      <c r="S30" s="410"/>
      <c r="T30" s="410"/>
      <c r="U30" s="410"/>
      <c r="V30" s="410"/>
      <c r="W30" s="410"/>
      <c r="X30" s="410"/>
      <c r="Y30" s="410"/>
    </row>
    <row r="31" spans="1:25" s="135" customFormat="1">
      <c r="A31"/>
      <c r="B31" s="408" t="s">
        <v>140</v>
      </c>
      <c r="C31" s="409" t="str">
        <f>VLOOKUP(B31,NodeList!$D$5:$E$73,2,FALSE)</f>
        <v>Goodell</v>
      </c>
      <c r="D31" s="509">
        <v>0</v>
      </c>
      <c r="E31" s="509">
        <v>0</v>
      </c>
      <c r="F31" s="509">
        <v>0</v>
      </c>
      <c r="G31" s="509">
        <v>0</v>
      </c>
      <c r="H31" s="509">
        <v>292.54706611570248</v>
      </c>
      <c r="I31" s="509">
        <v>402.99261363636361</v>
      </c>
      <c r="J31" s="509">
        <v>422.15431818181821</v>
      </c>
      <c r="K31" s="509">
        <v>387.31329545454548</v>
      </c>
      <c r="L31" s="509">
        <v>366.32446280991735</v>
      </c>
      <c r="M31" s="509">
        <v>0</v>
      </c>
      <c r="N31" s="509">
        <v>0</v>
      </c>
      <c r="O31" s="509">
        <v>0</v>
      </c>
      <c r="P31" s="508">
        <f t="shared" si="0"/>
        <v>1871.3317561983472</v>
      </c>
      <c r="Q31" s="416">
        <f t="shared" si="1"/>
        <v>10</v>
      </c>
      <c r="R31" s="410"/>
      <c r="S31" s="410"/>
      <c r="T31" s="410"/>
      <c r="U31" s="410"/>
      <c r="V31" s="410"/>
      <c r="W31" s="410"/>
      <c r="X31" s="410"/>
      <c r="Y31" s="410"/>
    </row>
    <row r="32" spans="1:25" s="135" customFormat="1">
      <c r="A32"/>
      <c r="B32" s="408" t="s">
        <v>159</v>
      </c>
      <c r="C32" s="409" t="str">
        <f>VLOOKUP(B32,NodeList!$D$5:$E$73,2,FALSE)</f>
        <v>Whites Water</v>
      </c>
      <c r="D32" s="509">
        <v>0</v>
      </c>
      <c r="E32" s="509">
        <v>0</v>
      </c>
      <c r="F32" s="509">
        <v>0</v>
      </c>
      <c r="G32" s="509">
        <v>0</v>
      </c>
      <c r="H32" s="509">
        <v>906.07383264462817</v>
      </c>
      <c r="I32" s="509">
        <v>1072.3909917355372</v>
      </c>
      <c r="J32" s="509">
        <v>982.21366735537197</v>
      </c>
      <c r="K32" s="509">
        <v>477.69111570247929</v>
      </c>
      <c r="L32" s="509">
        <v>274.75726239669422</v>
      </c>
      <c r="M32" s="509">
        <v>0</v>
      </c>
      <c r="N32" s="509">
        <v>0</v>
      </c>
      <c r="O32" s="509">
        <v>0</v>
      </c>
      <c r="P32" s="508">
        <f t="shared" si="0"/>
        <v>3713.1268698347108</v>
      </c>
      <c r="Q32" s="416">
        <f t="shared" si="1"/>
        <v>10</v>
      </c>
      <c r="R32" s="410"/>
      <c r="S32" s="410"/>
      <c r="T32" s="410"/>
      <c r="U32" s="410"/>
      <c r="V32" s="410"/>
      <c r="W32" s="410"/>
      <c r="X32" s="410"/>
      <c r="Y32" s="410"/>
    </row>
    <row r="33" spans="1:25" s="135" customFormat="1">
      <c r="A33"/>
      <c r="B33" s="408" t="s">
        <v>151</v>
      </c>
      <c r="C33" s="409" t="str">
        <f>VLOOKUP(B33,NodeList!$D$5:$E$73,2,FALSE)</f>
        <v>S Branch Irrigating</v>
      </c>
      <c r="D33" s="509">
        <v>0</v>
      </c>
      <c r="E33" s="509">
        <v>0</v>
      </c>
      <c r="F33" s="509">
        <v>0</v>
      </c>
      <c r="G33" s="509">
        <v>0</v>
      </c>
      <c r="H33" s="509">
        <v>660.24105371900828</v>
      </c>
      <c r="I33" s="509">
        <v>556.07561983471078</v>
      </c>
      <c r="J33" s="509">
        <v>311.0227066115703</v>
      </c>
      <c r="K33" s="509">
        <v>82.094886363636363</v>
      </c>
      <c r="L33" s="509">
        <v>38.907386363636363</v>
      </c>
      <c r="M33" s="509">
        <v>0</v>
      </c>
      <c r="N33" s="509">
        <v>0</v>
      </c>
      <c r="O33" s="509">
        <v>0</v>
      </c>
      <c r="P33" s="508">
        <f t="shared" si="0"/>
        <v>1648.341652892562</v>
      </c>
      <c r="Q33" s="416">
        <f t="shared" si="1"/>
        <v>10</v>
      </c>
      <c r="R33" s="410"/>
      <c r="S33" s="410"/>
      <c r="T33" s="410"/>
      <c r="U33" s="410"/>
      <c r="V33" s="410"/>
      <c r="W33" s="410"/>
      <c r="X33" s="410"/>
      <c r="Y33" s="410"/>
    </row>
    <row r="34" spans="1:25" s="135" customFormat="1">
      <c r="A34" s="294"/>
      <c r="B34" s="412" t="s">
        <v>312</v>
      </c>
      <c r="C34" s="413" t="str">
        <f>VLOOKUP(B34,NodeList!$D$5:$E$73,2,FALSE)</f>
        <v>AggDiv SF-1</v>
      </c>
      <c r="D34" s="510">
        <v>0</v>
      </c>
      <c r="E34" s="510">
        <v>0</v>
      </c>
      <c r="F34" s="510">
        <v>0</v>
      </c>
      <c r="G34" s="510">
        <v>0</v>
      </c>
      <c r="H34" s="510">
        <v>798.12374999999986</v>
      </c>
      <c r="I34" s="510">
        <v>2750.2599999999998</v>
      </c>
      <c r="J34" s="510">
        <v>2405.3837499999995</v>
      </c>
      <c r="K34" s="510">
        <v>1054.1775</v>
      </c>
      <c r="L34" s="510">
        <v>348.11</v>
      </c>
      <c r="M34" s="510">
        <v>0</v>
      </c>
      <c r="N34" s="510">
        <v>0</v>
      </c>
      <c r="O34" s="510">
        <v>0</v>
      </c>
      <c r="P34" s="511">
        <f t="shared" si="0"/>
        <v>7356.0549999999985</v>
      </c>
      <c r="Q34" s="417">
        <f t="shared" si="1"/>
        <v>10</v>
      </c>
      <c r="R34" s="410"/>
      <c r="S34" s="410"/>
      <c r="T34" s="410"/>
      <c r="U34" s="410"/>
      <c r="V34" s="410"/>
      <c r="W34" s="410"/>
      <c r="X34" s="410"/>
      <c r="Y34" s="410"/>
    </row>
    <row r="35" spans="1:25" s="135" customFormat="1">
      <c r="A35"/>
      <c r="B35" s="408" t="s">
        <v>124</v>
      </c>
      <c r="C35" s="409" t="str">
        <f>VLOOKUP(B35,NodeList!$D$5:$E$73,2,FALSE)</f>
        <v>USGS 10038000:  Bear R. bel Smiths Fork, nr Cokeville, WY</v>
      </c>
      <c r="D35" s="509">
        <v>0</v>
      </c>
      <c r="E35" s="509">
        <v>0</v>
      </c>
      <c r="F35" s="509">
        <v>0</v>
      </c>
      <c r="G35" s="509">
        <v>0</v>
      </c>
      <c r="H35" s="509">
        <v>0</v>
      </c>
      <c r="I35" s="509">
        <v>0</v>
      </c>
      <c r="J35" s="509">
        <v>0</v>
      </c>
      <c r="K35" s="509">
        <v>0</v>
      </c>
      <c r="L35" s="509">
        <v>0</v>
      </c>
      <c r="M35" s="509">
        <v>0</v>
      </c>
      <c r="N35" s="509">
        <v>0</v>
      </c>
      <c r="O35" s="509">
        <v>0</v>
      </c>
      <c r="P35" s="508">
        <f t="shared" si="0"/>
        <v>0</v>
      </c>
      <c r="Q35" s="416">
        <f t="shared" si="1"/>
        <v>11</v>
      </c>
      <c r="R35" s="410"/>
      <c r="S35" s="410"/>
      <c r="T35" s="410"/>
      <c r="U35" s="410"/>
      <c r="V35" s="410"/>
      <c r="W35" s="410"/>
      <c r="X35" s="410"/>
      <c r="Y35" s="410"/>
    </row>
    <row r="36" spans="1:25" s="135" customFormat="1">
      <c r="A36"/>
      <c r="B36" s="408" t="s">
        <v>127</v>
      </c>
      <c r="C36" s="409" t="str">
        <f>VLOOKUP(B36,NodeList!$D$5:$E$73,2,FALSE)</f>
        <v>AggDiv BR-5</v>
      </c>
      <c r="D36" s="509">
        <v>0</v>
      </c>
      <c r="E36" s="509">
        <v>0</v>
      </c>
      <c r="F36" s="509">
        <v>0</v>
      </c>
      <c r="G36" s="509">
        <v>0</v>
      </c>
      <c r="H36" s="509">
        <v>591.31499999999994</v>
      </c>
      <c r="I36" s="509">
        <v>1934.4162500000002</v>
      </c>
      <c r="J36" s="509">
        <v>1898.6212500000001</v>
      </c>
      <c r="K36" s="509">
        <v>924.26</v>
      </c>
      <c r="L36" s="509">
        <v>278.42124999999999</v>
      </c>
      <c r="M36" s="509">
        <v>0</v>
      </c>
      <c r="N36" s="509">
        <v>0</v>
      </c>
      <c r="O36" s="509">
        <v>0</v>
      </c>
      <c r="P36" s="508">
        <f t="shared" si="0"/>
        <v>5627.0337500000014</v>
      </c>
      <c r="Q36" s="416">
        <f t="shared" si="1"/>
        <v>11</v>
      </c>
      <c r="R36" s="410"/>
      <c r="S36" s="410"/>
      <c r="T36" s="410"/>
      <c r="U36" s="410"/>
      <c r="V36" s="410"/>
      <c r="W36" s="410"/>
      <c r="X36" s="410"/>
      <c r="Y36" s="410"/>
    </row>
    <row r="37" spans="1:25" s="135" customFormat="1">
      <c r="A37"/>
      <c r="B37" s="408" t="s">
        <v>145</v>
      </c>
      <c r="C37" s="409" t="str">
        <f>VLOOKUP(B37,NodeList!$D$5:$E$73,2,FALSE)</f>
        <v>Alonzo F. Sights</v>
      </c>
      <c r="D37" s="509">
        <v>0</v>
      </c>
      <c r="E37" s="509">
        <v>0</v>
      </c>
      <c r="F37" s="509">
        <v>0</v>
      </c>
      <c r="G37" s="509">
        <v>0</v>
      </c>
      <c r="H37" s="509">
        <v>373.45537190082649</v>
      </c>
      <c r="I37" s="509">
        <v>422.62222107438015</v>
      </c>
      <c r="J37" s="509">
        <v>408.8325309917355</v>
      </c>
      <c r="K37" s="509">
        <v>143.18528925619836</v>
      </c>
      <c r="L37" s="509">
        <v>10.165289256198347</v>
      </c>
      <c r="M37" s="509">
        <v>0</v>
      </c>
      <c r="N37" s="509">
        <v>0</v>
      </c>
      <c r="O37" s="509">
        <v>0</v>
      </c>
      <c r="P37" s="508">
        <f t="shared" si="0"/>
        <v>1358.2607024793388</v>
      </c>
      <c r="Q37" s="416">
        <f t="shared" si="1"/>
        <v>11</v>
      </c>
      <c r="R37" s="410"/>
      <c r="S37" s="410"/>
      <c r="T37" s="410"/>
      <c r="U37" s="410"/>
      <c r="V37" s="410"/>
      <c r="W37" s="410"/>
      <c r="X37" s="410"/>
      <c r="Y37" s="410"/>
    </row>
    <row r="38" spans="1:25" s="135" customFormat="1">
      <c r="A38"/>
      <c r="B38" s="408" t="s">
        <v>135</v>
      </c>
      <c r="C38" s="409" t="str">
        <f>VLOOKUP(B38,NodeList!$D$5:$E$73,2,FALSE)</f>
        <v>Oscar E. Snyder</v>
      </c>
      <c r="D38" s="509">
        <v>0</v>
      </c>
      <c r="E38" s="509">
        <v>0</v>
      </c>
      <c r="F38" s="509">
        <v>0</v>
      </c>
      <c r="G38" s="509">
        <v>0</v>
      </c>
      <c r="H38" s="509">
        <v>408.77384297520661</v>
      </c>
      <c r="I38" s="509">
        <v>446.34246900826452</v>
      </c>
      <c r="J38" s="509">
        <v>390.40165289256197</v>
      </c>
      <c r="K38" s="509">
        <v>311.95551652892561</v>
      </c>
      <c r="L38" s="509">
        <v>187.42029958677685</v>
      </c>
      <c r="M38" s="509">
        <v>0</v>
      </c>
      <c r="N38" s="509">
        <v>0</v>
      </c>
      <c r="O38" s="509">
        <v>0</v>
      </c>
      <c r="P38" s="508">
        <f t="shared" si="0"/>
        <v>1744.8937809917356</v>
      </c>
      <c r="Q38" s="416">
        <f t="shared" si="1"/>
        <v>11</v>
      </c>
      <c r="R38" s="410"/>
      <c r="S38" s="410"/>
      <c r="T38" s="410"/>
      <c r="U38" s="410"/>
      <c r="V38" s="410"/>
      <c r="W38" s="410"/>
      <c r="X38" s="410"/>
      <c r="Y38" s="410"/>
    </row>
    <row r="39" spans="1:25" s="135" customFormat="1">
      <c r="A39" s="294"/>
      <c r="B39" s="412" t="s">
        <v>274</v>
      </c>
      <c r="C39" s="413" t="str">
        <f>VLOOKUP(B39,NodeList!$D$5:$E$73,2,FALSE)</f>
        <v>Cook Brothers</v>
      </c>
      <c r="D39" s="510">
        <v>0</v>
      </c>
      <c r="E39" s="510">
        <v>0</v>
      </c>
      <c r="F39" s="510">
        <v>0</v>
      </c>
      <c r="G39" s="510">
        <v>0</v>
      </c>
      <c r="H39" s="510">
        <v>2435.9259504132233</v>
      </c>
      <c r="I39" s="510">
        <v>2429.5657231404962</v>
      </c>
      <c r="J39" s="510">
        <v>1870.6842045454546</v>
      </c>
      <c r="K39" s="510">
        <v>1851.6399483471075</v>
      </c>
      <c r="L39" s="510">
        <v>1589.912117768595</v>
      </c>
      <c r="M39" s="510">
        <v>0</v>
      </c>
      <c r="N39" s="510">
        <v>0</v>
      </c>
      <c r="O39" s="510">
        <v>0</v>
      </c>
      <c r="P39" s="511">
        <f t="shared" si="0"/>
        <v>10177.727944214876</v>
      </c>
      <c r="Q39" s="417">
        <f t="shared" si="1"/>
        <v>11</v>
      </c>
      <c r="R39" s="410"/>
      <c r="S39" s="410"/>
      <c r="T39" s="410"/>
      <c r="U39" s="410"/>
      <c r="V39" s="410"/>
      <c r="W39" s="410"/>
      <c r="X39" s="410"/>
      <c r="Y39" s="410"/>
    </row>
    <row r="40" spans="1:25" s="135" customFormat="1">
      <c r="A40"/>
      <c r="B40" s="408" t="s">
        <v>125</v>
      </c>
      <c r="C40" s="409" t="str">
        <f>VLOOKUP(B40,NodeList!$D$5:$E$73,2,FALSE)</f>
        <v>USGS 10039500:  Bear R. at Border, WY</v>
      </c>
      <c r="D40" s="509">
        <v>0</v>
      </c>
      <c r="E40" s="509">
        <v>0</v>
      </c>
      <c r="F40" s="509">
        <v>0</v>
      </c>
      <c r="G40" s="509">
        <v>0</v>
      </c>
      <c r="H40" s="509">
        <v>0</v>
      </c>
      <c r="I40" s="509">
        <v>0</v>
      </c>
      <c r="J40" s="509">
        <v>0</v>
      </c>
      <c r="K40" s="509">
        <v>0</v>
      </c>
      <c r="L40" s="509">
        <v>0</v>
      </c>
      <c r="M40" s="509">
        <v>0</v>
      </c>
      <c r="N40" s="509">
        <v>0</v>
      </c>
      <c r="O40" s="509">
        <v>0</v>
      </c>
      <c r="P40" s="508">
        <f>SUM(D40:O40)</f>
        <v>0</v>
      </c>
      <c r="Q40" s="416">
        <f t="shared" si="1"/>
        <v>12</v>
      </c>
      <c r="R40" s="410"/>
      <c r="S40" s="410"/>
      <c r="T40" s="410"/>
      <c r="U40" s="410"/>
      <c r="V40" s="410"/>
      <c r="W40" s="410"/>
      <c r="X40" s="410"/>
      <c r="Y40" s="410"/>
    </row>
    <row r="41" spans="1:25" s="135" customFormat="1">
      <c r="A41"/>
      <c r="B41" s="408" t="s">
        <v>238</v>
      </c>
      <c r="C41" s="409" t="str">
        <f>VLOOKUP(B41,NodeList!$D$5:$E$73,2,FALSE)</f>
        <v>Confluence Thomas Fork</v>
      </c>
      <c r="D41" s="509">
        <v>0</v>
      </c>
      <c r="E41" s="509">
        <v>0</v>
      </c>
      <c r="F41" s="509">
        <v>0</v>
      </c>
      <c r="G41" s="509">
        <v>0</v>
      </c>
      <c r="H41" s="509">
        <v>0</v>
      </c>
      <c r="I41" s="509">
        <v>0</v>
      </c>
      <c r="J41" s="509">
        <v>0</v>
      </c>
      <c r="K41" s="509">
        <v>0</v>
      </c>
      <c r="L41" s="509">
        <v>0</v>
      </c>
      <c r="M41" s="509">
        <v>0</v>
      </c>
      <c r="N41" s="509">
        <v>0</v>
      </c>
      <c r="O41" s="509">
        <v>0</v>
      </c>
      <c r="P41" s="512">
        <f>SUM(D41:O41)</f>
        <v>0</v>
      </c>
      <c r="Q41" s="416">
        <f t="shared" si="1"/>
        <v>12</v>
      </c>
      <c r="R41" s="410"/>
      <c r="S41" s="410"/>
      <c r="T41" s="410"/>
      <c r="U41" s="410"/>
      <c r="V41" s="410"/>
      <c r="W41" s="410"/>
      <c r="X41" s="410"/>
      <c r="Y41" s="410"/>
    </row>
    <row r="42" spans="1:25" s="135" customFormat="1">
      <c r="A42"/>
      <c r="B42" s="408" t="s">
        <v>239</v>
      </c>
      <c r="C42" s="409" t="str">
        <f>VLOOKUP(B42,NodeList!$D$5:$E$73,2,FALSE)</f>
        <v>Aggregate Idaho Diversions</v>
      </c>
      <c r="D42" s="509">
        <v>0</v>
      </c>
      <c r="E42" s="509">
        <v>0</v>
      </c>
      <c r="F42" s="509">
        <v>0</v>
      </c>
      <c r="G42" s="509">
        <v>0</v>
      </c>
      <c r="H42" s="509">
        <v>14147.079487965479</v>
      </c>
      <c r="I42" s="509">
        <v>15309.143528959559</v>
      </c>
      <c r="J42" s="509">
        <v>8206.3481871249023</v>
      </c>
      <c r="K42" s="509">
        <v>5182.5511755494081</v>
      </c>
      <c r="L42" s="509">
        <v>4383.958486621128</v>
      </c>
      <c r="M42" s="509">
        <v>0</v>
      </c>
      <c r="N42" s="509">
        <v>0</v>
      </c>
      <c r="O42" s="509">
        <v>0</v>
      </c>
      <c r="P42" s="512">
        <f t="shared" si="0"/>
        <v>47229.08086622048</v>
      </c>
      <c r="Q42" s="416">
        <f t="shared" si="1"/>
        <v>12</v>
      </c>
      <c r="R42" s="410"/>
      <c r="S42" s="410"/>
      <c r="T42" s="410"/>
      <c r="U42" s="410"/>
      <c r="V42" s="410"/>
      <c r="W42" s="410"/>
      <c r="X42" s="410"/>
      <c r="Y42" s="410"/>
    </row>
    <row r="43" spans="1:25" s="135" customFormat="1">
      <c r="A43"/>
      <c r="B43" s="408" t="s">
        <v>240</v>
      </c>
      <c r="C43" s="409" t="str">
        <f>VLOOKUP(B43,NodeList!$D$5:$E$73,2,FALSE)</f>
        <v>Rainbow Inlet</v>
      </c>
      <c r="D43" s="571">
        <v>6190.7644628099179</v>
      </c>
      <c r="E43" s="571">
        <v>5850.7851239669417</v>
      </c>
      <c r="F43" s="571">
        <v>12648.243801652892</v>
      </c>
      <c r="G43" s="571">
        <v>8360.8512396694205</v>
      </c>
      <c r="H43" s="571">
        <v>1053.5115785764463</v>
      </c>
      <c r="I43" s="571">
        <v>1049.8193938873967</v>
      </c>
      <c r="J43" s="571">
        <v>2265.8863379845043</v>
      </c>
      <c r="K43" s="571">
        <v>1134.4435866787189</v>
      </c>
      <c r="L43" s="571">
        <v>1116.543180411157</v>
      </c>
      <c r="M43" s="571">
        <v>2633.7561983471073</v>
      </c>
      <c r="N43" s="571">
        <v>4433.0371900826449</v>
      </c>
      <c r="O43" s="571">
        <v>4688.553719008265</v>
      </c>
      <c r="P43" s="512">
        <f t="shared" si="0"/>
        <v>51426.195813075406</v>
      </c>
      <c r="Q43" s="416">
        <f t="shared" si="1"/>
        <v>12</v>
      </c>
      <c r="R43" s="516"/>
      <c r="S43" s="410"/>
      <c r="T43" s="410"/>
      <c r="U43" s="410"/>
      <c r="V43" s="410"/>
      <c r="W43" s="410"/>
      <c r="X43" s="410"/>
      <c r="Y43" s="410"/>
    </row>
    <row r="44" spans="1:25" s="526" customFormat="1">
      <c r="A44" s="558"/>
      <c r="B44" s="527" t="s">
        <v>324</v>
      </c>
      <c r="C44" s="528" t="str">
        <f>VLOOKUP(B44,NodeList!$D$5:$E$73,2,FALSE)</f>
        <v>Stewart Dam</v>
      </c>
      <c r="D44" s="510">
        <v>0</v>
      </c>
      <c r="E44" s="510">
        <v>0</v>
      </c>
      <c r="F44" s="510">
        <v>0</v>
      </c>
      <c r="G44" s="510">
        <v>0</v>
      </c>
      <c r="H44" s="510">
        <v>0</v>
      </c>
      <c r="I44" s="510">
        <v>0</v>
      </c>
      <c r="J44" s="510">
        <v>0</v>
      </c>
      <c r="K44" s="510">
        <v>0</v>
      </c>
      <c r="L44" s="510">
        <v>0</v>
      </c>
      <c r="M44" s="510">
        <v>0</v>
      </c>
      <c r="N44" s="510">
        <v>0</v>
      </c>
      <c r="O44" s="510">
        <v>0</v>
      </c>
      <c r="P44" s="510">
        <f t="shared" si="0"/>
        <v>0</v>
      </c>
      <c r="Q44" s="560">
        <f t="shared" si="1"/>
        <v>12</v>
      </c>
      <c r="R44" s="572" t="s">
        <v>570</v>
      </c>
    </row>
    <row r="45" spans="1:25" s="135" customFormat="1">
      <c r="A45"/>
      <c r="B45" s="408" t="s">
        <v>77</v>
      </c>
      <c r="C45" s="409" t="str">
        <f>VLOOKUP(B45,NodeList!$D$5:$E$73,2,FALSE)</f>
        <v>USGS 10015700:  Sulphur Cr. ab Res.Bl.La Chapelle Cr.Nr.Evanston,WY</v>
      </c>
      <c r="D45" s="509">
        <v>0</v>
      </c>
      <c r="E45" s="509">
        <v>0</v>
      </c>
      <c r="F45" s="509">
        <v>0</v>
      </c>
      <c r="G45" s="509">
        <v>0</v>
      </c>
      <c r="H45" s="509">
        <v>0</v>
      </c>
      <c r="I45" s="509">
        <v>0</v>
      </c>
      <c r="J45" s="509">
        <v>0</v>
      </c>
      <c r="K45" s="509">
        <v>0</v>
      </c>
      <c r="L45" s="509">
        <v>0</v>
      </c>
      <c r="M45" s="509">
        <v>0</v>
      </c>
      <c r="N45" s="509">
        <v>0</v>
      </c>
      <c r="O45" s="509">
        <v>0</v>
      </c>
      <c r="P45" s="512">
        <f t="shared" si="0"/>
        <v>0</v>
      </c>
      <c r="Q45" s="416">
        <f t="shared" si="1"/>
        <v>2</v>
      </c>
      <c r="R45" s="410"/>
      <c r="S45" s="410"/>
      <c r="T45" s="410"/>
      <c r="U45" s="410"/>
      <c r="V45" s="410"/>
      <c r="W45" s="410"/>
      <c r="X45" s="410"/>
      <c r="Y45" s="410"/>
    </row>
    <row r="46" spans="1:25" s="135" customFormat="1">
      <c r="A46"/>
      <c r="B46" s="408" t="s">
        <v>78</v>
      </c>
      <c r="C46" s="409" t="str">
        <f>VLOOKUP(B46,NodeList!$D$5:$E$73,2,FALSE)</f>
        <v>AggDiv SC-1/Broadbent</v>
      </c>
      <c r="D46" s="509">
        <v>0</v>
      </c>
      <c r="E46" s="509">
        <v>0</v>
      </c>
      <c r="F46" s="509">
        <v>0</v>
      </c>
      <c r="G46" s="509">
        <v>0</v>
      </c>
      <c r="H46" s="509">
        <v>0</v>
      </c>
      <c r="I46" s="509">
        <v>0</v>
      </c>
      <c r="J46" s="509">
        <v>0</v>
      </c>
      <c r="K46" s="509">
        <v>0</v>
      </c>
      <c r="L46" s="509">
        <v>0</v>
      </c>
      <c r="M46" s="509">
        <v>0</v>
      </c>
      <c r="N46" s="509">
        <v>0</v>
      </c>
      <c r="O46" s="509">
        <v>0</v>
      </c>
      <c r="P46" s="512">
        <f t="shared" si="0"/>
        <v>0</v>
      </c>
      <c r="Q46" s="416">
        <f t="shared" si="1"/>
        <v>2</v>
      </c>
      <c r="R46" s="410"/>
      <c r="S46" s="410"/>
      <c r="T46" s="410"/>
      <c r="U46" s="410"/>
      <c r="V46" s="410"/>
      <c r="W46" s="410"/>
      <c r="X46" s="410"/>
      <c r="Y46" s="410"/>
    </row>
    <row r="47" spans="1:25" s="135" customFormat="1">
      <c r="A47"/>
      <c r="B47" s="408" t="s">
        <v>161</v>
      </c>
      <c r="C47" s="409" t="str">
        <f>VLOOKUP(B47,NodeList!$D$5:$E$73,2,FALSE)</f>
        <v>Sulphur Creek Reservoir</v>
      </c>
      <c r="D47" s="509">
        <v>0</v>
      </c>
      <c r="E47" s="509">
        <v>0</v>
      </c>
      <c r="F47" s="509">
        <v>0</v>
      </c>
      <c r="G47" s="509">
        <v>0</v>
      </c>
      <c r="H47" s="509">
        <v>0</v>
      </c>
      <c r="I47" s="509">
        <v>0</v>
      </c>
      <c r="J47" s="509">
        <v>0</v>
      </c>
      <c r="K47" s="509">
        <v>0</v>
      </c>
      <c r="L47" s="509">
        <v>0</v>
      </c>
      <c r="M47" s="509">
        <v>0</v>
      </c>
      <c r="N47" s="509">
        <v>0</v>
      </c>
      <c r="O47" s="509">
        <v>0</v>
      </c>
      <c r="P47" s="512">
        <f t="shared" si="0"/>
        <v>0</v>
      </c>
      <c r="Q47" s="416">
        <f t="shared" si="1"/>
        <v>2</v>
      </c>
      <c r="R47" s="410"/>
      <c r="S47" s="410"/>
      <c r="T47" s="410"/>
      <c r="U47" s="410"/>
      <c r="V47" s="410"/>
      <c r="W47" s="410"/>
      <c r="X47" s="410"/>
      <c r="Y47" s="410"/>
    </row>
    <row r="48" spans="1:25" s="135" customFormat="1">
      <c r="A48" s="294"/>
      <c r="B48" s="412" t="s">
        <v>189</v>
      </c>
      <c r="C48" s="413" t="str">
        <f>VLOOKUP(B48,NodeList!$D$5:$E$73,2,FALSE)</f>
        <v>AggDiv SC-2</v>
      </c>
      <c r="D48" s="510">
        <v>0</v>
      </c>
      <c r="E48" s="510">
        <v>0</v>
      </c>
      <c r="F48" s="510">
        <v>0</v>
      </c>
      <c r="G48" s="510">
        <v>0</v>
      </c>
      <c r="H48" s="510">
        <v>40.125</v>
      </c>
      <c r="I48" s="510">
        <v>154.125</v>
      </c>
      <c r="J48" s="510">
        <v>269.375</v>
      </c>
      <c r="K48" s="510">
        <v>125.875</v>
      </c>
      <c r="L48" s="510">
        <v>34.125</v>
      </c>
      <c r="M48" s="510">
        <v>0</v>
      </c>
      <c r="N48" s="510">
        <v>0</v>
      </c>
      <c r="O48" s="510">
        <v>0</v>
      </c>
      <c r="P48" s="513">
        <f t="shared" si="0"/>
        <v>623.625</v>
      </c>
      <c r="Q48" s="417">
        <f t="shared" si="1"/>
        <v>2</v>
      </c>
      <c r="R48" s="410"/>
      <c r="S48" s="410"/>
      <c r="T48" s="410"/>
      <c r="U48" s="410"/>
      <c r="V48" s="410"/>
      <c r="W48" s="410"/>
      <c r="X48" s="410"/>
      <c r="Y48" s="410"/>
    </row>
    <row r="49" spans="1:25" s="135" customFormat="1">
      <c r="A49"/>
      <c r="B49" s="408" t="s">
        <v>79</v>
      </c>
      <c r="C49" s="409" t="str">
        <f>VLOOKUP(B49,NodeList!$D$5:$E$73,2,FALSE)</f>
        <v>Confluence Sulphur Creek / Bear River</v>
      </c>
      <c r="D49" s="509">
        <v>0</v>
      </c>
      <c r="E49" s="509">
        <v>1</v>
      </c>
      <c r="F49" s="509">
        <v>2</v>
      </c>
      <c r="G49" s="509">
        <v>3</v>
      </c>
      <c r="H49" s="509">
        <v>4</v>
      </c>
      <c r="I49" s="509">
        <v>5</v>
      </c>
      <c r="J49" s="509">
        <v>6</v>
      </c>
      <c r="K49" s="509">
        <v>7</v>
      </c>
      <c r="L49" s="509">
        <v>8</v>
      </c>
      <c r="M49" s="509">
        <v>9</v>
      </c>
      <c r="N49" s="509">
        <v>10</v>
      </c>
      <c r="O49" s="509">
        <v>11</v>
      </c>
      <c r="P49" s="512">
        <f t="shared" si="0"/>
        <v>66</v>
      </c>
      <c r="Q49" s="416">
        <f t="shared" si="1"/>
        <v>3</v>
      </c>
      <c r="R49" s="410"/>
      <c r="S49" s="410"/>
      <c r="T49" s="410"/>
      <c r="U49" s="410"/>
      <c r="V49" s="410"/>
      <c r="W49" s="410"/>
      <c r="X49" s="410"/>
      <c r="Y49" s="410"/>
    </row>
    <row r="50" spans="1:25" s="135" customFormat="1">
      <c r="A50"/>
      <c r="B50" s="408" t="s">
        <v>71</v>
      </c>
      <c r="C50" s="409" t="str">
        <f>VLOOKUP(B50,NodeList!$D$5:$E$73,2,FALSE)</f>
        <v>Evanston Water Ditch</v>
      </c>
      <c r="D50" s="509">
        <v>0</v>
      </c>
      <c r="E50" s="509">
        <v>0</v>
      </c>
      <c r="F50" s="509">
        <v>0</v>
      </c>
      <c r="G50" s="509">
        <v>0</v>
      </c>
      <c r="H50" s="509">
        <v>526.24882231404956</v>
      </c>
      <c r="I50" s="509">
        <v>1046.7743595041325</v>
      </c>
      <c r="J50" s="509">
        <v>821.79398760330571</v>
      </c>
      <c r="K50" s="509">
        <v>549.62001033057845</v>
      </c>
      <c r="L50" s="509">
        <v>239.99172520661156</v>
      </c>
      <c r="M50" s="509">
        <v>0</v>
      </c>
      <c r="N50" s="509">
        <v>0</v>
      </c>
      <c r="O50" s="509">
        <v>0</v>
      </c>
      <c r="P50" s="512">
        <f t="shared" si="0"/>
        <v>3184.4289049586778</v>
      </c>
      <c r="Q50" s="416">
        <f t="shared" si="1"/>
        <v>3</v>
      </c>
      <c r="R50" s="410"/>
      <c r="S50" s="410"/>
      <c r="T50" s="410"/>
      <c r="U50" s="410"/>
      <c r="V50" s="410"/>
      <c r="W50" s="410"/>
      <c r="X50" s="410"/>
      <c r="Y50" s="410"/>
    </row>
    <row r="51" spans="1:25" s="135" customFormat="1">
      <c r="A51" s="294"/>
      <c r="B51" s="412" t="s">
        <v>149</v>
      </c>
      <c r="C51" s="413" t="str">
        <f>VLOOKUP(B51,NodeList!$D$5:$E$73,2,FALSE)</f>
        <v>Rocky Mtn &amp; Blyth</v>
      </c>
      <c r="D51" s="510">
        <v>0</v>
      </c>
      <c r="E51" s="510">
        <v>0</v>
      </c>
      <c r="F51" s="510">
        <v>0</v>
      </c>
      <c r="G51" s="510">
        <v>0</v>
      </c>
      <c r="H51" s="510">
        <v>536.83008847004135</v>
      </c>
      <c r="I51" s="510">
        <v>529.25750102427685</v>
      </c>
      <c r="J51" s="510">
        <v>346.37503986683879</v>
      </c>
      <c r="K51" s="510">
        <v>185.31715975371901</v>
      </c>
      <c r="L51" s="510">
        <v>147.87729126301653</v>
      </c>
      <c r="M51" s="510">
        <v>0</v>
      </c>
      <c r="N51" s="510">
        <v>0</v>
      </c>
      <c r="O51" s="510">
        <v>0</v>
      </c>
      <c r="P51" s="513">
        <f t="shared" si="0"/>
        <v>1745.6570803778927</v>
      </c>
      <c r="Q51" s="417">
        <f t="shared" si="1"/>
        <v>3</v>
      </c>
      <c r="R51" s="410"/>
      <c r="S51" s="410"/>
      <c r="T51" s="410"/>
      <c r="U51" s="410"/>
      <c r="V51" s="410"/>
      <c r="W51" s="410"/>
      <c r="X51" s="410"/>
      <c r="Y51" s="410"/>
    </row>
    <row r="52" spans="1:25" s="135" customFormat="1">
      <c r="A52"/>
      <c r="B52" s="408" t="s">
        <v>119</v>
      </c>
      <c r="C52" s="409" t="str">
        <f>VLOOKUP(B52,NodeList!$D$5:$E$73,2,FALSE)</f>
        <v>USGS 10016900: Bear R. at Evanston, WY</v>
      </c>
      <c r="D52" s="509">
        <v>0</v>
      </c>
      <c r="E52" s="509">
        <v>0</v>
      </c>
      <c r="F52" s="509">
        <v>0</v>
      </c>
      <c r="G52" s="509">
        <v>0</v>
      </c>
      <c r="H52" s="509">
        <v>0</v>
      </c>
      <c r="I52" s="509">
        <v>0</v>
      </c>
      <c r="J52" s="509">
        <v>0</v>
      </c>
      <c r="K52" s="509">
        <v>0</v>
      </c>
      <c r="L52" s="509">
        <v>0</v>
      </c>
      <c r="M52" s="509">
        <v>0</v>
      </c>
      <c r="N52" s="509">
        <v>0</v>
      </c>
      <c r="O52" s="509">
        <v>0</v>
      </c>
      <c r="P52" s="512">
        <f t="shared" si="0"/>
        <v>0</v>
      </c>
      <c r="Q52" s="416">
        <f t="shared" si="1"/>
        <v>4</v>
      </c>
      <c r="R52" s="410"/>
      <c r="S52" s="410"/>
      <c r="T52" s="410"/>
      <c r="U52" s="410"/>
      <c r="V52" s="410"/>
      <c r="W52" s="410"/>
      <c r="X52" s="410"/>
      <c r="Y52" s="410"/>
    </row>
    <row r="53" spans="1:25" s="135" customFormat="1">
      <c r="A53"/>
      <c r="B53" s="408" t="s">
        <v>141</v>
      </c>
      <c r="C53" s="409" t="str">
        <f>VLOOKUP(B53,NodeList!$D$5:$E$73,2,FALSE)</f>
        <v>John Simms</v>
      </c>
      <c r="D53" s="509">
        <v>0</v>
      </c>
      <c r="E53" s="509">
        <v>0</v>
      </c>
      <c r="F53" s="509">
        <v>0</v>
      </c>
      <c r="G53" s="509">
        <v>0</v>
      </c>
      <c r="H53" s="509">
        <v>695.28376033057839</v>
      </c>
      <c r="I53" s="509">
        <v>659.28276859504126</v>
      </c>
      <c r="J53" s="509">
        <v>383.27413223140491</v>
      </c>
      <c r="K53" s="509">
        <v>295.40121900826449</v>
      </c>
      <c r="L53" s="509">
        <v>208.26325413223142</v>
      </c>
      <c r="M53" s="509">
        <v>0</v>
      </c>
      <c r="N53" s="509">
        <v>0</v>
      </c>
      <c r="O53" s="509">
        <v>0</v>
      </c>
      <c r="P53" s="508">
        <f t="shared" si="0"/>
        <v>2241.5051342975203</v>
      </c>
      <c r="Q53" s="416">
        <f t="shared" si="1"/>
        <v>4</v>
      </c>
      <c r="R53" s="410"/>
      <c r="S53" s="410"/>
      <c r="T53" s="410"/>
      <c r="U53" s="410"/>
      <c r="V53" s="410"/>
      <c r="W53" s="410"/>
      <c r="X53" s="410"/>
      <c r="Y53" s="410"/>
    </row>
    <row r="54" spans="1:25" s="135" customFormat="1">
      <c r="A54"/>
      <c r="B54" s="408" t="s">
        <v>153</v>
      </c>
      <c r="C54" s="409" t="str">
        <f>VLOOKUP(B54,NodeList!$D$5:$E$73,2,FALSE)</f>
        <v>S P Ramsey</v>
      </c>
      <c r="D54" s="509">
        <v>0</v>
      </c>
      <c r="E54" s="509">
        <v>0</v>
      </c>
      <c r="F54" s="509">
        <v>0</v>
      </c>
      <c r="G54" s="509">
        <v>0</v>
      </c>
      <c r="H54" s="509">
        <v>776.25413330526862</v>
      </c>
      <c r="I54" s="509">
        <v>652.25385584452488</v>
      </c>
      <c r="J54" s="509">
        <v>290.36558656404958</v>
      </c>
      <c r="K54" s="509">
        <v>169.10596374793388</v>
      </c>
      <c r="L54" s="509">
        <v>110.98593604173554</v>
      </c>
      <c r="M54" s="509">
        <v>0</v>
      </c>
      <c r="N54" s="509">
        <v>0</v>
      </c>
      <c r="O54" s="509">
        <v>0</v>
      </c>
      <c r="P54" s="508">
        <f t="shared" si="0"/>
        <v>1998.9654755035126</v>
      </c>
      <c r="Q54" s="416">
        <f t="shared" si="1"/>
        <v>4</v>
      </c>
      <c r="R54" s="410"/>
      <c r="S54" s="410"/>
      <c r="T54" s="410"/>
      <c r="U54" s="410"/>
      <c r="V54" s="410"/>
      <c r="W54" s="410"/>
      <c r="X54" s="410"/>
      <c r="Y54" s="410"/>
    </row>
    <row r="55" spans="1:25" s="135" customFormat="1">
      <c r="A55" s="294"/>
      <c r="B55" s="412" t="s">
        <v>262</v>
      </c>
      <c r="C55" s="413" t="str">
        <f>VLOOKUP(B55,NodeList!$D$5:$E$73,2,FALSE)</f>
        <v>AggDiv BR-2</v>
      </c>
      <c r="D55" s="510">
        <v>0</v>
      </c>
      <c r="E55" s="510">
        <v>0</v>
      </c>
      <c r="F55" s="510">
        <v>0</v>
      </c>
      <c r="G55" s="510">
        <v>0</v>
      </c>
      <c r="H55" s="510">
        <v>338.005</v>
      </c>
      <c r="I55" s="510">
        <v>897.68125000000009</v>
      </c>
      <c r="J55" s="510">
        <v>844.00750000000005</v>
      </c>
      <c r="K55" s="510">
        <v>328.33375000000001</v>
      </c>
      <c r="L55" s="510">
        <v>134.25</v>
      </c>
      <c r="M55" s="510">
        <v>0</v>
      </c>
      <c r="N55" s="510">
        <v>0</v>
      </c>
      <c r="O55" s="510">
        <v>0</v>
      </c>
      <c r="P55" s="511">
        <f t="shared" si="0"/>
        <v>2542.2775000000001</v>
      </c>
      <c r="Q55" s="417">
        <f t="shared" si="1"/>
        <v>4</v>
      </c>
      <c r="R55" s="410"/>
      <c r="S55" s="410"/>
      <c r="T55" s="410"/>
      <c r="U55" s="410"/>
      <c r="V55" s="410"/>
      <c r="W55" s="410"/>
      <c r="X55" s="410"/>
      <c r="Y55" s="410"/>
    </row>
    <row r="56" spans="1:25" s="135" customFormat="1">
      <c r="A56"/>
      <c r="B56" s="408" t="s">
        <v>167</v>
      </c>
      <c r="C56" s="409" t="str">
        <f>VLOOKUP(B56,NodeList!$D$5:$E$73,2,FALSE)</f>
        <v>Confluence Yellow Creek / Bear River</v>
      </c>
      <c r="D56" s="509">
        <v>0</v>
      </c>
      <c r="E56" s="509">
        <v>0</v>
      </c>
      <c r="F56" s="509">
        <v>0</v>
      </c>
      <c r="G56" s="509">
        <v>0</v>
      </c>
      <c r="H56" s="509">
        <v>0</v>
      </c>
      <c r="I56" s="509">
        <v>0</v>
      </c>
      <c r="J56" s="509">
        <v>0</v>
      </c>
      <c r="K56" s="509">
        <v>0</v>
      </c>
      <c r="L56" s="509">
        <v>0</v>
      </c>
      <c r="M56" s="509">
        <v>0</v>
      </c>
      <c r="N56" s="509">
        <v>0</v>
      </c>
      <c r="O56" s="509">
        <v>0</v>
      </c>
      <c r="P56" s="508">
        <f t="shared" si="0"/>
        <v>0</v>
      </c>
      <c r="Q56" s="416">
        <f t="shared" si="1"/>
        <v>5</v>
      </c>
      <c r="R56" s="410"/>
      <c r="S56" s="410"/>
      <c r="T56" s="410"/>
      <c r="U56" s="410"/>
      <c r="V56" s="410"/>
      <c r="W56" s="410"/>
      <c r="X56" s="410"/>
      <c r="Y56" s="410"/>
    </row>
    <row r="57" spans="1:25" s="135" customFormat="1" ht="14.25" customHeight="1">
      <c r="A57" s="279" t="s">
        <v>297</v>
      </c>
      <c r="B57" s="408" t="s">
        <v>134</v>
      </c>
      <c r="C57" s="409" t="str">
        <f>VLOOKUP(B57,NodeList!$D$5:$E$73,2,FALSE)</f>
        <v>Chapman Canal</v>
      </c>
      <c r="D57" s="509">
        <v>0</v>
      </c>
      <c r="E57" s="509">
        <v>0</v>
      </c>
      <c r="F57" s="509">
        <v>0</v>
      </c>
      <c r="G57" s="509">
        <v>0</v>
      </c>
      <c r="H57" s="509">
        <v>3022.4831058057848</v>
      </c>
      <c r="I57" s="509">
        <v>2823.6777423558883</v>
      </c>
      <c r="J57" s="509">
        <v>1468.0009072193698</v>
      </c>
      <c r="K57" s="509">
        <v>392.50756632489669</v>
      </c>
      <c r="L57" s="509">
        <v>338.32462634462809</v>
      </c>
      <c r="M57" s="509">
        <v>0</v>
      </c>
      <c r="N57" s="509">
        <v>0</v>
      </c>
      <c r="O57" s="509">
        <v>0</v>
      </c>
      <c r="P57" s="508">
        <f t="shared" si="0"/>
        <v>8044.9939480505673</v>
      </c>
      <c r="Q57" s="416">
        <f t="shared" si="1"/>
        <v>5</v>
      </c>
      <c r="R57" s="410"/>
      <c r="S57" s="410"/>
      <c r="T57" s="410"/>
      <c r="U57" s="410"/>
      <c r="V57" s="410"/>
      <c r="W57" s="410"/>
      <c r="X57" s="410"/>
      <c r="Y57" s="410"/>
    </row>
    <row r="58" spans="1:25" s="135" customFormat="1">
      <c r="A58"/>
      <c r="B58" s="408" t="s">
        <v>143</v>
      </c>
      <c r="C58" s="409" t="str">
        <f>VLOOKUP(B58,NodeList!$D$5:$E$73,2,FALSE)</f>
        <v>Morris Bros (Lower)</v>
      </c>
      <c r="D58" s="509">
        <v>0</v>
      </c>
      <c r="E58" s="509">
        <v>0</v>
      </c>
      <c r="F58" s="509">
        <v>0</v>
      </c>
      <c r="G58" s="509">
        <v>0</v>
      </c>
      <c r="H58" s="509">
        <v>228.96947415764464</v>
      </c>
      <c r="I58" s="509">
        <v>194.68043899989669</v>
      </c>
      <c r="J58" s="509">
        <v>139.33644637613637</v>
      </c>
      <c r="K58" s="509">
        <v>48.576813437086784</v>
      </c>
      <c r="L58" s="509">
        <v>75.333951538429744</v>
      </c>
      <c r="M58" s="509">
        <v>0</v>
      </c>
      <c r="N58" s="509">
        <v>0</v>
      </c>
      <c r="O58" s="509">
        <v>0</v>
      </c>
      <c r="P58" s="508">
        <f t="shared" si="0"/>
        <v>686.89712450919433</v>
      </c>
      <c r="Q58" s="416">
        <f t="shared" si="1"/>
        <v>5</v>
      </c>
      <c r="R58" s="410"/>
      <c r="S58" s="410"/>
      <c r="T58" s="410"/>
      <c r="U58" s="410"/>
      <c r="V58" s="410"/>
      <c r="W58" s="410"/>
      <c r="X58" s="410"/>
      <c r="Y58" s="410"/>
    </row>
    <row r="59" spans="1:25" s="135" customFormat="1">
      <c r="A59"/>
      <c r="B59" s="408" t="s">
        <v>155</v>
      </c>
      <c r="C59" s="409" t="str">
        <f>VLOOKUP(B59,NodeList!$D$5:$E$73,2,FALSE)</f>
        <v>AggDiv BR-3</v>
      </c>
      <c r="D59" s="509">
        <v>0</v>
      </c>
      <c r="E59" s="509">
        <v>0</v>
      </c>
      <c r="F59" s="509">
        <v>0</v>
      </c>
      <c r="G59" s="509">
        <v>0</v>
      </c>
      <c r="H59" s="509">
        <v>140.42375000000001</v>
      </c>
      <c r="I59" s="509">
        <v>371.98249999999996</v>
      </c>
      <c r="J59" s="509">
        <v>382.5575</v>
      </c>
      <c r="K59" s="509">
        <v>133.57874999999999</v>
      </c>
      <c r="L59" s="509">
        <v>51.167500000000004</v>
      </c>
      <c r="M59" s="509">
        <v>0</v>
      </c>
      <c r="N59" s="509">
        <v>0</v>
      </c>
      <c r="O59" s="509">
        <v>0</v>
      </c>
      <c r="P59" s="508">
        <f t="shared" si="0"/>
        <v>1079.71</v>
      </c>
      <c r="Q59" s="416">
        <f t="shared" si="1"/>
        <v>5</v>
      </c>
      <c r="R59" s="410"/>
      <c r="S59" s="410"/>
      <c r="T59" s="410"/>
      <c r="U59" s="410"/>
      <c r="V59" s="410"/>
      <c r="W59" s="410"/>
      <c r="X59" s="410"/>
      <c r="Y59" s="410"/>
    </row>
    <row r="60" spans="1:25" s="135" customFormat="1">
      <c r="A60" s="294"/>
      <c r="B60" s="412" t="s">
        <v>265</v>
      </c>
      <c r="C60" s="413" t="str">
        <f>VLOOKUP(B60,NodeList!$D$5:$E$73,2,FALSE)</f>
        <v>Tunnel</v>
      </c>
      <c r="D60" s="510">
        <v>0</v>
      </c>
      <c r="E60" s="510">
        <v>0</v>
      </c>
      <c r="F60" s="510">
        <v>0</v>
      </c>
      <c r="G60" s="510">
        <v>0</v>
      </c>
      <c r="H60" s="510">
        <v>979.77975327045453</v>
      </c>
      <c r="I60" s="510">
        <v>952.82728098688006</v>
      </c>
      <c r="J60" s="510">
        <v>310.46096293274798</v>
      </c>
      <c r="K60" s="510">
        <v>103.27184078667358</v>
      </c>
      <c r="L60" s="510">
        <v>63.103624236053719</v>
      </c>
      <c r="M60" s="510">
        <v>0</v>
      </c>
      <c r="N60" s="510">
        <v>0</v>
      </c>
      <c r="O60" s="510">
        <v>0</v>
      </c>
      <c r="P60" s="511">
        <f t="shared" si="0"/>
        <v>2409.4434622128101</v>
      </c>
      <c r="Q60" s="417">
        <f t="shared" si="1"/>
        <v>5</v>
      </c>
      <c r="R60" s="410"/>
      <c r="S60" s="410"/>
      <c r="T60" s="410"/>
      <c r="U60" s="410"/>
      <c r="V60" s="410"/>
      <c r="W60" s="410"/>
      <c r="X60" s="410"/>
      <c r="Y60" s="410"/>
    </row>
    <row r="61" spans="1:25" s="135" customFormat="1">
      <c r="A61"/>
      <c r="B61" s="408" t="s">
        <v>120</v>
      </c>
      <c r="C61" s="409" t="str">
        <f>VLOOKUP(B61,NodeList!$D$5:$E$73,2,FALSE)</f>
        <v>USGS 10020100:  Bear R. ab res. nr Woodruff, UT</v>
      </c>
      <c r="D61" s="509">
        <v>0</v>
      </c>
      <c r="E61" s="509">
        <v>0</v>
      </c>
      <c r="F61" s="509">
        <v>0</v>
      </c>
      <c r="G61" s="509">
        <v>0</v>
      </c>
      <c r="H61" s="509">
        <v>0</v>
      </c>
      <c r="I61" s="509">
        <v>0</v>
      </c>
      <c r="J61" s="509">
        <v>0</v>
      </c>
      <c r="K61" s="509">
        <v>0</v>
      </c>
      <c r="L61" s="509">
        <v>0</v>
      </c>
      <c r="M61" s="509">
        <v>0</v>
      </c>
      <c r="N61" s="509">
        <v>0</v>
      </c>
      <c r="O61" s="509">
        <v>0</v>
      </c>
      <c r="P61" s="508">
        <f t="shared" si="0"/>
        <v>0</v>
      </c>
      <c r="Q61" s="416">
        <f t="shared" si="1"/>
        <v>6</v>
      </c>
      <c r="R61" s="410"/>
      <c r="S61" s="410"/>
      <c r="T61" s="410"/>
      <c r="U61" s="410"/>
      <c r="V61" s="410"/>
      <c r="W61" s="410"/>
      <c r="X61" s="410"/>
      <c r="Y61" s="410"/>
    </row>
    <row r="62" spans="1:25" s="135" customFormat="1">
      <c r="A62" s="294"/>
      <c r="B62" s="412" t="s">
        <v>162</v>
      </c>
      <c r="C62" s="413" t="str">
        <f>VLOOKUP(B62,NodeList!$D$5:$E$73,2,FALSE)</f>
        <v>Woodruff Narrows Reservoir</v>
      </c>
      <c r="D62" s="510">
        <v>0</v>
      </c>
      <c r="E62" s="510">
        <v>0</v>
      </c>
      <c r="F62" s="510">
        <v>0</v>
      </c>
      <c r="G62" s="510">
        <v>0</v>
      </c>
      <c r="H62" s="510">
        <v>0</v>
      </c>
      <c r="I62" s="510">
        <v>0</v>
      </c>
      <c r="J62" s="510">
        <v>0</v>
      </c>
      <c r="K62" s="510">
        <v>0</v>
      </c>
      <c r="L62" s="510">
        <v>0</v>
      </c>
      <c r="M62" s="510">
        <v>0</v>
      </c>
      <c r="N62" s="510">
        <v>0</v>
      </c>
      <c r="O62" s="510">
        <v>0</v>
      </c>
      <c r="P62" s="511">
        <f t="shared" si="0"/>
        <v>0</v>
      </c>
      <c r="Q62" s="417">
        <f t="shared" si="1"/>
        <v>6</v>
      </c>
      <c r="R62" s="410"/>
      <c r="S62" s="410"/>
      <c r="T62" s="410"/>
      <c r="U62" s="410"/>
      <c r="V62" s="410"/>
      <c r="W62" s="410"/>
      <c r="X62" s="410"/>
      <c r="Y62" s="410"/>
    </row>
    <row r="63" spans="1:25" s="135" customFormat="1">
      <c r="A63"/>
      <c r="B63" s="408" t="s">
        <v>121</v>
      </c>
      <c r="C63" s="409" t="str">
        <f>VLOOKUP(B63,NodeList!$D$5:$E$73,2,FALSE)</f>
        <v>USGS 10020300:  Bear R. bel res. nr Woodruff, UT</v>
      </c>
      <c r="D63" s="509">
        <v>0</v>
      </c>
      <c r="E63" s="509">
        <v>0</v>
      </c>
      <c r="F63" s="509">
        <v>0</v>
      </c>
      <c r="G63" s="509">
        <v>0</v>
      </c>
      <c r="H63" s="509">
        <v>0</v>
      </c>
      <c r="I63" s="509">
        <v>0</v>
      </c>
      <c r="J63" s="509">
        <v>0</v>
      </c>
      <c r="K63" s="509">
        <v>0</v>
      </c>
      <c r="L63" s="509">
        <v>0</v>
      </c>
      <c r="M63" s="509">
        <v>0</v>
      </c>
      <c r="N63" s="509">
        <v>0</v>
      </c>
      <c r="O63" s="509">
        <v>0</v>
      </c>
      <c r="P63" s="508">
        <f t="shared" si="0"/>
        <v>0</v>
      </c>
      <c r="Q63" s="416">
        <f t="shared" si="1"/>
        <v>7</v>
      </c>
      <c r="R63" s="410"/>
      <c r="S63" s="410"/>
      <c r="T63" s="410"/>
      <c r="U63" s="410"/>
      <c r="V63" s="410"/>
      <c r="W63" s="410"/>
      <c r="X63" s="410"/>
      <c r="Y63" s="410"/>
    </row>
    <row r="64" spans="1:25" s="135" customFormat="1">
      <c r="A64"/>
      <c r="B64" s="408" t="s">
        <v>139</v>
      </c>
      <c r="C64" s="409" t="str">
        <f>VLOOKUP(B64,NodeList!$D$5:$E$73,2,FALSE)</f>
        <v>Francis Lee</v>
      </c>
      <c r="D64" s="509">
        <v>0</v>
      </c>
      <c r="E64" s="509">
        <v>0</v>
      </c>
      <c r="F64" s="509">
        <v>0</v>
      </c>
      <c r="G64" s="509">
        <v>0</v>
      </c>
      <c r="H64" s="509">
        <v>1696.9185986308885</v>
      </c>
      <c r="I64" s="509">
        <v>2704.1690100903925</v>
      </c>
      <c r="J64" s="509">
        <v>611.4063159835124</v>
      </c>
      <c r="K64" s="509">
        <v>169.3388429752066</v>
      </c>
      <c r="L64" s="509">
        <v>185.87941338471077</v>
      </c>
      <c r="M64" s="509">
        <v>0</v>
      </c>
      <c r="N64" s="509">
        <v>0</v>
      </c>
      <c r="O64" s="509">
        <v>0</v>
      </c>
      <c r="P64" s="508">
        <f t="shared" si="0"/>
        <v>5367.7121810647104</v>
      </c>
      <c r="Q64" s="416">
        <f t="shared" si="1"/>
        <v>7</v>
      </c>
      <c r="R64" s="410"/>
      <c r="S64" s="410"/>
      <c r="T64" s="410"/>
      <c r="U64" s="410"/>
      <c r="V64" s="410"/>
      <c r="W64" s="410"/>
      <c r="X64" s="410"/>
      <c r="Y64" s="410"/>
    </row>
    <row r="65" spans="1:25" s="135" customFormat="1">
      <c r="A65"/>
      <c r="B65" s="408" t="s">
        <v>130</v>
      </c>
      <c r="C65" s="409" t="str">
        <f>VLOOKUP(B65,NodeList!$D$5:$E$73,2,FALSE)</f>
        <v>Bear River Canal</v>
      </c>
      <c r="D65" s="509">
        <v>0</v>
      </c>
      <c r="E65" s="509">
        <v>0</v>
      </c>
      <c r="F65" s="509">
        <v>0</v>
      </c>
      <c r="G65" s="509">
        <v>0</v>
      </c>
      <c r="H65" s="509">
        <v>1965.6305462113635</v>
      </c>
      <c r="I65" s="509">
        <v>3298.0788354802685</v>
      </c>
      <c r="J65" s="509">
        <v>1684.1485608552687</v>
      </c>
      <c r="K65" s="509">
        <v>532.35795900309915</v>
      </c>
      <c r="L65" s="509">
        <v>409.02576384132237</v>
      </c>
      <c r="M65" s="509">
        <v>0</v>
      </c>
      <c r="N65" s="509">
        <v>0</v>
      </c>
      <c r="O65" s="509">
        <v>0</v>
      </c>
      <c r="P65" s="508">
        <f t="shared" si="0"/>
        <v>7889.2416653913224</v>
      </c>
      <c r="Q65" s="416">
        <f t="shared" si="1"/>
        <v>7</v>
      </c>
      <c r="R65" s="410"/>
      <c r="S65" s="410"/>
      <c r="T65" s="410"/>
      <c r="U65" s="410"/>
      <c r="V65" s="410"/>
      <c r="W65" s="410"/>
      <c r="X65" s="410"/>
      <c r="Y65" s="410"/>
    </row>
    <row r="66" spans="1:25" s="135" customFormat="1">
      <c r="B66" s="408" t="s">
        <v>230</v>
      </c>
      <c r="C66" s="409" t="str">
        <f>VLOOKUP(B66,NodeList!$D$5:$E$73,2,FALSE)</f>
        <v>Aggregate Utah Diversions</v>
      </c>
      <c r="D66" s="509">
        <v>0</v>
      </c>
      <c r="E66" s="509">
        <v>0</v>
      </c>
      <c r="F66" s="509">
        <v>0</v>
      </c>
      <c r="G66" s="509">
        <v>0</v>
      </c>
      <c r="H66" s="509">
        <v>19706.331893247167</v>
      </c>
      <c r="I66" s="509">
        <v>43876.311703128056</v>
      </c>
      <c r="J66" s="509">
        <v>8753.5195151369044</v>
      </c>
      <c r="K66" s="509">
        <v>3585.3513253552032</v>
      </c>
      <c r="L66" s="509">
        <v>2539.7154708752887</v>
      </c>
      <c r="M66" s="509">
        <v>0</v>
      </c>
      <c r="N66" s="509">
        <v>0</v>
      </c>
      <c r="O66" s="509">
        <v>0</v>
      </c>
      <c r="P66" s="508">
        <f t="shared" si="0"/>
        <v>78461.229907742629</v>
      </c>
      <c r="Q66" s="416">
        <f t="shared" si="1"/>
        <v>7</v>
      </c>
      <c r="R66" s="410"/>
      <c r="S66" s="410"/>
      <c r="T66" s="410"/>
      <c r="U66" s="410"/>
      <c r="V66" s="410"/>
      <c r="W66" s="410"/>
      <c r="X66" s="410"/>
      <c r="Y66" s="410"/>
    </row>
    <row r="67" spans="1:25" s="135" customFormat="1">
      <c r="A67" s="294"/>
      <c r="B67" s="412" t="s">
        <v>556</v>
      </c>
      <c r="C67" s="413" t="str">
        <f>VLOOKUP(B67,NodeList!$D$5:$E$73,2,FALSE)</f>
        <v>Partial Returns from Aggregate Utah Diversions</v>
      </c>
      <c r="D67" s="510">
        <v>0</v>
      </c>
      <c r="E67" s="510">
        <v>0</v>
      </c>
      <c r="F67" s="510">
        <v>0</v>
      </c>
      <c r="G67" s="510">
        <v>0</v>
      </c>
      <c r="H67" s="510">
        <v>0</v>
      </c>
      <c r="I67" s="510">
        <v>0</v>
      </c>
      <c r="J67" s="510">
        <v>0</v>
      </c>
      <c r="K67" s="510">
        <v>0</v>
      </c>
      <c r="L67" s="510">
        <v>0</v>
      </c>
      <c r="M67" s="510">
        <v>0</v>
      </c>
      <c r="N67" s="510">
        <v>0</v>
      </c>
      <c r="O67" s="510">
        <v>0</v>
      </c>
      <c r="P67" s="511">
        <v>0</v>
      </c>
      <c r="Q67" s="444">
        <v>0</v>
      </c>
      <c r="R67" s="410"/>
      <c r="S67" s="410"/>
      <c r="T67" s="410"/>
      <c r="U67" s="410"/>
      <c r="V67" s="410"/>
      <c r="W67" s="410"/>
      <c r="X67" s="410"/>
      <c r="Y67" s="410"/>
    </row>
    <row r="68" spans="1:25" s="135" customFormat="1">
      <c r="A68"/>
      <c r="B68" s="408" t="s">
        <v>122</v>
      </c>
      <c r="C68" s="409" t="str">
        <f>VLOOKUP(B68,NodeList!$D$5:$E$73,2,FALSE)</f>
        <v>USGS 10026500:  Bear R. nr Randolph, UT</v>
      </c>
      <c r="D68" s="509">
        <v>0</v>
      </c>
      <c r="E68" s="509">
        <v>0</v>
      </c>
      <c r="F68" s="509">
        <v>0</v>
      </c>
      <c r="G68" s="509">
        <v>0</v>
      </c>
      <c r="H68" s="509">
        <v>0</v>
      </c>
      <c r="I68" s="509">
        <v>0</v>
      </c>
      <c r="J68" s="509">
        <v>0</v>
      </c>
      <c r="K68" s="509">
        <v>0</v>
      </c>
      <c r="L68" s="509">
        <v>0</v>
      </c>
      <c r="M68" s="509">
        <v>0</v>
      </c>
      <c r="N68" s="509">
        <v>0</v>
      </c>
      <c r="O68" s="509">
        <v>0</v>
      </c>
      <c r="P68" s="508">
        <f t="shared" si="0"/>
        <v>0</v>
      </c>
      <c r="Q68" s="416">
        <f t="shared" si="1"/>
        <v>8</v>
      </c>
      <c r="R68" s="410"/>
      <c r="S68" s="410"/>
      <c r="T68" s="410"/>
      <c r="U68" s="410"/>
      <c r="V68" s="410"/>
      <c r="W68" s="410"/>
      <c r="X68" s="410"/>
      <c r="Y68" s="410"/>
    </row>
    <row r="69" spans="1:25" s="135" customFormat="1">
      <c r="A69"/>
      <c r="B69" s="408" t="s">
        <v>164</v>
      </c>
      <c r="C69" s="409" t="str">
        <f>VLOOKUP(B69,NodeList!$D$5:$E$73,2,FALSE)</f>
        <v>Pixley Dam</v>
      </c>
      <c r="D69" s="509">
        <v>0</v>
      </c>
      <c r="E69" s="509">
        <v>0</v>
      </c>
      <c r="F69" s="509">
        <v>0</v>
      </c>
      <c r="G69" s="509">
        <v>0</v>
      </c>
      <c r="H69" s="509">
        <v>1205.3231878830682</v>
      </c>
      <c r="I69" s="509">
        <v>2927.5541527096284</v>
      </c>
      <c r="J69" s="509">
        <v>1019.7208562686881</v>
      </c>
      <c r="K69" s="509">
        <v>31.247196749999997</v>
      </c>
      <c r="L69" s="509">
        <v>47.612983778925624</v>
      </c>
      <c r="M69" s="509">
        <v>0</v>
      </c>
      <c r="N69" s="509">
        <v>0</v>
      </c>
      <c r="O69" s="509">
        <v>0</v>
      </c>
      <c r="P69" s="508">
        <f t="shared" si="0"/>
        <v>5231.4583773903105</v>
      </c>
      <c r="Q69" s="416">
        <f t="shared" si="1"/>
        <v>8</v>
      </c>
      <c r="R69" s="410"/>
      <c r="S69" s="410"/>
      <c r="T69" s="410"/>
      <c r="U69" s="410"/>
      <c r="V69" s="410"/>
      <c r="W69" s="410"/>
      <c r="X69" s="410"/>
      <c r="Y69" s="410"/>
    </row>
    <row r="70" spans="1:25" s="135" customFormat="1">
      <c r="A70" s="294"/>
      <c r="B70" s="412" t="s">
        <v>270</v>
      </c>
      <c r="C70" s="413" t="str">
        <f>VLOOKUP(B70,NodeList!$D$5:$E$73,2,FALSE)</f>
        <v>BQ Dam</v>
      </c>
      <c r="D70" s="510">
        <v>0</v>
      </c>
      <c r="E70" s="510">
        <v>0</v>
      </c>
      <c r="F70" s="510">
        <v>0</v>
      </c>
      <c r="G70" s="510">
        <v>0</v>
      </c>
      <c r="H70" s="510">
        <v>1780.5680029354546</v>
      </c>
      <c r="I70" s="510">
        <v>7433.0612931595351</v>
      </c>
      <c r="J70" s="510">
        <v>2074.4859710805681</v>
      </c>
      <c r="K70" s="510">
        <v>162.91801152272728</v>
      </c>
      <c r="L70" s="510">
        <v>67.453907555785122</v>
      </c>
      <c r="M70" s="510">
        <v>0</v>
      </c>
      <c r="N70" s="510">
        <v>0</v>
      </c>
      <c r="O70" s="510">
        <v>0</v>
      </c>
      <c r="P70" s="511">
        <f t="shared" si="0"/>
        <v>11518.487186254073</v>
      </c>
      <c r="Q70" s="417">
        <f t="shared" si="1"/>
        <v>8</v>
      </c>
      <c r="R70" s="410"/>
      <c r="S70" s="410"/>
      <c r="T70" s="410"/>
      <c r="U70" s="410"/>
      <c r="V70" s="410"/>
      <c r="W70" s="410"/>
      <c r="X70" s="410"/>
      <c r="Y70" s="410"/>
    </row>
    <row r="71" spans="1:25" s="135" customFormat="1">
      <c r="A71"/>
      <c r="B71" s="408" t="s">
        <v>123</v>
      </c>
      <c r="C71" s="409" t="str">
        <f>VLOOKUP(B71,NodeList!$D$5:$E$73,2,FALSE)</f>
        <v>USGS 10028500:  Bear R. bel Pixley Dam, near Cokeville, WY</v>
      </c>
      <c r="D71" s="509">
        <v>0</v>
      </c>
      <c r="E71" s="509">
        <v>0</v>
      </c>
      <c r="F71" s="509">
        <v>0</v>
      </c>
      <c r="G71" s="509">
        <v>0</v>
      </c>
      <c r="H71" s="509">
        <v>0</v>
      </c>
      <c r="I71" s="509">
        <v>0</v>
      </c>
      <c r="J71" s="509">
        <v>0</v>
      </c>
      <c r="K71" s="509">
        <v>0</v>
      </c>
      <c r="L71" s="509">
        <v>0</v>
      </c>
      <c r="M71" s="509">
        <v>0</v>
      </c>
      <c r="N71" s="509">
        <v>0</v>
      </c>
      <c r="O71" s="509">
        <v>0</v>
      </c>
      <c r="P71" s="508">
        <f t="shared" si="0"/>
        <v>0</v>
      </c>
      <c r="Q71" s="416">
        <f t="shared" si="1"/>
        <v>9</v>
      </c>
      <c r="R71" s="410"/>
      <c r="S71" s="410"/>
      <c r="T71" s="410"/>
      <c r="U71" s="410"/>
      <c r="V71" s="410"/>
      <c r="W71" s="410"/>
      <c r="X71" s="410"/>
      <c r="Y71" s="410"/>
    </row>
    <row r="72" spans="1:25" s="135" customFormat="1">
      <c r="A72"/>
      <c r="B72" s="408" t="s">
        <v>166</v>
      </c>
      <c r="C72" s="409" t="str">
        <f>VLOOKUP(B72,NodeList!$D$5:$E$73,2,FALSE)</f>
        <v>Confluence Smiths Fork / Bear</v>
      </c>
      <c r="D72" s="509">
        <v>0</v>
      </c>
      <c r="E72" s="509">
        <v>0</v>
      </c>
      <c r="F72" s="509">
        <v>0</v>
      </c>
      <c r="G72" s="509">
        <v>0</v>
      </c>
      <c r="H72" s="509">
        <v>0</v>
      </c>
      <c r="I72" s="509">
        <v>0</v>
      </c>
      <c r="J72" s="509">
        <v>0</v>
      </c>
      <c r="K72" s="509">
        <v>0</v>
      </c>
      <c r="L72" s="509">
        <v>0</v>
      </c>
      <c r="M72" s="509">
        <v>0</v>
      </c>
      <c r="N72" s="509">
        <v>0</v>
      </c>
      <c r="O72" s="509">
        <v>0</v>
      </c>
      <c r="P72" s="508">
        <f t="shared" si="0"/>
        <v>0</v>
      </c>
      <c r="Q72" s="416">
        <f t="shared" si="1"/>
        <v>9</v>
      </c>
      <c r="R72" s="410"/>
      <c r="S72" s="410"/>
      <c r="T72" s="410"/>
      <c r="U72" s="410"/>
      <c r="V72" s="410"/>
      <c r="W72" s="410"/>
      <c r="X72" s="410"/>
      <c r="Y72" s="410"/>
    </row>
    <row r="73" spans="1:25" s="135" customFormat="1">
      <c r="A73"/>
      <c r="B73" s="408" t="s">
        <v>327</v>
      </c>
      <c r="C73" s="409" t="str">
        <f>VLOOKUP(B73,NodeList!$D$5:$E$73,2,FALSE)</f>
        <v>AggDiv BR-4</v>
      </c>
      <c r="D73" s="509">
        <v>0</v>
      </c>
      <c r="E73" s="509">
        <v>0</v>
      </c>
      <c r="F73" s="509">
        <v>0</v>
      </c>
      <c r="G73" s="509">
        <v>0</v>
      </c>
      <c r="H73" s="509">
        <v>691.02375000000006</v>
      </c>
      <c r="I73" s="509">
        <v>2031.52</v>
      </c>
      <c r="J73" s="509">
        <v>2453.8799999999997</v>
      </c>
      <c r="K73" s="509">
        <v>1075.8462500000001</v>
      </c>
      <c r="L73" s="509">
        <v>347.375</v>
      </c>
      <c r="M73" s="509">
        <v>0</v>
      </c>
      <c r="N73" s="509">
        <v>0</v>
      </c>
      <c r="O73" s="509">
        <v>0</v>
      </c>
      <c r="P73" s="508">
        <f>SUM(D73:O73)</f>
        <v>6599.6450000000004</v>
      </c>
      <c r="Q73" s="416">
        <f t="shared" si="1"/>
        <v>9</v>
      </c>
      <c r="R73" s="410"/>
      <c r="S73" s="410"/>
      <c r="T73" s="410"/>
      <c r="U73" s="410"/>
      <c r="V73" s="410"/>
      <c r="W73" s="410"/>
      <c r="X73" s="410"/>
      <c r="Y73" s="410"/>
    </row>
    <row r="74" spans="1:25" s="135" customFormat="1">
      <c r="A74"/>
      <c r="B74" s="408"/>
      <c r="C74" s="409"/>
      <c r="D74" s="416"/>
      <c r="E74" s="416"/>
      <c r="F74" s="416"/>
      <c r="G74" s="416"/>
      <c r="H74" s="416"/>
      <c r="I74" s="416"/>
      <c r="J74" s="416"/>
      <c r="K74" s="416"/>
      <c r="L74" s="416"/>
      <c r="M74" s="416"/>
      <c r="N74" s="416"/>
      <c r="O74" s="416"/>
      <c r="P74" s="416"/>
      <c r="Q74" s="408"/>
      <c r="R74" s="410"/>
      <c r="S74" s="410"/>
      <c r="T74" s="410"/>
      <c r="U74" s="410"/>
      <c r="V74" s="410"/>
      <c r="W74" s="410"/>
      <c r="X74" s="410"/>
      <c r="Y74" s="410"/>
    </row>
    <row r="75" spans="1:25">
      <c r="B75" s="408" t="s">
        <v>545</v>
      </c>
      <c r="C75" s="409" t="s">
        <v>546</v>
      </c>
      <c r="D75" s="416"/>
      <c r="E75" s="416"/>
      <c r="F75" s="416"/>
      <c r="G75" s="416"/>
      <c r="H75" s="416"/>
      <c r="I75" s="416"/>
      <c r="J75" s="416"/>
      <c r="K75" s="416"/>
      <c r="L75" s="416"/>
      <c r="M75" s="416"/>
      <c r="N75" s="416"/>
      <c r="O75" s="416"/>
      <c r="P75" s="416"/>
      <c r="Q75" s="408"/>
      <c r="R75" s="410"/>
      <c r="S75" s="410"/>
      <c r="T75" s="410"/>
      <c r="U75" s="410"/>
      <c r="V75" s="410"/>
      <c r="W75" s="410"/>
      <c r="X75" s="410"/>
      <c r="Y75" s="410"/>
    </row>
    <row r="76" spans="1:25" ht="18">
      <c r="A76" s="279"/>
      <c r="B76" s="408"/>
      <c r="C76" s="409"/>
      <c r="D76" s="416"/>
      <c r="E76" s="416"/>
      <c r="F76" s="416"/>
      <c r="G76" s="416"/>
      <c r="H76" s="416"/>
      <c r="I76" s="416"/>
      <c r="J76" s="416"/>
      <c r="K76" s="416"/>
      <c r="L76" s="416"/>
      <c r="M76" s="416"/>
      <c r="N76" s="416"/>
      <c r="O76" s="416"/>
      <c r="P76" s="416"/>
      <c r="Q76" s="408"/>
      <c r="R76" s="410"/>
      <c r="S76" s="410"/>
      <c r="T76" s="410"/>
      <c r="U76" s="410"/>
      <c r="V76" s="410"/>
      <c r="W76" s="410"/>
      <c r="X76" s="410"/>
      <c r="Y76" s="410"/>
    </row>
    <row r="77" spans="1:25">
      <c r="B77" s="408"/>
      <c r="C77" s="409"/>
      <c r="D77" s="416"/>
      <c r="E77" s="416"/>
      <c r="F77" s="416"/>
      <c r="G77" s="416"/>
      <c r="H77" s="416"/>
      <c r="I77" s="416"/>
      <c r="J77" s="416"/>
      <c r="K77" s="416"/>
      <c r="L77" s="416"/>
      <c r="M77" s="416"/>
      <c r="N77" s="416"/>
      <c r="O77" s="416"/>
      <c r="P77" s="416"/>
      <c r="Q77" s="408"/>
      <c r="R77" s="410"/>
      <c r="S77" s="410"/>
      <c r="T77" s="410"/>
      <c r="U77" s="410"/>
      <c r="V77" s="410"/>
      <c r="W77" s="410"/>
      <c r="X77" s="410"/>
      <c r="Y77" s="410"/>
    </row>
    <row r="78" spans="1:25">
      <c r="B78" s="408"/>
      <c r="C78" s="409"/>
      <c r="D78" s="416"/>
      <c r="E78" s="416"/>
      <c r="F78" s="416"/>
      <c r="G78" s="416"/>
      <c r="H78" s="416"/>
      <c r="I78" s="416"/>
      <c r="J78" s="416"/>
      <c r="K78" s="416"/>
      <c r="L78" s="416"/>
      <c r="M78" s="416"/>
      <c r="N78" s="416"/>
      <c r="O78" s="416"/>
      <c r="P78" s="416"/>
      <c r="Q78" s="414">
        <f>SUM(D78:O78)</f>
        <v>0</v>
      </c>
      <c r="R78" s="410"/>
      <c r="S78" s="410"/>
      <c r="T78" s="410"/>
      <c r="U78" s="410"/>
      <c r="V78" s="410"/>
      <c r="W78" s="410"/>
      <c r="X78" s="410"/>
      <c r="Y78" s="410"/>
    </row>
    <row r="79" spans="1:25">
      <c r="A79" s="658"/>
      <c r="B79" s="411"/>
      <c r="C79" s="410"/>
      <c r="D79" s="445" t="s">
        <v>339</v>
      </c>
      <c r="E79" s="416"/>
      <c r="F79" s="416"/>
      <c r="G79" s="416"/>
      <c r="H79" s="416"/>
      <c r="I79" s="416"/>
      <c r="J79" s="416"/>
      <c r="K79" s="416"/>
      <c r="L79" s="416"/>
      <c r="M79" s="416"/>
      <c r="N79" s="416"/>
      <c r="O79" s="416"/>
      <c r="P79" s="416"/>
      <c r="Q79" s="410"/>
      <c r="R79" s="410"/>
      <c r="S79" s="410"/>
      <c r="T79" s="410"/>
      <c r="U79" s="410"/>
      <c r="V79" s="410"/>
      <c r="W79" s="410"/>
      <c r="X79" s="410"/>
      <c r="Y79" s="410"/>
    </row>
    <row r="80" spans="1:25">
      <c r="A80" s="658"/>
      <c r="B80" s="411"/>
      <c r="C80" s="410"/>
      <c r="D80" s="416"/>
      <c r="E80" s="416"/>
      <c r="F80" s="416"/>
      <c r="G80" s="416"/>
      <c r="H80" s="416"/>
      <c r="I80" s="416"/>
      <c r="J80" s="416"/>
      <c r="K80" s="416"/>
      <c r="L80" s="416"/>
      <c r="M80" s="416"/>
      <c r="N80" s="416"/>
      <c r="O80" s="416"/>
      <c r="P80" s="416"/>
      <c r="Q80" s="410"/>
      <c r="R80" s="410"/>
      <c r="S80" s="410"/>
      <c r="T80" s="410"/>
      <c r="U80" s="410"/>
      <c r="V80" s="410"/>
      <c r="W80" s="410"/>
      <c r="X80" s="410"/>
      <c r="Y80" s="410"/>
    </row>
    <row r="81" spans="1:25">
      <c r="A81" s="658"/>
      <c r="B81" s="411"/>
      <c r="C81" s="410"/>
      <c r="D81" s="416"/>
      <c r="E81" s="416"/>
      <c r="F81" s="416"/>
      <c r="G81" s="416"/>
      <c r="H81" s="416"/>
      <c r="I81" s="416"/>
      <c r="J81" s="416"/>
      <c r="K81" s="416"/>
      <c r="L81" s="416"/>
      <c r="M81" s="416"/>
      <c r="N81" s="416"/>
      <c r="O81" s="416"/>
      <c r="P81" s="416"/>
      <c r="Q81" s="410"/>
      <c r="R81" s="410"/>
      <c r="S81" s="526"/>
      <c r="T81" s="410"/>
      <c r="U81" s="410"/>
      <c r="V81" s="410"/>
      <c r="W81" s="410"/>
      <c r="X81" s="410"/>
      <c r="Y81" s="410"/>
    </row>
    <row r="82" spans="1:25">
      <c r="A82" s="658"/>
      <c r="B82" s="415" t="s">
        <v>193</v>
      </c>
      <c r="C82" s="410"/>
      <c r="D82" s="446" t="s">
        <v>0</v>
      </c>
      <c r="E82" s="446" t="s">
        <v>1</v>
      </c>
      <c r="F82" s="446" t="s">
        <v>2</v>
      </c>
      <c r="G82" s="446" t="s">
        <v>3</v>
      </c>
      <c r="H82" s="446" t="s">
        <v>4</v>
      </c>
      <c r="I82" s="446" t="s">
        <v>5</v>
      </c>
      <c r="J82" s="446" t="s">
        <v>6</v>
      </c>
      <c r="K82" s="446" t="s">
        <v>7</v>
      </c>
      <c r="L82" s="446" t="s">
        <v>8</v>
      </c>
      <c r="M82" s="446" t="s">
        <v>9</v>
      </c>
      <c r="N82" s="446" t="s">
        <v>10</v>
      </c>
      <c r="O82" s="446" t="s">
        <v>11</v>
      </c>
      <c r="P82" s="635" t="s">
        <v>568</v>
      </c>
      <c r="Q82" s="446" t="s">
        <v>578</v>
      </c>
      <c r="R82" s="410"/>
      <c r="T82" s="410"/>
      <c r="U82" s="410"/>
      <c r="V82" s="526"/>
      <c r="W82" s="410"/>
      <c r="X82" s="410"/>
      <c r="Y82" s="410"/>
    </row>
    <row r="83" spans="1:25">
      <c r="A83" s="658"/>
      <c r="B83" s="408">
        <v>1</v>
      </c>
      <c r="C83" s="410"/>
      <c r="D83" s="416">
        <f t="shared" ref="D83:O94" si="2">SUMIF($Q$7:$Q$74,($B83),D$7:D$74)</f>
        <v>0</v>
      </c>
      <c r="E83" s="416">
        <f t="shared" si="2"/>
        <v>0</v>
      </c>
      <c r="F83" s="416">
        <f t="shared" si="2"/>
        <v>0</v>
      </c>
      <c r="G83" s="416">
        <f t="shared" si="2"/>
        <v>0</v>
      </c>
      <c r="H83" s="416">
        <f t="shared" si="2"/>
        <v>7756.0982299522038</v>
      </c>
      <c r="I83" s="416">
        <f t="shared" si="2"/>
        <v>12095.665278802202</v>
      </c>
      <c r="J83" s="416">
        <f t="shared" si="2"/>
        <v>7592.1914818189398</v>
      </c>
      <c r="K83" s="416">
        <f t="shared" si="2"/>
        <v>2875.4384553891532</v>
      </c>
      <c r="L83" s="416">
        <f t="shared" si="2"/>
        <v>1994.0150341140497</v>
      </c>
      <c r="M83" s="416">
        <f t="shared" si="2"/>
        <v>0</v>
      </c>
      <c r="N83" s="416">
        <f t="shared" si="2"/>
        <v>0</v>
      </c>
      <c r="O83" s="416">
        <f t="shared" si="2"/>
        <v>0</v>
      </c>
      <c r="P83" s="363">
        <f>SUM(D83:O83)</f>
        <v>32313.408480076549</v>
      </c>
      <c r="Q83" s="598">
        <f t="shared" ref="Q83:Q94" si="3">SUM(H83:L83)</f>
        <v>32313.408480076549</v>
      </c>
      <c r="R83" s="410"/>
      <c r="S83" s="416"/>
      <c r="T83" s="410"/>
      <c r="U83" s="410"/>
      <c r="V83" s="598"/>
      <c r="W83" s="410"/>
      <c r="X83" s="410"/>
      <c r="Y83" s="410"/>
    </row>
    <row r="84" spans="1:25">
      <c r="A84" s="658"/>
      <c r="B84" s="408">
        <v>2</v>
      </c>
      <c r="C84" s="410"/>
      <c r="D84" s="416">
        <f t="shared" si="2"/>
        <v>0</v>
      </c>
      <c r="E84" s="416">
        <f t="shared" si="2"/>
        <v>0</v>
      </c>
      <c r="F84" s="416">
        <f t="shared" si="2"/>
        <v>0</v>
      </c>
      <c r="G84" s="416">
        <f t="shared" si="2"/>
        <v>0</v>
      </c>
      <c r="H84" s="416">
        <f t="shared" si="2"/>
        <v>40.125</v>
      </c>
      <c r="I84" s="416">
        <f t="shared" si="2"/>
        <v>154.125</v>
      </c>
      <c r="J84" s="416">
        <f t="shared" si="2"/>
        <v>269.375</v>
      </c>
      <c r="K84" s="416">
        <f t="shared" si="2"/>
        <v>125.875</v>
      </c>
      <c r="L84" s="416">
        <f t="shared" si="2"/>
        <v>34.125</v>
      </c>
      <c r="M84" s="416">
        <f t="shared" si="2"/>
        <v>0</v>
      </c>
      <c r="N84" s="416">
        <f t="shared" si="2"/>
        <v>0</v>
      </c>
      <c r="O84" s="416">
        <f t="shared" si="2"/>
        <v>0</v>
      </c>
      <c r="P84" s="363">
        <f t="shared" ref="P84:P93" si="4">SUM(D84:O84)</f>
        <v>623.625</v>
      </c>
      <c r="Q84" s="598">
        <f t="shared" si="3"/>
        <v>623.625</v>
      </c>
      <c r="R84" s="410"/>
      <c r="S84" s="416"/>
      <c r="T84" s="410"/>
      <c r="U84" s="410"/>
      <c r="V84" s="598"/>
      <c r="W84" s="410"/>
      <c r="X84" s="410"/>
      <c r="Y84" s="410"/>
    </row>
    <row r="85" spans="1:25">
      <c r="A85" s="658"/>
      <c r="B85" s="408">
        <v>3</v>
      </c>
      <c r="C85" s="410"/>
      <c r="D85" s="416">
        <f t="shared" si="2"/>
        <v>0</v>
      </c>
      <c r="E85" s="416">
        <f t="shared" si="2"/>
        <v>1</v>
      </c>
      <c r="F85" s="416">
        <f t="shared" si="2"/>
        <v>2</v>
      </c>
      <c r="G85" s="416">
        <f t="shared" si="2"/>
        <v>3</v>
      </c>
      <c r="H85" s="416">
        <f t="shared" si="2"/>
        <v>1067.078910784091</v>
      </c>
      <c r="I85" s="416">
        <f t="shared" si="2"/>
        <v>1581.0318605284092</v>
      </c>
      <c r="J85" s="416">
        <f t="shared" si="2"/>
        <v>1174.1690274701446</v>
      </c>
      <c r="K85" s="416">
        <f t="shared" si="2"/>
        <v>741.93717008429746</v>
      </c>
      <c r="L85" s="416">
        <f t="shared" si="2"/>
        <v>395.86901646962809</v>
      </c>
      <c r="M85" s="416">
        <f t="shared" si="2"/>
        <v>9</v>
      </c>
      <c r="N85" s="416">
        <f t="shared" si="2"/>
        <v>10</v>
      </c>
      <c r="O85" s="416">
        <f t="shared" si="2"/>
        <v>11</v>
      </c>
      <c r="P85" s="363">
        <f t="shared" si="4"/>
        <v>4996.08598533657</v>
      </c>
      <c r="Q85" s="598">
        <f t="shared" si="3"/>
        <v>4960.08598533657</v>
      </c>
      <c r="R85" s="410"/>
      <c r="S85" s="416"/>
      <c r="T85" s="410"/>
      <c r="U85" s="410"/>
      <c r="V85" s="598"/>
      <c r="W85" s="410"/>
      <c r="X85" s="410"/>
      <c r="Y85" s="410"/>
    </row>
    <row r="86" spans="1:25">
      <c r="A86" s="658"/>
      <c r="B86" s="408">
        <v>4</v>
      </c>
      <c r="C86" s="410"/>
      <c r="D86" s="416">
        <f t="shared" si="2"/>
        <v>0</v>
      </c>
      <c r="E86" s="416">
        <f t="shared" si="2"/>
        <v>0</v>
      </c>
      <c r="F86" s="416">
        <f t="shared" si="2"/>
        <v>0</v>
      </c>
      <c r="G86" s="416">
        <f t="shared" si="2"/>
        <v>0</v>
      </c>
      <c r="H86" s="416">
        <f t="shared" si="2"/>
        <v>1809.5428936358471</v>
      </c>
      <c r="I86" s="416">
        <f t="shared" si="2"/>
        <v>2209.217874439566</v>
      </c>
      <c r="J86" s="416">
        <f t="shared" si="2"/>
        <v>1517.6472187954546</v>
      </c>
      <c r="K86" s="416">
        <f t="shared" si="2"/>
        <v>792.84093275619841</v>
      </c>
      <c r="L86" s="416">
        <f t="shared" si="2"/>
        <v>453.49919017396695</v>
      </c>
      <c r="M86" s="416">
        <f t="shared" si="2"/>
        <v>0</v>
      </c>
      <c r="N86" s="416">
        <f t="shared" si="2"/>
        <v>0</v>
      </c>
      <c r="O86" s="416">
        <f t="shared" si="2"/>
        <v>0</v>
      </c>
      <c r="P86" s="363">
        <f t="shared" si="4"/>
        <v>6782.748109801033</v>
      </c>
      <c r="Q86" s="598">
        <f t="shared" si="3"/>
        <v>6782.748109801033</v>
      </c>
      <c r="R86" s="410"/>
      <c r="S86" s="416"/>
      <c r="T86" s="410"/>
      <c r="U86" s="410"/>
      <c r="V86" s="598"/>
      <c r="W86" s="410"/>
      <c r="X86" s="410"/>
      <c r="Y86" s="410"/>
    </row>
    <row r="87" spans="1:25">
      <c r="A87" s="658"/>
      <c r="B87" s="408">
        <v>5</v>
      </c>
      <c r="C87" s="410"/>
      <c r="D87" s="416">
        <f t="shared" si="2"/>
        <v>0</v>
      </c>
      <c r="E87" s="416">
        <f t="shared" si="2"/>
        <v>0</v>
      </c>
      <c r="F87" s="416">
        <f t="shared" si="2"/>
        <v>0</v>
      </c>
      <c r="G87" s="416">
        <f t="shared" si="2"/>
        <v>0</v>
      </c>
      <c r="H87" s="416">
        <f t="shared" si="2"/>
        <v>4371.6560832338837</v>
      </c>
      <c r="I87" s="416">
        <f t="shared" si="2"/>
        <v>4343.1679623426653</v>
      </c>
      <c r="J87" s="416">
        <f t="shared" si="2"/>
        <v>2300.3558165282539</v>
      </c>
      <c r="K87" s="416">
        <f t="shared" si="2"/>
        <v>677.93497054865702</v>
      </c>
      <c r="L87" s="416">
        <f t="shared" si="2"/>
        <v>527.92970211911154</v>
      </c>
      <c r="M87" s="416">
        <f t="shared" si="2"/>
        <v>0</v>
      </c>
      <c r="N87" s="416">
        <f t="shared" si="2"/>
        <v>0</v>
      </c>
      <c r="O87" s="416">
        <f t="shared" si="2"/>
        <v>0</v>
      </c>
      <c r="P87" s="363">
        <f t="shared" si="4"/>
        <v>12221.044534772571</v>
      </c>
      <c r="Q87" s="598">
        <f t="shared" si="3"/>
        <v>12221.044534772571</v>
      </c>
      <c r="R87" s="410"/>
      <c r="S87" s="416"/>
      <c r="T87" s="410"/>
      <c r="U87" s="410"/>
      <c r="V87" s="598"/>
      <c r="W87" s="410"/>
      <c r="X87" s="410"/>
      <c r="Y87" s="410"/>
    </row>
    <row r="88" spans="1:25">
      <c r="A88" s="658"/>
      <c r="B88" s="408">
        <v>6</v>
      </c>
      <c r="C88" s="410"/>
      <c r="D88" s="416">
        <f t="shared" si="2"/>
        <v>0</v>
      </c>
      <c r="E88" s="416">
        <f t="shared" si="2"/>
        <v>0</v>
      </c>
      <c r="F88" s="416">
        <f t="shared" si="2"/>
        <v>0</v>
      </c>
      <c r="G88" s="416">
        <f t="shared" si="2"/>
        <v>0</v>
      </c>
      <c r="H88" s="416">
        <f t="shared" si="2"/>
        <v>0</v>
      </c>
      <c r="I88" s="416">
        <f t="shared" si="2"/>
        <v>0</v>
      </c>
      <c r="J88" s="416">
        <f t="shared" si="2"/>
        <v>0</v>
      </c>
      <c r="K88" s="416">
        <f t="shared" si="2"/>
        <v>0</v>
      </c>
      <c r="L88" s="416">
        <f t="shared" si="2"/>
        <v>0</v>
      </c>
      <c r="M88" s="416">
        <f t="shared" si="2"/>
        <v>0</v>
      </c>
      <c r="N88" s="416">
        <f t="shared" si="2"/>
        <v>0</v>
      </c>
      <c r="O88" s="416">
        <f t="shared" si="2"/>
        <v>0</v>
      </c>
      <c r="P88" s="363">
        <f t="shared" si="4"/>
        <v>0</v>
      </c>
      <c r="Q88" s="598">
        <f t="shared" si="3"/>
        <v>0</v>
      </c>
      <c r="R88" s="410"/>
      <c r="S88" s="416"/>
      <c r="T88" s="410"/>
      <c r="U88" s="410"/>
      <c r="V88" s="598"/>
      <c r="W88" s="410"/>
      <c r="X88" s="410"/>
      <c r="Y88" s="410"/>
    </row>
    <row r="89" spans="1:25">
      <c r="A89" s="658"/>
      <c r="B89" s="408">
        <v>7</v>
      </c>
      <c r="C89" s="410"/>
      <c r="D89" s="416">
        <f t="shared" si="2"/>
        <v>0</v>
      </c>
      <c r="E89" s="416">
        <f t="shared" si="2"/>
        <v>0</v>
      </c>
      <c r="F89" s="416">
        <f t="shared" si="2"/>
        <v>0</v>
      </c>
      <c r="G89" s="416">
        <f t="shared" si="2"/>
        <v>0</v>
      </c>
      <c r="H89" s="416">
        <f t="shared" si="2"/>
        <v>23368.881038089417</v>
      </c>
      <c r="I89" s="416">
        <f t="shared" si="2"/>
        <v>49878.559548698715</v>
      </c>
      <c r="J89" s="416">
        <f t="shared" si="2"/>
        <v>11049.074391975686</v>
      </c>
      <c r="K89" s="416">
        <f t="shared" si="2"/>
        <v>4287.048127333509</v>
      </c>
      <c r="L89" s="416">
        <f t="shared" si="2"/>
        <v>3134.6206481013219</v>
      </c>
      <c r="M89" s="416">
        <f t="shared" si="2"/>
        <v>0</v>
      </c>
      <c r="N89" s="416">
        <f t="shared" si="2"/>
        <v>0</v>
      </c>
      <c r="O89" s="416">
        <f t="shared" si="2"/>
        <v>0</v>
      </c>
      <c r="P89" s="363">
        <f t="shared" si="4"/>
        <v>91718.183754198646</v>
      </c>
      <c r="Q89" s="598">
        <f t="shared" si="3"/>
        <v>91718.183754198646</v>
      </c>
      <c r="R89" s="410"/>
      <c r="S89" s="416"/>
      <c r="T89" s="410"/>
      <c r="U89" s="410"/>
      <c r="V89" s="598"/>
      <c r="W89" s="410"/>
      <c r="X89" s="410"/>
      <c r="Y89" s="410"/>
    </row>
    <row r="90" spans="1:25">
      <c r="A90" s="658"/>
      <c r="B90" s="408">
        <v>8</v>
      </c>
      <c r="C90" s="410"/>
      <c r="D90" s="416">
        <f t="shared" si="2"/>
        <v>0</v>
      </c>
      <c r="E90" s="416">
        <f t="shared" si="2"/>
        <v>0</v>
      </c>
      <c r="F90" s="416">
        <f t="shared" si="2"/>
        <v>0</v>
      </c>
      <c r="G90" s="416">
        <f t="shared" si="2"/>
        <v>0</v>
      </c>
      <c r="H90" s="416">
        <f t="shared" si="2"/>
        <v>2985.8911908185228</v>
      </c>
      <c r="I90" s="416">
        <f t="shared" si="2"/>
        <v>10360.615445869164</v>
      </c>
      <c r="J90" s="416">
        <f t="shared" si="2"/>
        <v>3094.2068273492559</v>
      </c>
      <c r="K90" s="416">
        <f t="shared" si="2"/>
        <v>194.16520827272728</v>
      </c>
      <c r="L90" s="416">
        <f t="shared" si="2"/>
        <v>115.06689133471075</v>
      </c>
      <c r="M90" s="416">
        <f t="shared" si="2"/>
        <v>0</v>
      </c>
      <c r="N90" s="416">
        <f t="shared" si="2"/>
        <v>0</v>
      </c>
      <c r="O90" s="416">
        <f t="shared" si="2"/>
        <v>0</v>
      </c>
      <c r="P90" s="363">
        <f t="shared" si="4"/>
        <v>16749.945563644378</v>
      </c>
      <c r="Q90" s="598">
        <f t="shared" si="3"/>
        <v>16749.945563644378</v>
      </c>
      <c r="R90" s="410"/>
      <c r="S90" s="416"/>
      <c r="T90" s="410"/>
      <c r="U90" s="410"/>
      <c r="V90" s="598"/>
      <c r="W90" s="410"/>
      <c r="X90" s="410"/>
      <c r="Y90" s="410"/>
    </row>
    <row r="91" spans="1:25">
      <c r="A91" s="658"/>
      <c r="B91" s="408">
        <v>9</v>
      </c>
      <c r="C91" s="410"/>
      <c r="D91" s="416">
        <f t="shared" si="2"/>
        <v>0</v>
      </c>
      <c r="E91" s="416">
        <f t="shared" si="2"/>
        <v>0</v>
      </c>
      <c r="F91" s="416">
        <f t="shared" si="2"/>
        <v>0</v>
      </c>
      <c r="G91" s="416">
        <f t="shared" si="2"/>
        <v>0</v>
      </c>
      <c r="H91" s="416">
        <f t="shared" si="2"/>
        <v>691.02375000000006</v>
      </c>
      <c r="I91" s="416">
        <f t="shared" si="2"/>
        <v>2031.52</v>
      </c>
      <c r="J91" s="416">
        <f t="shared" si="2"/>
        <v>2453.8799999999997</v>
      </c>
      <c r="K91" s="416">
        <f t="shared" si="2"/>
        <v>1075.8462500000001</v>
      </c>
      <c r="L91" s="416">
        <f t="shared" si="2"/>
        <v>347.375</v>
      </c>
      <c r="M91" s="416">
        <f t="shared" si="2"/>
        <v>0</v>
      </c>
      <c r="N91" s="416">
        <f t="shared" si="2"/>
        <v>0</v>
      </c>
      <c r="O91" s="416">
        <f t="shared" si="2"/>
        <v>0</v>
      </c>
      <c r="P91" s="363">
        <f t="shared" si="4"/>
        <v>6599.6450000000004</v>
      </c>
      <c r="Q91" s="598">
        <f t="shared" si="3"/>
        <v>6599.6450000000004</v>
      </c>
      <c r="R91" s="410"/>
      <c r="S91" s="416"/>
      <c r="T91" s="410"/>
      <c r="U91" s="410"/>
      <c r="V91" s="598"/>
      <c r="W91" s="410"/>
      <c r="X91" s="410"/>
      <c r="Y91" s="410"/>
    </row>
    <row r="92" spans="1:25">
      <c r="A92" s="658"/>
      <c r="B92" s="408">
        <v>10</v>
      </c>
      <c r="C92" s="410"/>
      <c r="D92" s="416">
        <f t="shared" si="2"/>
        <v>0</v>
      </c>
      <c r="E92" s="416">
        <f t="shared" si="2"/>
        <v>0</v>
      </c>
      <c r="F92" s="416">
        <f t="shared" si="2"/>
        <v>0</v>
      </c>
      <c r="G92" s="416">
        <f t="shared" si="2"/>
        <v>0</v>
      </c>
      <c r="H92" s="416">
        <f t="shared" si="2"/>
        <v>5994.5895454545453</v>
      </c>
      <c r="I92" s="416">
        <f t="shared" si="2"/>
        <v>9516.4755785123962</v>
      </c>
      <c r="J92" s="416">
        <f t="shared" si="2"/>
        <v>6748.9004338842969</v>
      </c>
      <c r="K92" s="416">
        <f t="shared" si="2"/>
        <v>3229.3467665289254</v>
      </c>
      <c r="L92" s="416">
        <f t="shared" si="2"/>
        <v>1742.4365082644626</v>
      </c>
      <c r="M92" s="416">
        <f t="shared" si="2"/>
        <v>0</v>
      </c>
      <c r="N92" s="416">
        <f t="shared" si="2"/>
        <v>0</v>
      </c>
      <c r="O92" s="416">
        <f t="shared" si="2"/>
        <v>0</v>
      </c>
      <c r="P92" s="363">
        <f t="shared" si="4"/>
        <v>27231.748832644626</v>
      </c>
      <c r="Q92" s="598">
        <f t="shared" si="3"/>
        <v>27231.748832644626</v>
      </c>
      <c r="R92" s="410"/>
      <c r="S92" s="416"/>
      <c r="T92" s="410"/>
      <c r="U92" s="410"/>
      <c r="V92" s="598"/>
      <c r="W92" s="410"/>
      <c r="X92" s="410"/>
      <c r="Y92" s="410"/>
    </row>
    <row r="93" spans="1:25">
      <c r="A93" s="658"/>
      <c r="B93" s="408">
        <v>11</v>
      </c>
      <c r="C93" s="410"/>
      <c r="D93" s="416">
        <f t="shared" si="2"/>
        <v>0</v>
      </c>
      <c r="E93" s="416">
        <f t="shared" si="2"/>
        <v>0</v>
      </c>
      <c r="F93" s="416">
        <f t="shared" si="2"/>
        <v>0</v>
      </c>
      <c r="G93" s="416">
        <f t="shared" si="2"/>
        <v>0</v>
      </c>
      <c r="H93" s="416">
        <f t="shared" si="2"/>
        <v>3809.4701652892563</v>
      </c>
      <c r="I93" s="416">
        <f t="shared" si="2"/>
        <v>5232.9466632231415</v>
      </c>
      <c r="J93" s="416">
        <f t="shared" si="2"/>
        <v>4568.5396384297528</v>
      </c>
      <c r="K93" s="416">
        <f t="shared" si="2"/>
        <v>3231.0407541322311</v>
      </c>
      <c r="L93" s="416">
        <f t="shared" si="2"/>
        <v>2065.9189566115701</v>
      </c>
      <c r="M93" s="416">
        <f t="shared" si="2"/>
        <v>0</v>
      </c>
      <c r="N93" s="416">
        <f t="shared" si="2"/>
        <v>0</v>
      </c>
      <c r="O93" s="416">
        <f t="shared" si="2"/>
        <v>0</v>
      </c>
      <c r="P93" s="363">
        <f t="shared" si="4"/>
        <v>18907.916177685951</v>
      </c>
      <c r="Q93" s="598">
        <f t="shared" si="3"/>
        <v>18907.916177685951</v>
      </c>
      <c r="R93" s="410"/>
      <c r="S93" s="416"/>
      <c r="T93" s="410"/>
      <c r="U93" s="410"/>
      <c r="V93" s="598"/>
      <c r="W93" s="410"/>
      <c r="X93" s="410"/>
      <c r="Y93" s="410"/>
    </row>
    <row r="94" spans="1:25">
      <c r="A94" s="658"/>
      <c r="B94" s="408">
        <v>12</v>
      </c>
      <c r="C94" s="410"/>
      <c r="D94" s="416">
        <f t="shared" si="2"/>
        <v>6190.7644628099179</v>
      </c>
      <c r="E94" s="416">
        <f t="shared" si="2"/>
        <v>5850.7851239669417</v>
      </c>
      <c r="F94" s="416">
        <f t="shared" si="2"/>
        <v>12648.243801652892</v>
      </c>
      <c r="G94" s="416">
        <f t="shared" si="2"/>
        <v>8360.8512396694205</v>
      </c>
      <c r="H94" s="416">
        <f t="shared" si="2"/>
        <v>15200.591066541925</v>
      </c>
      <c r="I94" s="416">
        <f t="shared" si="2"/>
        <v>16358.962922846957</v>
      </c>
      <c r="J94" s="416">
        <f t="shared" si="2"/>
        <v>10472.234525109407</v>
      </c>
      <c r="K94" s="416">
        <f t="shared" si="2"/>
        <v>6316.994762228127</v>
      </c>
      <c r="L94" s="416">
        <f t="shared" si="2"/>
        <v>5500.5016670322848</v>
      </c>
      <c r="M94" s="416">
        <f t="shared" si="2"/>
        <v>2633.7561983471073</v>
      </c>
      <c r="N94" s="416">
        <f t="shared" si="2"/>
        <v>4433.0371900826449</v>
      </c>
      <c r="O94" s="416">
        <f t="shared" si="2"/>
        <v>4688.553719008265</v>
      </c>
      <c r="P94" s="363">
        <f>SUM(D94:O94)</f>
        <v>98655.276679295901</v>
      </c>
      <c r="Q94" s="598">
        <f t="shared" si="3"/>
        <v>53849.284943758699</v>
      </c>
      <c r="R94" s="410"/>
      <c r="S94" s="416"/>
      <c r="T94" s="410"/>
      <c r="U94" s="410"/>
      <c r="V94" s="598"/>
      <c r="W94" s="410"/>
      <c r="X94" s="410"/>
      <c r="Y94" s="410"/>
    </row>
    <row r="95" spans="1:25">
      <c r="B95" s="411"/>
      <c r="C95" s="410"/>
      <c r="D95" s="416"/>
      <c r="E95" s="416"/>
      <c r="F95" s="416"/>
      <c r="G95" s="416"/>
      <c r="H95" s="416"/>
      <c r="I95" s="416"/>
      <c r="J95" s="416"/>
      <c r="K95" s="416"/>
      <c r="L95" s="416"/>
      <c r="M95" s="416"/>
      <c r="N95" s="416"/>
      <c r="O95" s="416"/>
      <c r="Q95" s="598"/>
      <c r="R95" s="410"/>
      <c r="S95" s="416"/>
      <c r="T95" s="410"/>
      <c r="U95" s="410"/>
      <c r="V95" s="598"/>
      <c r="W95" s="410"/>
      <c r="X95" s="410"/>
      <c r="Y95" s="410"/>
    </row>
    <row r="96" spans="1:25">
      <c r="B96" s="411"/>
      <c r="C96" s="410"/>
      <c r="D96" s="416"/>
      <c r="E96" s="416"/>
      <c r="F96" s="416"/>
      <c r="G96" s="416"/>
      <c r="H96" s="416"/>
      <c r="I96" s="416"/>
      <c r="J96" s="416"/>
      <c r="K96" s="416"/>
      <c r="L96" s="416"/>
      <c r="M96" s="416"/>
      <c r="N96" s="416"/>
      <c r="O96" s="597" t="s">
        <v>18</v>
      </c>
      <c r="P96" s="598">
        <f>SUM(P83:P95)</f>
        <v>316799.62811745622</v>
      </c>
      <c r="Q96" s="598">
        <f>SUM(Q83:Q95)</f>
        <v>271957.63638191903</v>
      </c>
      <c r="R96" s="410"/>
      <c r="S96" s="416"/>
      <c r="T96" s="410"/>
      <c r="U96" s="410"/>
      <c r="V96" s="598"/>
      <c r="W96" s="410"/>
      <c r="X96" s="410"/>
      <c r="Y96" s="410"/>
    </row>
    <row r="97" spans="2:25">
      <c r="B97" s="411"/>
      <c r="C97" s="410"/>
      <c r="D97" s="416"/>
      <c r="E97" s="416"/>
      <c r="F97" s="416"/>
      <c r="G97" s="416"/>
      <c r="H97" s="416"/>
      <c r="I97" s="416"/>
      <c r="J97" s="416"/>
      <c r="K97" s="416"/>
      <c r="L97" s="416"/>
      <c r="M97" s="416"/>
      <c r="N97" s="416"/>
      <c r="O97" s="416"/>
      <c r="P97" s="416"/>
      <c r="Q97" s="410"/>
      <c r="R97" s="410"/>
      <c r="S97" s="410"/>
      <c r="T97" s="410"/>
      <c r="U97" s="410"/>
      <c r="V97" s="410"/>
      <c r="W97" s="410"/>
      <c r="X97" s="410"/>
      <c r="Y97" s="410"/>
    </row>
    <row r="98" spans="2:25">
      <c r="B98" s="411"/>
      <c r="C98" s="410"/>
      <c r="D98" s="416"/>
      <c r="E98" s="416"/>
      <c r="F98" s="416"/>
      <c r="G98" s="416"/>
      <c r="H98" s="416"/>
      <c r="I98" s="416"/>
      <c r="J98" s="416"/>
      <c r="K98" s="416"/>
      <c r="L98" s="416"/>
      <c r="M98" s="416"/>
      <c r="N98" s="416"/>
      <c r="O98" s="416"/>
      <c r="P98" s="416"/>
      <c r="Q98" s="410"/>
      <c r="R98" s="410"/>
      <c r="S98" s="410"/>
      <c r="T98" s="410"/>
      <c r="U98" s="410"/>
      <c r="V98" s="410"/>
      <c r="W98" s="410"/>
      <c r="X98" s="410"/>
      <c r="Y98" s="410"/>
    </row>
    <row r="99" spans="2:25">
      <c r="B99" s="411"/>
      <c r="C99" s="410"/>
      <c r="D99" s="416"/>
      <c r="E99" s="416"/>
      <c r="F99" s="416"/>
      <c r="G99" s="416"/>
      <c r="H99" s="416"/>
      <c r="I99" s="416"/>
      <c r="J99" s="416"/>
      <c r="K99" s="416"/>
      <c r="L99" s="416"/>
      <c r="M99" s="416"/>
      <c r="N99" s="416"/>
      <c r="O99" s="416"/>
      <c r="P99" s="416"/>
      <c r="Q99" s="410"/>
      <c r="R99" s="410"/>
      <c r="S99" s="410"/>
      <c r="T99" s="410"/>
      <c r="U99" s="410"/>
      <c r="V99" s="410"/>
      <c r="W99" s="410"/>
      <c r="X99" s="410"/>
      <c r="Y99" s="410"/>
    </row>
    <row r="100" spans="2:25" ht="15">
      <c r="B100" s="411"/>
      <c r="C100" s="410"/>
      <c r="D100" s="403"/>
      <c r="E100" s="403"/>
      <c r="F100" s="403"/>
      <c r="G100" s="403"/>
      <c r="H100" s="403"/>
      <c r="I100" s="403"/>
      <c r="J100" s="403"/>
      <c r="K100" s="403"/>
      <c r="L100" s="403"/>
      <c r="M100" s="403"/>
      <c r="N100" s="403"/>
      <c r="O100" s="403"/>
      <c r="P100" s="637"/>
      <c r="Q100" s="637"/>
      <c r="R100" s="526"/>
      <c r="S100" s="410"/>
      <c r="T100" s="410"/>
      <c r="U100" s="410"/>
      <c r="V100" s="410"/>
      <c r="W100" s="410"/>
      <c r="X100" s="410"/>
      <c r="Y100" s="410"/>
    </row>
    <row r="101" spans="2:25">
      <c r="B101" s="411"/>
      <c r="C101" s="410"/>
      <c r="D101" s="292"/>
      <c r="E101" s="292"/>
      <c r="F101" s="292"/>
      <c r="G101" s="292"/>
      <c r="H101" s="292"/>
      <c r="I101" s="292"/>
      <c r="J101" s="292"/>
      <c r="K101" s="292"/>
      <c r="L101" s="292"/>
      <c r="M101" s="292"/>
      <c r="N101" s="292"/>
      <c r="O101" s="292"/>
      <c r="P101" s="638"/>
      <c r="Q101" s="638"/>
      <c r="R101" s="416"/>
      <c r="S101" s="410"/>
      <c r="T101" s="410"/>
      <c r="U101" s="410"/>
      <c r="V101" s="410"/>
      <c r="W101" s="410"/>
      <c r="X101" s="410"/>
      <c r="Y101" s="410"/>
    </row>
    <row r="102" spans="2:25">
      <c r="B102" s="411"/>
      <c r="C102" s="410"/>
      <c r="D102" s="292"/>
      <c r="E102" s="292"/>
      <c r="F102" s="292"/>
      <c r="G102" s="292"/>
      <c r="H102" s="292"/>
      <c r="I102" s="292"/>
      <c r="J102" s="292"/>
      <c r="K102" s="292"/>
      <c r="L102" s="292"/>
      <c r="M102" s="292"/>
      <c r="N102" s="292"/>
      <c r="O102" s="292"/>
      <c r="P102" s="638"/>
      <c r="Q102" s="638"/>
      <c r="R102" s="416"/>
      <c r="S102" s="410"/>
      <c r="T102" s="410"/>
      <c r="U102" s="410"/>
      <c r="V102" s="410"/>
      <c r="W102" s="410"/>
      <c r="X102" s="410"/>
      <c r="Y102" s="410"/>
    </row>
    <row r="103" spans="2:25">
      <c r="B103" s="411"/>
      <c r="C103" s="410"/>
      <c r="D103" s="292"/>
      <c r="E103" s="292"/>
      <c r="F103" s="292"/>
      <c r="G103" s="292"/>
      <c r="H103" s="292"/>
      <c r="I103" s="292"/>
      <c r="J103" s="292"/>
      <c r="K103" s="292"/>
      <c r="L103" s="292"/>
      <c r="M103" s="292"/>
      <c r="N103" s="292"/>
      <c r="O103" s="292"/>
      <c r="P103" s="638"/>
      <c r="Q103" s="638"/>
      <c r="R103" s="416"/>
      <c r="S103" s="410"/>
      <c r="T103" s="410"/>
      <c r="U103" s="410"/>
      <c r="V103" s="410"/>
      <c r="W103" s="410"/>
      <c r="X103" s="410"/>
      <c r="Y103" s="410"/>
    </row>
    <row r="104" spans="2:25">
      <c r="B104" s="411"/>
      <c r="C104" s="410"/>
      <c r="D104" s="292"/>
      <c r="E104" s="292"/>
      <c r="F104" s="292"/>
      <c r="G104" s="292"/>
      <c r="H104" s="292"/>
      <c r="I104" s="292"/>
      <c r="J104" s="292"/>
      <c r="K104" s="292"/>
      <c r="L104" s="292"/>
      <c r="M104" s="292"/>
      <c r="N104" s="292"/>
      <c r="O104" s="292"/>
      <c r="P104" s="638"/>
      <c r="Q104" s="638"/>
      <c r="R104" s="416"/>
      <c r="S104" s="410"/>
      <c r="T104" s="410"/>
      <c r="U104" s="410"/>
      <c r="V104" s="410"/>
      <c r="W104" s="410"/>
      <c r="X104" s="410"/>
      <c r="Y104" s="410"/>
    </row>
    <row r="105" spans="2:25">
      <c r="B105" s="411"/>
      <c r="C105" s="410"/>
      <c r="D105" s="292"/>
      <c r="E105" s="292"/>
      <c r="F105" s="292"/>
      <c r="G105" s="292"/>
      <c r="H105" s="292"/>
      <c r="I105" s="292"/>
      <c r="J105" s="292"/>
      <c r="K105" s="292"/>
      <c r="L105" s="292"/>
      <c r="M105" s="292"/>
      <c r="N105" s="292"/>
      <c r="O105" s="292"/>
      <c r="P105" s="638"/>
      <c r="Q105" s="638"/>
      <c r="R105" s="416"/>
      <c r="S105" s="410"/>
      <c r="T105" s="410"/>
      <c r="U105" s="410"/>
      <c r="V105" s="410"/>
      <c r="W105" s="410"/>
      <c r="X105" s="410"/>
      <c r="Y105" s="410"/>
    </row>
    <row r="106" spans="2:25">
      <c r="B106" s="411"/>
      <c r="C106" s="410"/>
      <c r="D106" s="292"/>
      <c r="E106" s="292"/>
      <c r="F106" s="292"/>
      <c r="G106" s="292"/>
      <c r="H106" s="292"/>
      <c r="I106" s="292"/>
      <c r="J106" s="292"/>
      <c r="K106" s="292"/>
      <c r="L106" s="292"/>
      <c r="M106" s="292"/>
      <c r="N106" s="292"/>
      <c r="O106" s="292"/>
      <c r="P106" s="638"/>
      <c r="Q106" s="638"/>
      <c r="R106" s="416"/>
      <c r="S106" s="410"/>
      <c r="T106" s="410"/>
      <c r="U106" s="410"/>
      <c r="V106" s="410"/>
      <c r="W106" s="410"/>
      <c r="X106" s="410"/>
      <c r="Y106" s="410"/>
    </row>
    <row r="107" spans="2:25">
      <c r="B107" s="411"/>
      <c r="C107" s="410"/>
      <c r="D107" s="292"/>
      <c r="E107" s="292"/>
      <c r="F107" s="292"/>
      <c r="G107" s="292"/>
      <c r="H107" s="292"/>
      <c r="I107" s="292"/>
      <c r="J107" s="292"/>
      <c r="K107" s="292"/>
      <c r="L107" s="292"/>
      <c r="M107" s="292"/>
      <c r="N107" s="292"/>
      <c r="O107" s="292"/>
      <c r="P107" s="638"/>
      <c r="Q107" s="638"/>
      <c r="R107" s="416"/>
      <c r="S107" s="410"/>
      <c r="T107" s="410"/>
      <c r="U107" s="410"/>
      <c r="V107" s="410"/>
      <c r="W107" s="410"/>
      <c r="X107" s="410"/>
      <c r="Y107" s="410"/>
    </row>
    <row r="108" spans="2:25">
      <c r="B108" s="411"/>
      <c r="C108" s="410"/>
      <c r="D108" s="292"/>
      <c r="E108" s="292"/>
      <c r="F108" s="292"/>
      <c r="G108" s="292"/>
      <c r="H108" s="292"/>
      <c r="I108" s="292"/>
      <c r="J108" s="292"/>
      <c r="K108" s="292"/>
      <c r="L108" s="292"/>
      <c r="M108" s="292"/>
      <c r="N108" s="292"/>
      <c r="O108" s="292"/>
      <c r="P108" s="638"/>
      <c r="Q108" s="638"/>
      <c r="R108" s="416"/>
      <c r="S108" s="410"/>
      <c r="T108" s="410"/>
      <c r="U108" s="410"/>
      <c r="V108" s="410"/>
      <c r="W108" s="410"/>
      <c r="X108" s="410"/>
      <c r="Y108" s="410"/>
    </row>
    <row r="109" spans="2:25">
      <c r="B109" s="411"/>
      <c r="C109" s="410"/>
      <c r="D109" s="292"/>
      <c r="E109" s="292"/>
      <c r="F109" s="292"/>
      <c r="G109" s="292"/>
      <c r="H109" s="292"/>
      <c r="I109" s="292"/>
      <c r="J109" s="292"/>
      <c r="K109" s="292"/>
      <c r="L109" s="292"/>
      <c r="M109" s="292"/>
      <c r="N109" s="292"/>
      <c r="O109" s="292"/>
      <c r="P109" s="638"/>
      <c r="Q109" s="638"/>
      <c r="R109" s="416"/>
      <c r="S109" s="410"/>
      <c r="T109" s="410"/>
      <c r="U109" s="410"/>
      <c r="V109" s="410"/>
      <c r="W109" s="410"/>
      <c r="X109" s="410"/>
      <c r="Y109" s="410"/>
    </row>
    <row r="110" spans="2:25">
      <c r="B110" s="411"/>
      <c r="C110" s="410"/>
      <c r="D110" s="292"/>
      <c r="E110" s="292"/>
      <c r="F110" s="292"/>
      <c r="G110" s="292"/>
      <c r="H110" s="292"/>
      <c r="I110" s="292"/>
      <c r="J110" s="292"/>
      <c r="K110" s="292"/>
      <c r="L110" s="292"/>
      <c r="M110" s="292"/>
      <c r="N110" s="292"/>
      <c r="O110" s="292"/>
      <c r="P110" s="638"/>
      <c r="Q110" s="638"/>
      <c r="R110" s="416"/>
      <c r="S110" s="410"/>
      <c r="T110" s="410"/>
      <c r="U110" s="410"/>
      <c r="V110" s="410"/>
      <c r="W110" s="410"/>
      <c r="X110" s="410"/>
      <c r="Y110" s="410"/>
    </row>
    <row r="111" spans="2:25">
      <c r="B111" s="411"/>
      <c r="C111" s="410"/>
      <c r="D111" s="292"/>
      <c r="E111" s="292"/>
      <c r="F111" s="292"/>
      <c r="G111" s="292"/>
      <c r="H111" s="292"/>
      <c r="I111" s="292"/>
      <c r="J111" s="292"/>
      <c r="K111" s="292"/>
      <c r="L111" s="292"/>
      <c r="M111" s="292"/>
      <c r="N111" s="292"/>
      <c r="O111" s="292"/>
      <c r="P111" s="638"/>
      <c r="Q111" s="638"/>
      <c r="R111" s="416"/>
      <c r="S111" s="410"/>
      <c r="T111" s="410"/>
      <c r="U111" s="410"/>
      <c r="V111" s="410"/>
      <c r="W111" s="410"/>
      <c r="X111" s="410"/>
      <c r="Y111" s="410"/>
    </row>
    <row r="112" spans="2:25">
      <c r="B112" s="411"/>
      <c r="C112" s="410"/>
      <c r="D112" s="292"/>
      <c r="E112" s="292"/>
      <c r="F112" s="292"/>
      <c r="G112" s="292"/>
      <c r="H112" s="292"/>
      <c r="I112" s="292"/>
      <c r="J112" s="292"/>
      <c r="K112" s="292"/>
      <c r="L112" s="292"/>
      <c r="M112" s="292"/>
      <c r="N112" s="292"/>
      <c r="O112" s="292"/>
      <c r="P112" s="638"/>
      <c r="Q112" s="638"/>
      <c r="R112" s="416"/>
      <c r="S112" s="410"/>
      <c r="T112" s="410"/>
      <c r="U112" s="410"/>
      <c r="V112" s="410"/>
      <c r="W112" s="410"/>
      <c r="X112" s="410"/>
      <c r="Y112" s="410"/>
    </row>
    <row r="113" spans="2:25">
      <c r="B113" s="411"/>
      <c r="C113" s="410"/>
      <c r="D113" s="135"/>
      <c r="E113" s="135"/>
      <c r="F113" s="135"/>
      <c r="G113" s="135"/>
      <c r="H113" s="135"/>
      <c r="I113" s="135"/>
      <c r="J113" s="135"/>
      <c r="K113" s="135"/>
      <c r="L113" s="135"/>
      <c r="M113" s="135"/>
      <c r="N113" s="135"/>
      <c r="O113" s="135"/>
      <c r="P113" s="639"/>
      <c r="Q113" s="639"/>
      <c r="R113" s="416"/>
      <c r="S113" s="410"/>
      <c r="T113" s="410"/>
      <c r="U113" s="410"/>
      <c r="V113" s="410"/>
      <c r="W113" s="410"/>
      <c r="X113" s="410"/>
      <c r="Y113" s="410"/>
    </row>
    <row r="114" spans="2:25">
      <c r="B114" s="411"/>
      <c r="C114" s="410"/>
      <c r="D114" s="135"/>
      <c r="E114" s="135"/>
      <c r="F114" s="135"/>
      <c r="G114" s="135"/>
      <c r="H114" s="135"/>
      <c r="I114" s="135"/>
      <c r="J114" s="135"/>
      <c r="K114" s="135"/>
      <c r="L114" s="135"/>
      <c r="M114" s="135"/>
      <c r="N114" s="135"/>
      <c r="O114" s="135"/>
      <c r="P114" s="366"/>
      <c r="Q114" s="366"/>
      <c r="R114" s="416"/>
      <c r="S114" s="410"/>
      <c r="T114" s="410"/>
      <c r="U114" s="410"/>
      <c r="V114" s="410"/>
      <c r="W114" s="410"/>
      <c r="X114" s="410"/>
      <c r="Y114" s="410"/>
    </row>
    <row r="115" spans="2:25">
      <c r="B115" s="411"/>
      <c r="C115" s="410"/>
      <c r="D115" s="416"/>
      <c r="E115" s="416"/>
      <c r="F115" s="416"/>
      <c r="G115" s="416"/>
      <c r="H115" s="416"/>
      <c r="I115" s="416"/>
      <c r="J115" s="416"/>
      <c r="K115" s="416"/>
      <c r="L115" s="416"/>
      <c r="M115" s="416"/>
      <c r="N115" s="416"/>
      <c r="O115" s="416"/>
      <c r="P115" s="416"/>
      <c r="Q115" s="410"/>
      <c r="R115" s="410"/>
      <c r="S115" s="410"/>
      <c r="T115" s="410"/>
      <c r="U115" s="410"/>
      <c r="V115" s="410"/>
      <c r="W115" s="410"/>
      <c r="X115" s="410"/>
      <c r="Y115" s="410"/>
    </row>
    <row r="116" spans="2:25">
      <c r="B116" s="411"/>
      <c r="C116" s="410"/>
      <c r="D116" s="416"/>
      <c r="E116" s="416"/>
      <c r="F116" s="416"/>
      <c r="G116" s="416"/>
      <c r="H116" s="416"/>
      <c r="I116" s="416"/>
      <c r="J116" s="416"/>
      <c r="K116" s="416"/>
      <c r="L116" s="416"/>
      <c r="M116" s="416"/>
      <c r="N116" s="416"/>
      <c r="O116" s="416"/>
      <c r="P116" s="416"/>
      <c r="Q116" s="410"/>
      <c r="R116" s="410"/>
      <c r="S116" s="410"/>
      <c r="T116" s="410"/>
      <c r="U116" s="410"/>
      <c r="V116" s="410"/>
      <c r="W116" s="410"/>
      <c r="X116" s="410"/>
      <c r="Y116" s="410"/>
    </row>
    <row r="117" spans="2:25">
      <c r="B117" s="411"/>
      <c r="C117" s="410"/>
      <c r="D117" s="416"/>
      <c r="E117" s="416"/>
      <c r="F117" s="416"/>
      <c r="G117" s="416"/>
      <c r="H117" s="416"/>
      <c r="I117" s="416"/>
      <c r="J117" s="416"/>
      <c r="K117" s="416"/>
      <c r="L117" s="416"/>
      <c r="M117" s="416"/>
      <c r="N117" s="416"/>
      <c r="O117" s="416"/>
      <c r="P117" s="416"/>
      <c r="Q117" s="410"/>
      <c r="R117" s="410"/>
      <c r="S117" s="410"/>
      <c r="T117" s="410"/>
      <c r="U117" s="410"/>
      <c r="V117" s="410"/>
      <c r="W117" s="410"/>
      <c r="X117" s="410"/>
      <c r="Y117" s="410"/>
    </row>
    <row r="118" spans="2:25">
      <c r="B118" s="411"/>
      <c r="C118" s="410"/>
      <c r="D118" s="416"/>
      <c r="E118" s="416"/>
      <c r="F118" s="416"/>
      <c r="G118" s="416"/>
      <c r="H118" s="416"/>
      <c r="I118" s="416"/>
      <c r="J118" s="416"/>
      <c r="K118" s="416"/>
      <c r="L118" s="416"/>
      <c r="M118" s="416"/>
      <c r="N118" s="416"/>
      <c r="O118" s="416"/>
      <c r="P118" s="416"/>
      <c r="Q118" s="410"/>
      <c r="R118" s="410"/>
      <c r="S118" s="410"/>
      <c r="T118" s="410"/>
      <c r="U118" s="410"/>
      <c r="V118" s="410"/>
      <c r="W118" s="410"/>
      <c r="X118" s="410"/>
      <c r="Y118" s="410"/>
    </row>
    <row r="119" spans="2:25">
      <c r="B119" s="411"/>
      <c r="C119" s="410"/>
      <c r="D119" s="416"/>
      <c r="E119" s="416"/>
      <c r="F119" s="416"/>
      <c r="G119" s="416"/>
      <c r="H119" s="416"/>
      <c r="I119" s="416"/>
      <c r="J119" s="416"/>
      <c r="K119" s="416"/>
      <c r="L119" s="416"/>
      <c r="M119" s="416"/>
      <c r="N119" s="416"/>
      <c r="O119" s="416"/>
      <c r="P119" s="416"/>
      <c r="Q119" s="410"/>
      <c r="R119" s="410"/>
      <c r="S119" s="410"/>
      <c r="T119" s="410"/>
      <c r="U119" s="410"/>
      <c r="V119" s="410"/>
      <c r="W119" s="410"/>
      <c r="X119" s="410"/>
      <c r="Y119" s="410"/>
    </row>
    <row r="120" spans="2:25">
      <c r="B120" s="411"/>
      <c r="C120" s="410"/>
      <c r="D120" s="416"/>
      <c r="E120" s="416"/>
      <c r="F120" s="416"/>
      <c r="G120" s="416"/>
      <c r="H120" s="416"/>
      <c r="I120" s="416"/>
      <c r="J120" s="416"/>
      <c r="K120" s="416"/>
      <c r="L120" s="416"/>
      <c r="M120" s="416"/>
      <c r="N120" s="416"/>
      <c r="O120" s="416"/>
      <c r="P120" s="416"/>
      <c r="Q120" s="410"/>
      <c r="R120" s="410"/>
      <c r="S120" s="410"/>
      <c r="T120" s="410"/>
      <c r="U120" s="410"/>
      <c r="V120" s="410"/>
      <c r="W120" s="410"/>
      <c r="X120" s="410"/>
      <c r="Y120" s="410"/>
    </row>
    <row r="121" spans="2:25">
      <c r="B121" s="411"/>
      <c r="C121" s="410"/>
      <c r="D121" s="416"/>
      <c r="E121" s="416"/>
      <c r="F121" s="416"/>
      <c r="G121" s="416"/>
      <c r="H121" s="416"/>
      <c r="I121" s="416"/>
      <c r="J121" s="416"/>
      <c r="K121" s="416"/>
      <c r="L121" s="416"/>
      <c r="M121" s="416"/>
      <c r="N121" s="416"/>
      <c r="O121" s="416"/>
      <c r="P121" s="416"/>
      <c r="Q121" s="410"/>
      <c r="R121" s="410"/>
      <c r="S121" s="410"/>
      <c r="T121" s="410"/>
      <c r="U121" s="410"/>
      <c r="V121" s="410"/>
      <c r="W121" s="410"/>
      <c r="X121" s="410"/>
      <c r="Y121" s="410"/>
    </row>
    <row r="122" spans="2:25">
      <c r="B122" s="411"/>
      <c r="C122" s="410"/>
      <c r="D122" s="416"/>
      <c r="E122" s="416"/>
      <c r="F122" s="416"/>
      <c r="G122" s="416"/>
      <c r="H122" s="416"/>
      <c r="I122" s="416"/>
      <c r="J122" s="416"/>
      <c r="K122" s="416"/>
      <c r="L122" s="416"/>
      <c r="M122" s="416"/>
      <c r="N122" s="416"/>
      <c r="O122" s="416"/>
      <c r="P122" s="416"/>
      <c r="Q122" s="410"/>
      <c r="R122" s="410"/>
      <c r="S122" s="410"/>
      <c r="T122" s="410"/>
      <c r="U122" s="410"/>
      <c r="V122" s="410"/>
      <c r="W122" s="410"/>
      <c r="X122" s="410"/>
      <c r="Y122" s="410"/>
    </row>
    <row r="123" spans="2:25">
      <c r="B123" s="411"/>
      <c r="C123" s="410"/>
      <c r="D123" s="416"/>
      <c r="E123" s="416"/>
      <c r="F123" s="416"/>
      <c r="G123" s="416"/>
      <c r="H123" s="416"/>
      <c r="I123" s="416"/>
      <c r="J123" s="416"/>
      <c r="K123" s="416"/>
      <c r="L123" s="416"/>
      <c r="M123" s="416"/>
      <c r="N123" s="416"/>
      <c r="O123" s="416"/>
      <c r="P123" s="416"/>
      <c r="Q123" s="410"/>
      <c r="R123" s="410"/>
      <c r="S123" s="410"/>
      <c r="T123" s="410"/>
      <c r="U123" s="410"/>
      <c r="V123" s="410"/>
      <c r="W123" s="410"/>
      <c r="X123" s="410"/>
      <c r="Y123" s="410"/>
    </row>
    <row r="124" spans="2:25">
      <c r="B124" s="411"/>
      <c r="C124" s="410"/>
      <c r="D124" s="416"/>
      <c r="E124" s="416"/>
      <c r="F124" s="416"/>
      <c r="G124" s="416"/>
      <c r="H124" s="416"/>
      <c r="I124" s="416"/>
      <c r="J124" s="416"/>
      <c r="K124" s="416"/>
      <c r="L124" s="416"/>
      <c r="M124" s="416"/>
      <c r="N124" s="416"/>
      <c r="O124" s="416"/>
      <c r="P124" s="416"/>
      <c r="Q124" s="410"/>
      <c r="R124" s="410"/>
      <c r="S124" s="410"/>
      <c r="T124" s="410"/>
      <c r="U124" s="410"/>
      <c r="V124" s="410"/>
      <c r="W124" s="410"/>
      <c r="X124" s="410"/>
      <c r="Y124" s="410"/>
    </row>
    <row r="125" spans="2:25">
      <c r="B125" s="411"/>
      <c r="C125" s="410"/>
      <c r="D125" s="416"/>
      <c r="E125" s="416"/>
      <c r="F125" s="416"/>
      <c r="G125" s="416"/>
      <c r="H125" s="416"/>
      <c r="I125" s="416"/>
      <c r="J125" s="416"/>
      <c r="K125" s="416"/>
      <c r="L125" s="416"/>
      <c r="M125" s="416"/>
      <c r="N125" s="416"/>
      <c r="O125" s="416"/>
      <c r="P125" s="416"/>
      <c r="Q125" s="410"/>
      <c r="R125" s="410"/>
      <c r="S125" s="410"/>
      <c r="T125" s="410"/>
      <c r="U125" s="410"/>
      <c r="V125" s="410"/>
      <c r="W125" s="410"/>
      <c r="X125" s="410"/>
      <c r="Y125" s="410"/>
    </row>
    <row r="126" spans="2:25">
      <c r="B126" s="411"/>
      <c r="C126" s="410"/>
      <c r="D126" s="416"/>
      <c r="E126" s="416"/>
      <c r="F126" s="416"/>
      <c r="G126" s="416"/>
      <c r="H126" s="416"/>
      <c r="I126" s="416"/>
      <c r="J126" s="416"/>
      <c r="K126" s="416"/>
      <c r="L126" s="416"/>
      <c r="M126" s="416"/>
      <c r="N126" s="416"/>
      <c r="O126" s="416"/>
      <c r="P126" s="416"/>
      <c r="Q126" s="410"/>
      <c r="R126" s="410"/>
      <c r="S126" s="410"/>
      <c r="T126" s="410"/>
      <c r="U126" s="410"/>
      <c r="V126" s="410"/>
      <c r="W126" s="410"/>
      <c r="X126" s="410"/>
      <c r="Y126" s="410"/>
    </row>
    <row r="127" spans="2:25">
      <c r="B127" s="411"/>
      <c r="C127" s="410"/>
      <c r="D127" s="416"/>
      <c r="E127" s="416"/>
      <c r="F127" s="416"/>
      <c r="G127" s="416"/>
      <c r="H127" s="416"/>
      <c r="I127" s="416"/>
      <c r="J127" s="416"/>
      <c r="K127" s="416"/>
      <c r="L127" s="416"/>
      <c r="M127" s="416"/>
      <c r="N127" s="416"/>
      <c r="O127" s="416"/>
      <c r="P127" s="416"/>
      <c r="Q127" s="410"/>
      <c r="R127" s="410"/>
      <c r="S127" s="410"/>
      <c r="T127" s="410"/>
      <c r="U127" s="410"/>
      <c r="V127" s="410"/>
      <c r="W127" s="410"/>
      <c r="X127" s="410"/>
      <c r="Y127" s="410"/>
    </row>
    <row r="128" spans="2:25">
      <c r="B128" s="411"/>
      <c r="C128" s="410"/>
      <c r="D128" s="416"/>
      <c r="E128" s="416"/>
      <c r="F128" s="416"/>
      <c r="G128" s="416"/>
      <c r="H128" s="416"/>
      <c r="I128" s="416"/>
      <c r="J128" s="416"/>
      <c r="K128" s="416"/>
      <c r="L128" s="416"/>
      <c r="M128" s="416"/>
      <c r="N128" s="416"/>
      <c r="O128" s="416"/>
      <c r="P128" s="416"/>
      <c r="Q128" s="410"/>
      <c r="R128" s="410"/>
      <c r="S128" s="410"/>
      <c r="T128" s="410"/>
      <c r="U128" s="410"/>
      <c r="V128" s="410"/>
      <c r="W128" s="410"/>
      <c r="X128" s="410"/>
      <c r="Y128" s="410"/>
    </row>
    <row r="129" spans="2:25">
      <c r="B129" s="411"/>
      <c r="C129" s="410"/>
      <c r="D129" s="416"/>
      <c r="E129" s="416"/>
      <c r="F129" s="416"/>
      <c r="G129" s="416"/>
      <c r="H129" s="416"/>
      <c r="I129" s="416"/>
      <c r="J129" s="416"/>
      <c r="K129" s="416"/>
      <c r="L129" s="416"/>
      <c r="M129" s="416"/>
      <c r="N129" s="416"/>
      <c r="O129" s="416"/>
      <c r="P129" s="416"/>
      <c r="Q129" s="410"/>
      <c r="R129" s="410"/>
      <c r="S129" s="410"/>
      <c r="T129" s="410"/>
      <c r="U129" s="410"/>
      <c r="V129" s="410"/>
      <c r="W129" s="410"/>
      <c r="X129" s="410"/>
      <c r="Y129" s="410"/>
    </row>
    <row r="130" spans="2:25">
      <c r="B130" s="411"/>
      <c r="C130" s="410"/>
      <c r="D130" s="416"/>
      <c r="E130" s="416"/>
      <c r="F130" s="416"/>
      <c r="G130" s="416"/>
      <c r="H130" s="416"/>
      <c r="I130" s="416"/>
      <c r="J130" s="416"/>
      <c r="K130" s="416"/>
      <c r="L130" s="416"/>
      <c r="M130" s="416"/>
      <c r="N130" s="416"/>
      <c r="O130" s="416"/>
      <c r="P130" s="416"/>
      <c r="Q130" s="410"/>
      <c r="R130" s="410"/>
      <c r="S130" s="410"/>
      <c r="T130" s="410"/>
      <c r="U130" s="410"/>
      <c r="V130" s="410"/>
      <c r="W130" s="410"/>
      <c r="X130" s="410"/>
      <c r="Y130" s="410"/>
    </row>
    <row r="131" spans="2:25">
      <c r="B131" s="411"/>
      <c r="C131" s="410"/>
      <c r="D131" s="416"/>
      <c r="E131" s="416"/>
      <c r="F131" s="416"/>
      <c r="G131" s="416"/>
      <c r="H131" s="416"/>
      <c r="I131" s="416"/>
      <c r="J131" s="416"/>
      <c r="K131" s="416"/>
      <c r="L131" s="416"/>
      <c r="M131" s="416"/>
      <c r="N131" s="416"/>
      <c r="O131" s="416"/>
      <c r="P131" s="416"/>
      <c r="Q131" s="410"/>
      <c r="R131" s="410"/>
      <c r="S131" s="410"/>
      <c r="T131" s="410"/>
      <c r="U131" s="410"/>
      <c r="V131" s="410"/>
      <c r="W131" s="410"/>
      <c r="X131" s="410"/>
      <c r="Y131" s="410"/>
    </row>
    <row r="132" spans="2:25">
      <c r="B132" s="411"/>
      <c r="C132" s="410"/>
      <c r="D132" s="416"/>
      <c r="E132" s="416"/>
      <c r="F132" s="416"/>
      <c r="G132" s="416"/>
      <c r="H132" s="416"/>
      <c r="I132" s="416"/>
      <c r="J132" s="416"/>
      <c r="K132" s="416"/>
      <c r="L132" s="416"/>
      <c r="M132" s="416"/>
      <c r="N132" s="416"/>
      <c r="O132" s="416"/>
      <c r="P132" s="416"/>
      <c r="Q132" s="410"/>
      <c r="R132" s="410"/>
      <c r="S132" s="410"/>
      <c r="T132" s="410"/>
      <c r="U132" s="410"/>
      <c r="V132" s="410"/>
      <c r="W132" s="410"/>
      <c r="X132" s="410"/>
      <c r="Y132" s="410"/>
    </row>
    <row r="133" spans="2:25">
      <c r="B133" s="411"/>
      <c r="C133" s="410"/>
      <c r="D133" s="416"/>
      <c r="E133" s="416"/>
      <c r="F133" s="416"/>
      <c r="G133" s="416"/>
      <c r="H133" s="416"/>
      <c r="I133" s="416"/>
      <c r="J133" s="416"/>
      <c r="K133" s="416"/>
      <c r="L133" s="416"/>
      <c r="M133" s="416"/>
      <c r="N133" s="416"/>
      <c r="O133" s="416"/>
      <c r="P133" s="416"/>
      <c r="Q133" s="410"/>
      <c r="R133" s="410"/>
      <c r="S133" s="410"/>
      <c r="T133" s="410"/>
      <c r="U133" s="410"/>
      <c r="V133" s="410"/>
      <c r="W133" s="410"/>
      <c r="X133" s="410"/>
      <c r="Y133" s="410"/>
    </row>
    <row r="134" spans="2:25">
      <c r="B134" s="411"/>
      <c r="C134" s="410"/>
      <c r="D134" s="416"/>
      <c r="E134" s="416"/>
      <c r="F134" s="416"/>
      <c r="G134" s="416"/>
      <c r="H134" s="416"/>
      <c r="I134" s="416"/>
      <c r="J134" s="416"/>
      <c r="K134" s="416"/>
      <c r="L134" s="416"/>
      <c r="M134" s="416"/>
      <c r="N134" s="416"/>
      <c r="O134" s="416"/>
      <c r="P134" s="416"/>
      <c r="Q134" s="410"/>
      <c r="R134" s="410"/>
      <c r="S134" s="410"/>
      <c r="T134" s="410"/>
      <c r="U134" s="410"/>
      <c r="V134" s="410"/>
      <c r="W134" s="410"/>
      <c r="X134" s="410"/>
      <c r="Y134" s="410"/>
    </row>
    <row r="135" spans="2:25">
      <c r="B135" s="411"/>
      <c r="C135" s="410"/>
      <c r="D135" s="416"/>
      <c r="E135" s="416"/>
      <c r="F135" s="416"/>
      <c r="G135" s="416"/>
      <c r="H135" s="416"/>
      <c r="I135" s="416"/>
      <c r="J135" s="416"/>
      <c r="K135" s="416"/>
      <c r="L135" s="416"/>
      <c r="M135" s="416"/>
      <c r="N135" s="416"/>
      <c r="O135" s="416"/>
      <c r="P135" s="416"/>
      <c r="Q135" s="410"/>
      <c r="R135" s="410"/>
      <c r="S135" s="410"/>
      <c r="T135" s="410"/>
      <c r="U135" s="410"/>
      <c r="V135" s="410"/>
      <c r="W135" s="410"/>
      <c r="X135" s="410"/>
      <c r="Y135" s="410"/>
    </row>
    <row r="136" spans="2:25">
      <c r="B136" s="411"/>
      <c r="C136" s="410"/>
      <c r="D136" s="416"/>
      <c r="E136" s="416"/>
      <c r="F136" s="416"/>
      <c r="G136" s="416"/>
      <c r="H136" s="416"/>
      <c r="I136" s="416"/>
      <c r="J136" s="416"/>
      <c r="K136" s="416"/>
      <c r="L136" s="416"/>
      <c r="M136" s="416"/>
      <c r="N136" s="416"/>
      <c r="O136" s="416"/>
      <c r="P136" s="416"/>
      <c r="Q136" s="410"/>
      <c r="R136" s="410"/>
      <c r="S136" s="410"/>
      <c r="T136" s="410"/>
      <c r="U136" s="410"/>
      <c r="V136" s="410"/>
      <c r="W136" s="410"/>
      <c r="X136" s="410"/>
      <c r="Y136" s="410"/>
    </row>
    <row r="137" spans="2:25">
      <c r="B137" s="411"/>
      <c r="C137" s="410"/>
      <c r="D137" s="416"/>
      <c r="E137" s="416"/>
      <c r="F137" s="416"/>
      <c r="G137" s="416"/>
      <c r="H137" s="416"/>
      <c r="I137" s="416"/>
      <c r="J137" s="416"/>
      <c r="K137" s="416"/>
      <c r="L137" s="416"/>
      <c r="M137" s="416"/>
      <c r="N137" s="416"/>
      <c r="O137" s="416"/>
      <c r="P137" s="416"/>
      <c r="Q137" s="410"/>
      <c r="R137" s="410"/>
      <c r="S137" s="410"/>
      <c r="T137" s="410"/>
      <c r="U137" s="410"/>
      <c r="V137" s="410"/>
      <c r="W137" s="410"/>
      <c r="X137" s="410"/>
      <c r="Y137" s="410"/>
    </row>
    <row r="138" spans="2:25">
      <c r="B138" s="411"/>
      <c r="C138" s="410"/>
      <c r="D138" s="416"/>
      <c r="E138" s="416"/>
      <c r="F138" s="416"/>
      <c r="G138" s="416"/>
      <c r="H138" s="416"/>
      <c r="I138" s="416"/>
      <c r="J138" s="416"/>
      <c r="K138" s="416"/>
      <c r="L138" s="416"/>
      <c r="M138" s="416"/>
      <c r="N138" s="416"/>
      <c r="O138" s="416"/>
      <c r="P138" s="416"/>
      <c r="Q138" s="410"/>
      <c r="R138" s="410"/>
      <c r="S138" s="410"/>
      <c r="T138" s="410"/>
      <c r="U138" s="410"/>
      <c r="V138" s="410"/>
      <c r="W138" s="410"/>
      <c r="X138" s="410"/>
      <c r="Y138" s="410"/>
    </row>
    <row r="139" spans="2:25">
      <c r="B139" s="411"/>
      <c r="C139" s="410"/>
      <c r="D139" s="416"/>
      <c r="E139" s="416"/>
      <c r="F139" s="416"/>
      <c r="G139" s="416"/>
      <c r="H139" s="416"/>
      <c r="I139" s="416"/>
      <c r="J139" s="416"/>
      <c r="K139" s="416"/>
      <c r="L139" s="416"/>
      <c r="M139" s="416"/>
      <c r="N139" s="416"/>
      <c r="O139" s="416"/>
      <c r="P139" s="416"/>
      <c r="Q139" s="410"/>
      <c r="R139" s="410"/>
      <c r="S139" s="410"/>
      <c r="T139" s="410"/>
      <c r="U139" s="410"/>
      <c r="V139" s="410"/>
      <c r="W139" s="410"/>
      <c r="X139" s="410"/>
      <c r="Y139" s="410"/>
    </row>
    <row r="140" spans="2:25">
      <c r="B140" s="411"/>
      <c r="C140" s="410"/>
      <c r="D140" s="416"/>
      <c r="E140" s="416"/>
      <c r="F140" s="416"/>
      <c r="G140" s="416"/>
      <c r="H140" s="416"/>
      <c r="I140" s="416"/>
      <c r="J140" s="416"/>
      <c r="K140" s="416"/>
      <c r="L140" s="416"/>
      <c r="M140" s="416"/>
      <c r="N140" s="416"/>
      <c r="O140" s="416"/>
      <c r="P140" s="416"/>
      <c r="Q140" s="410"/>
      <c r="R140" s="410"/>
      <c r="S140" s="410"/>
      <c r="T140" s="410"/>
      <c r="U140" s="410"/>
      <c r="V140" s="410"/>
      <c r="W140" s="410"/>
      <c r="X140" s="410"/>
      <c r="Y140" s="410"/>
    </row>
    <row r="141" spans="2:25">
      <c r="B141" s="411"/>
      <c r="C141" s="410"/>
      <c r="D141" s="416"/>
      <c r="E141" s="416"/>
      <c r="F141" s="416"/>
      <c r="G141" s="416"/>
      <c r="H141" s="416"/>
      <c r="I141" s="416"/>
      <c r="J141" s="416"/>
      <c r="K141" s="416"/>
      <c r="L141" s="416"/>
      <c r="M141" s="416"/>
      <c r="N141" s="416"/>
      <c r="O141" s="416"/>
      <c r="P141" s="416"/>
      <c r="Q141" s="410"/>
      <c r="R141" s="410"/>
      <c r="S141" s="410"/>
      <c r="T141" s="410"/>
      <c r="U141" s="410"/>
      <c r="V141" s="410"/>
      <c r="W141" s="410"/>
      <c r="X141" s="410"/>
      <c r="Y141" s="410"/>
    </row>
    <row r="142" spans="2:25">
      <c r="B142" s="411"/>
      <c r="C142" s="410"/>
      <c r="D142" s="416"/>
      <c r="E142" s="416"/>
      <c r="F142" s="416"/>
      <c r="G142" s="416"/>
      <c r="H142" s="416"/>
      <c r="I142" s="416"/>
      <c r="J142" s="416"/>
      <c r="K142" s="416"/>
      <c r="L142" s="416"/>
      <c r="M142" s="416"/>
      <c r="N142" s="416"/>
      <c r="O142" s="416"/>
      <c r="P142" s="416"/>
      <c r="Q142" s="410"/>
      <c r="R142" s="410"/>
      <c r="S142" s="410"/>
      <c r="T142" s="410"/>
      <c r="U142" s="410"/>
      <c r="V142" s="410"/>
      <c r="W142" s="410"/>
      <c r="X142" s="410"/>
      <c r="Y142" s="410"/>
    </row>
    <row r="143" spans="2:25">
      <c r="B143" s="411"/>
      <c r="C143" s="410"/>
      <c r="D143" s="416"/>
      <c r="E143" s="416"/>
      <c r="F143" s="416"/>
      <c r="G143" s="416"/>
      <c r="H143" s="416"/>
      <c r="I143" s="416"/>
      <c r="J143" s="416"/>
      <c r="K143" s="416"/>
      <c r="L143" s="416"/>
      <c r="M143" s="416"/>
      <c r="N143" s="416"/>
      <c r="O143" s="416"/>
      <c r="P143" s="416"/>
      <c r="Q143" s="410"/>
      <c r="R143" s="410"/>
      <c r="S143" s="410"/>
      <c r="T143" s="410"/>
      <c r="U143" s="410"/>
      <c r="V143" s="410"/>
      <c r="W143" s="410"/>
      <c r="X143" s="410"/>
      <c r="Y143" s="410"/>
    </row>
    <row r="144" spans="2:25">
      <c r="B144" s="411"/>
      <c r="C144" s="410"/>
      <c r="D144" s="416"/>
      <c r="E144" s="416"/>
      <c r="F144" s="416"/>
      <c r="G144" s="416"/>
      <c r="H144" s="416"/>
      <c r="I144" s="416"/>
      <c r="J144" s="416"/>
      <c r="K144" s="416"/>
      <c r="L144" s="416"/>
      <c r="M144" s="416"/>
      <c r="N144" s="416"/>
      <c r="O144" s="416"/>
      <c r="P144" s="416"/>
      <c r="Q144" s="410"/>
      <c r="R144" s="410"/>
      <c r="S144" s="410"/>
      <c r="T144" s="410"/>
      <c r="U144" s="410"/>
      <c r="V144" s="410"/>
      <c r="W144" s="410"/>
      <c r="X144" s="410"/>
      <c r="Y144" s="410"/>
    </row>
    <row r="145" spans="2:25">
      <c r="B145" s="411"/>
      <c r="C145" s="410"/>
      <c r="D145" s="416"/>
      <c r="E145" s="416"/>
      <c r="F145" s="416"/>
      <c r="G145" s="416"/>
      <c r="H145" s="416"/>
      <c r="I145" s="416"/>
      <c r="J145" s="416"/>
      <c r="K145" s="416"/>
      <c r="L145" s="416"/>
      <c r="M145" s="416"/>
      <c r="N145" s="416"/>
      <c r="O145" s="416"/>
      <c r="P145" s="416"/>
      <c r="Q145" s="410"/>
      <c r="R145" s="410"/>
      <c r="S145" s="410"/>
      <c r="T145" s="410"/>
      <c r="U145" s="410"/>
      <c r="V145" s="410"/>
      <c r="W145" s="410"/>
      <c r="X145" s="410"/>
      <c r="Y145" s="410"/>
    </row>
    <row r="146" spans="2:25">
      <c r="B146" s="411"/>
      <c r="C146" s="410"/>
      <c r="D146" s="416"/>
      <c r="E146" s="416"/>
      <c r="F146" s="416"/>
      <c r="G146" s="416"/>
      <c r="H146" s="416"/>
      <c r="I146" s="416"/>
      <c r="J146" s="416"/>
      <c r="K146" s="416"/>
      <c r="L146" s="416"/>
      <c r="M146" s="416"/>
      <c r="N146" s="416"/>
      <c r="O146" s="416"/>
      <c r="P146" s="416"/>
      <c r="Q146" s="410"/>
      <c r="R146" s="410"/>
      <c r="S146" s="410"/>
      <c r="T146" s="410"/>
      <c r="U146" s="410"/>
      <c r="V146" s="410"/>
      <c r="W146" s="410"/>
      <c r="X146" s="410"/>
      <c r="Y146" s="410"/>
    </row>
    <row r="147" spans="2:25">
      <c r="B147" s="411"/>
      <c r="C147" s="410"/>
      <c r="D147" s="416"/>
      <c r="E147" s="416"/>
      <c r="F147" s="416"/>
      <c r="G147" s="416"/>
      <c r="H147" s="416"/>
      <c r="I147" s="416"/>
      <c r="J147" s="416"/>
      <c r="K147" s="416"/>
      <c r="L147" s="416"/>
      <c r="M147" s="416"/>
      <c r="N147" s="416"/>
      <c r="O147" s="416"/>
      <c r="P147" s="416"/>
      <c r="Q147" s="410"/>
      <c r="R147" s="410"/>
      <c r="S147" s="410"/>
      <c r="T147" s="410"/>
      <c r="U147" s="410"/>
      <c r="V147" s="410"/>
      <c r="W147" s="410"/>
      <c r="X147" s="410"/>
      <c r="Y147" s="410"/>
    </row>
    <row r="148" spans="2:25">
      <c r="B148" s="411"/>
      <c r="C148" s="410"/>
      <c r="D148" s="416"/>
      <c r="E148" s="416"/>
      <c r="F148" s="416"/>
      <c r="G148" s="416"/>
      <c r="H148" s="416"/>
      <c r="I148" s="416"/>
      <c r="J148" s="416"/>
      <c r="K148" s="416"/>
      <c r="L148" s="416"/>
      <c r="M148" s="416"/>
      <c r="N148" s="416"/>
      <c r="O148" s="416"/>
      <c r="P148" s="416"/>
      <c r="Q148" s="410"/>
      <c r="R148" s="410"/>
      <c r="S148" s="410"/>
      <c r="T148" s="410"/>
      <c r="U148" s="410"/>
      <c r="V148" s="410"/>
      <c r="W148" s="410"/>
      <c r="X148" s="410"/>
      <c r="Y148" s="410"/>
    </row>
    <row r="149" spans="2:25">
      <c r="B149" s="411"/>
      <c r="C149" s="410"/>
      <c r="D149" s="416"/>
      <c r="E149" s="416"/>
      <c r="F149" s="416"/>
      <c r="G149" s="416"/>
      <c r="H149" s="416"/>
      <c r="I149" s="416"/>
      <c r="J149" s="416"/>
      <c r="K149" s="416"/>
      <c r="L149" s="416"/>
      <c r="M149" s="416"/>
      <c r="N149" s="416"/>
      <c r="O149" s="416"/>
      <c r="P149" s="416"/>
      <c r="Q149" s="410"/>
      <c r="R149" s="410"/>
      <c r="S149" s="410"/>
      <c r="T149" s="410"/>
      <c r="U149" s="410"/>
      <c r="V149" s="410"/>
      <c r="W149" s="410"/>
      <c r="X149" s="410"/>
      <c r="Y149" s="410"/>
    </row>
    <row r="150" spans="2:25">
      <c r="B150" s="411"/>
      <c r="C150" s="410"/>
      <c r="D150" s="416"/>
      <c r="E150" s="416"/>
      <c r="F150" s="416"/>
      <c r="G150" s="416"/>
      <c r="H150" s="416"/>
      <c r="I150" s="416"/>
      <c r="J150" s="416"/>
      <c r="K150" s="416"/>
      <c r="L150" s="416"/>
      <c r="M150" s="416"/>
      <c r="N150" s="416"/>
      <c r="O150" s="416"/>
      <c r="P150" s="416"/>
      <c r="Q150" s="410"/>
      <c r="R150" s="410"/>
      <c r="S150" s="410"/>
      <c r="T150" s="410"/>
      <c r="U150" s="410"/>
      <c r="V150" s="410"/>
      <c r="W150" s="410"/>
      <c r="X150" s="410"/>
      <c r="Y150" s="410"/>
    </row>
    <row r="151" spans="2:25">
      <c r="B151" s="411"/>
      <c r="C151" s="410"/>
      <c r="D151" s="416"/>
      <c r="E151" s="416"/>
      <c r="F151" s="416"/>
      <c r="G151" s="416"/>
      <c r="H151" s="416"/>
      <c r="I151" s="416"/>
      <c r="J151" s="416"/>
      <c r="K151" s="416"/>
      <c r="L151" s="416"/>
      <c r="M151" s="416"/>
      <c r="N151" s="416"/>
      <c r="O151" s="416"/>
      <c r="P151" s="416"/>
      <c r="Q151" s="410"/>
      <c r="R151" s="410"/>
      <c r="S151" s="410"/>
      <c r="T151" s="410"/>
      <c r="U151" s="410"/>
      <c r="V151" s="410"/>
      <c r="W151" s="410"/>
      <c r="X151" s="410"/>
      <c r="Y151" s="410"/>
    </row>
    <row r="152" spans="2:25">
      <c r="B152" s="411"/>
      <c r="C152" s="410"/>
      <c r="D152" s="416"/>
      <c r="E152" s="416"/>
      <c r="F152" s="416"/>
      <c r="G152" s="416"/>
      <c r="H152" s="416"/>
      <c r="I152" s="416"/>
      <c r="J152" s="416"/>
      <c r="K152" s="416"/>
      <c r="L152" s="416"/>
      <c r="M152" s="416"/>
      <c r="N152" s="416"/>
      <c r="O152" s="416"/>
      <c r="P152" s="416"/>
      <c r="Q152" s="410"/>
      <c r="R152" s="410"/>
      <c r="S152" s="410"/>
      <c r="T152" s="410"/>
      <c r="U152" s="410"/>
      <c r="V152" s="410"/>
      <c r="W152" s="410"/>
      <c r="X152" s="410"/>
      <c r="Y152" s="410"/>
    </row>
    <row r="153" spans="2:25">
      <c r="B153" s="411"/>
      <c r="C153" s="410"/>
      <c r="D153" s="416"/>
      <c r="E153" s="416"/>
      <c r="F153" s="416"/>
      <c r="G153" s="416"/>
      <c r="H153" s="416"/>
      <c r="I153" s="416"/>
      <c r="J153" s="416"/>
      <c r="K153" s="416"/>
      <c r="L153" s="416"/>
      <c r="M153" s="416"/>
      <c r="N153" s="416"/>
      <c r="O153" s="416"/>
      <c r="P153" s="416"/>
      <c r="Q153" s="410"/>
      <c r="R153" s="410"/>
      <c r="S153" s="410"/>
      <c r="T153" s="410"/>
      <c r="U153" s="410"/>
      <c r="V153" s="410"/>
      <c r="W153" s="410"/>
      <c r="X153" s="410"/>
      <c r="Y153" s="410"/>
    </row>
    <row r="154" spans="2:25">
      <c r="B154" s="411"/>
      <c r="C154" s="410"/>
      <c r="D154" s="416"/>
      <c r="E154" s="416"/>
      <c r="F154" s="416"/>
      <c r="G154" s="416"/>
      <c r="H154" s="416"/>
      <c r="I154" s="416"/>
      <c r="J154" s="416"/>
      <c r="K154" s="416"/>
      <c r="L154" s="416"/>
      <c r="M154" s="416"/>
      <c r="N154" s="416"/>
      <c r="O154" s="416"/>
      <c r="P154" s="416"/>
      <c r="Q154" s="410"/>
      <c r="R154" s="410"/>
      <c r="S154" s="410"/>
      <c r="T154" s="410"/>
      <c r="U154" s="410"/>
      <c r="V154" s="410"/>
      <c r="W154" s="410"/>
      <c r="X154" s="410"/>
      <c r="Y154" s="410"/>
    </row>
    <row r="155" spans="2:25">
      <c r="B155" s="411"/>
      <c r="C155" s="410"/>
      <c r="D155" s="416"/>
      <c r="E155" s="416"/>
      <c r="F155" s="416"/>
      <c r="G155" s="416"/>
      <c r="H155" s="416"/>
      <c r="I155" s="416"/>
      <c r="J155" s="416"/>
      <c r="K155" s="416"/>
      <c r="L155" s="416"/>
      <c r="M155" s="416"/>
      <c r="N155" s="416"/>
      <c r="O155" s="416"/>
      <c r="P155" s="416"/>
      <c r="Q155" s="410"/>
      <c r="R155" s="410"/>
      <c r="S155" s="410"/>
      <c r="T155" s="410"/>
      <c r="U155" s="410"/>
      <c r="V155" s="410"/>
      <c r="W155" s="410"/>
      <c r="X155" s="410"/>
      <c r="Y155" s="410"/>
    </row>
    <row r="156" spans="2:25">
      <c r="B156" s="411"/>
      <c r="C156" s="410"/>
      <c r="D156" s="416"/>
      <c r="E156" s="416"/>
      <c r="F156" s="416"/>
      <c r="G156" s="416"/>
      <c r="H156" s="416"/>
      <c r="I156" s="416"/>
      <c r="J156" s="416"/>
      <c r="K156" s="416"/>
      <c r="L156" s="416"/>
      <c r="M156" s="416"/>
      <c r="N156" s="416"/>
      <c r="O156" s="416"/>
      <c r="P156" s="416"/>
      <c r="Q156" s="410"/>
      <c r="R156" s="410"/>
      <c r="S156" s="410"/>
      <c r="T156" s="410"/>
      <c r="U156" s="410"/>
      <c r="V156" s="410"/>
      <c r="W156" s="410"/>
      <c r="X156" s="410"/>
      <c r="Y156" s="410"/>
    </row>
    <row r="157" spans="2:25">
      <c r="B157" s="411"/>
      <c r="C157" s="410"/>
      <c r="D157" s="416"/>
      <c r="E157" s="416"/>
      <c r="F157" s="416"/>
      <c r="G157" s="416"/>
      <c r="H157" s="416"/>
      <c r="I157" s="416"/>
      <c r="J157" s="416"/>
      <c r="K157" s="416"/>
      <c r="L157" s="416"/>
      <c r="M157" s="416"/>
      <c r="N157" s="416"/>
      <c r="O157" s="416"/>
      <c r="P157" s="416"/>
      <c r="Q157" s="410"/>
      <c r="R157" s="410"/>
      <c r="S157" s="410"/>
      <c r="T157" s="410"/>
      <c r="U157" s="410"/>
      <c r="V157" s="410"/>
      <c r="W157" s="410"/>
      <c r="X157" s="410"/>
      <c r="Y157" s="410"/>
    </row>
    <row r="158" spans="2:25">
      <c r="B158" s="411"/>
      <c r="C158" s="410"/>
      <c r="D158" s="416"/>
      <c r="E158" s="416"/>
      <c r="F158" s="416"/>
      <c r="G158" s="416"/>
      <c r="H158" s="416"/>
      <c r="I158" s="416"/>
      <c r="J158" s="416"/>
      <c r="K158" s="416"/>
      <c r="L158" s="416"/>
      <c r="M158" s="416"/>
      <c r="N158" s="416"/>
      <c r="O158" s="416"/>
      <c r="P158" s="416"/>
      <c r="Q158" s="410"/>
      <c r="R158" s="410"/>
      <c r="S158" s="410"/>
      <c r="T158" s="410"/>
      <c r="U158" s="410"/>
      <c r="V158" s="410"/>
      <c r="W158" s="410"/>
      <c r="X158" s="410"/>
      <c r="Y158" s="410"/>
    </row>
    <row r="159" spans="2:25">
      <c r="B159" s="411"/>
      <c r="C159" s="410"/>
      <c r="D159" s="416"/>
      <c r="E159" s="416"/>
      <c r="F159" s="416"/>
      <c r="G159" s="416"/>
      <c r="H159" s="416"/>
      <c r="I159" s="416"/>
      <c r="J159" s="416"/>
      <c r="K159" s="416"/>
      <c r="L159" s="416"/>
      <c r="M159" s="416"/>
      <c r="N159" s="416"/>
      <c r="O159" s="416"/>
      <c r="P159" s="416"/>
      <c r="Q159" s="410"/>
      <c r="R159" s="410"/>
      <c r="S159" s="410"/>
      <c r="T159" s="410"/>
      <c r="U159" s="410"/>
      <c r="V159" s="410"/>
      <c r="W159" s="410"/>
      <c r="X159" s="410"/>
      <c r="Y159" s="410"/>
    </row>
    <row r="160" spans="2:25">
      <c r="B160" s="411"/>
      <c r="C160" s="410"/>
      <c r="D160" s="416"/>
      <c r="E160" s="416"/>
      <c r="F160" s="416"/>
      <c r="G160" s="416"/>
      <c r="H160" s="416"/>
      <c r="I160" s="416"/>
      <c r="J160" s="416"/>
      <c r="K160" s="416"/>
      <c r="L160" s="416"/>
      <c r="M160" s="416"/>
      <c r="N160" s="416"/>
      <c r="O160" s="416"/>
      <c r="P160" s="416"/>
      <c r="Q160" s="410"/>
      <c r="R160" s="410"/>
      <c r="S160" s="410"/>
      <c r="T160" s="410"/>
      <c r="U160" s="410"/>
      <c r="V160" s="410"/>
      <c r="W160" s="410"/>
      <c r="X160" s="410"/>
      <c r="Y160" s="410"/>
    </row>
    <row r="161" spans="2:25">
      <c r="B161" s="411"/>
      <c r="C161" s="410"/>
      <c r="D161" s="416"/>
      <c r="E161" s="416"/>
      <c r="F161" s="416"/>
      <c r="G161" s="416"/>
      <c r="H161" s="416"/>
      <c r="I161" s="416"/>
      <c r="J161" s="416"/>
      <c r="K161" s="416"/>
      <c r="L161" s="416"/>
      <c r="M161" s="416"/>
      <c r="N161" s="416"/>
      <c r="O161" s="416"/>
      <c r="P161" s="416"/>
      <c r="Q161" s="410"/>
      <c r="R161" s="410"/>
      <c r="S161" s="410"/>
      <c r="T161" s="410"/>
      <c r="U161" s="410"/>
      <c r="V161" s="410"/>
      <c r="W161" s="410"/>
      <c r="X161" s="410"/>
      <c r="Y161" s="410"/>
    </row>
    <row r="162" spans="2:25">
      <c r="B162" s="411"/>
      <c r="C162" s="410"/>
      <c r="D162" s="416"/>
      <c r="E162" s="416"/>
      <c r="F162" s="416"/>
      <c r="G162" s="416"/>
      <c r="H162" s="416"/>
      <c r="I162" s="416"/>
      <c r="J162" s="416"/>
      <c r="K162" s="416"/>
      <c r="L162" s="416"/>
      <c r="M162" s="416"/>
      <c r="N162" s="416"/>
      <c r="O162" s="416"/>
      <c r="P162" s="416"/>
      <c r="Q162" s="410"/>
      <c r="R162" s="410"/>
      <c r="S162" s="410"/>
      <c r="T162" s="410"/>
      <c r="U162" s="410"/>
      <c r="V162" s="410"/>
      <c r="W162" s="410"/>
      <c r="X162" s="410"/>
      <c r="Y162" s="410"/>
    </row>
    <row r="163" spans="2:25">
      <c r="B163" s="411"/>
      <c r="C163" s="410"/>
      <c r="D163" s="416"/>
      <c r="E163" s="416"/>
      <c r="F163" s="416"/>
      <c r="G163" s="416"/>
      <c r="H163" s="416"/>
      <c r="I163" s="416"/>
      <c r="J163" s="416"/>
      <c r="K163" s="416"/>
      <c r="L163" s="416"/>
      <c r="M163" s="416"/>
      <c r="N163" s="416"/>
      <c r="O163" s="416"/>
      <c r="P163" s="416"/>
      <c r="Q163" s="410"/>
      <c r="R163" s="410"/>
      <c r="S163" s="410"/>
      <c r="T163" s="410"/>
      <c r="U163" s="410"/>
      <c r="V163" s="410"/>
      <c r="W163" s="410"/>
      <c r="X163" s="410"/>
      <c r="Y163" s="410"/>
    </row>
    <row r="164" spans="2:25">
      <c r="B164" s="411"/>
      <c r="C164" s="410"/>
      <c r="D164" s="416"/>
      <c r="E164" s="416"/>
      <c r="F164" s="416"/>
      <c r="G164" s="416"/>
      <c r="H164" s="416"/>
      <c r="I164" s="416"/>
      <c r="J164" s="416"/>
      <c r="K164" s="416"/>
      <c r="L164" s="416"/>
      <c r="M164" s="416"/>
      <c r="N164" s="416"/>
      <c r="O164" s="416"/>
      <c r="P164" s="416"/>
      <c r="Q164" s="410"/>
      <c r="R164" s="410"/>
      <c r="S164" s="410"/>
      <c r="T164" s="410"/>
      <c r="U164" s="410"/>
      <c r="V164" s="410"/>
      <c r="W164" s="410"/>
      <c r="X164" s="410"/>
      <c r="Y164" s="410"/>
    </row>
    <row r="165" spans="2:25">
      <c r="B165" s="411"/>
      <c r="C165" s="410"/>
      <c r="D165" s="416"/>
      <c r="E165" s="416"/>
      <c r="F165" s="416"/>
      <c r="G165" s="416"/>
      <c r="H165" s="416"/>
      <c r="I165" s="416"/>
      <c r="J165" s="416"/>
      <c r="K165" s="416"/>
      <c r="L165" s="416"/>
      <c r="M165" s="416"/>
      <c r="N165" s="416"/>
      <c r="O165" s="416"/>
      <c r="P165" s="416"/>
      <c r="Q165" s="410"/>
      <c r="R165" s="410"/>
      <c r="S165" s="410"/>
      <c r="T165" s="410"/>
      <c r="U165" s="410"/>
      <c r="V165" s="410"/>
      <c r="W165" s="410"/>
      <c r="X165" s="410"/>
      <c r="Y165" s="410"/>
    </row>
    <row r="166" spans="2:25">
      <c r="B166" s="411"/>
      <c r="C166" s="410"/>
      <c r="D166" s="416"/>
      <c r="E166" s="416"/>
      <c r="F166" s="416"/>
      <c r="G166" s="416"/>
      <c r="H166" s="416"/>
      <c r="I166" s="416"/>
      <c r="J166" s="416"/>
      <c r="K166" s="416"/>
      <c r="L166" s="416"/>
      <c r="M166" s="416"/>
      <c r="N166" s="416"/>
      <c r="O166" s="416"/>
      <c r="P166" s="416"/>
      <c r="Q166" s="410"/>
      <c r="R166" s="410"/>
      <c r="S166" s="410"/>
      <c r="T166" s="410"/>
      <c r="U166" s="410"/>
      <c r="V166" s="410"/>
      <c r="W166" s="410"/>
      <c r="X166" s="410"/>
      <c r="Y166" s="410"/>
    </row>
    <row r="167" spans="2:25">
      <c r="B167" s="411"/>
      <c r="C167" s="410"/>
      <c r="D167" s="416"/>
      <c r="E167" s="416"/>
      <c r="F167" s="416"/>
      <c r="G167" s="416"/>
      <c r="H167" s="416"/>
      <c r="I167" s="416"/>
      <c r="J167" s="416"/>
      <c r="K167" s="416"/>
      <c r="L167" s="416"/>
      <c r="M167" s="416"/>
      <c r="N167" s="416"/>
      <c r="O167" s="416"/>
      <c r="P167" s="416"/>
      <c r="Q167" s="410"/>
      <c r="R167" s="410"/>
      <c r="S167" s="410"/>
      <c r="T167" s="410"/>
      <c r="U167" s="410"/>
      <c r="V167" s="410"/>
      <c r="W167" s="410"/>
      <c r="X167" s="410"/>
      <c r="Y167" s="410"/>
    </row>
    <row r="168" spans="2:25">
      <c r="B168" s="411"/>
      <c r="C168" s="410"/>
      <c r="D168" s="416"/>
      <c r="E168" s="416"/>
      <c r="F168" s="416"/>
      <c r="G168" s="416"/>
      <c r="H168" s="416"/>
      <c r="I168" s="416"/>
      <c r="J168" s="416"/>
      <c r="K168" s="416"/>
      <c r="L168" s="416"/>
      <c r="M168" s="416"/>
      <c r="N168" s="416"/>
      <c r="O168" s="416"/>
      <c r="P168" s="416"/>
      <c r="Q168" s="410"/>
      <c r="R168" s="410"/>
      <c r="S168" s="410"/>
      <c r="T168" s="410"/>
      <c r="U168" s="410"/>
      <c r="V168" s="410"/>
      <c r="W168" s="410"/>
      <c r="X168" s="410"/>
      <c r="Y168" s="410"/>
    </row>
    <row r="169" spans="2:25">
      <c r="B169" s="411"/>
      <c r="C169" s="410"/>
      <c r="D169" s="416"/>
      <c r="E169" s="416"/>
      <c r="F169" s="416"/>
      <c r="G169" s="416"/>
      <c r="H169" s="416"/>
      <c r="I169" s="416"/>
      <c r="J169" s="416"/>
      <c r="K169" s="416"/>
      <c r="L169" s="416"/>
      <c r="M169" s="416"/>
      <c r="N169" s="416"/>
      <c r="O169" s="416"/>
      <c r="P169" s="416"/>
      <c r="Q169" s="410"/>
      <c r="R169" s="410"/>
      <c r="S169" s="410"/>
      <c r="T169" s="410"/>
      <c r="U169" s="410"/>
      <c r="V169" s="410"/>
      <c r="W169" s="410"/>
      <c r="X169" s="410"/>
      <c r="Y169" s="410"/>
    </row>
    <row r="170" spans="2:25">
      <c r="B170" s="411"/>
      <c r="C170" s="410"/>
      <c r="D170" s="416"/>
      <c r="E170" s="416"/>
      <c r="F170" s="416"/>
      <c r="G170" s="416"/>
      <c r="H170" s="416"/>
      <c r="I170" s="416"/>
      <c r="J170" s="416"/>
      <c r="K170" s="416"/>
      <c r="L170" s="416"/>
      <c r="M170" s="416"/>
      <c r="N170" s="416"/>
      <c r="O170" s="416"/>
      <c r="P170" s="416"/>
      <c r="Q170" s="410"/>
      <c r="R170" s="410"/>
      <c r="S170" s="410"/>
      <c r="T170" s="410"/>
      <c r="U170" s="410"/>
      <c r="V170" s="410"/>
      <c r="W170" s="410"/>
      <c r="X170" s="410"/>
      <c r="Y170" s="410"/>
    </row>
    <row r="171" spans="2:25">
      <c r="B171" s="411"/>
      <c r="C171" s="410"/>
      <c r="D171" s="416"/>
      <c r="E171" s="416"/>
      <c r="F171" s="416"/>
      <c r="G171" s="416"/>
      <c r="H171" s="416"/>
      <c r="I171" s="416"/>
      <c r="J171" s="416"/>
      <c r="K171" s="416"/>
      <c r="L171" s="416"/>
      <c r="M171" s="416"/>
      <c r="N171" s="416"/>
      <c r="O171" s="416"/>
      <c r="P171" s="416"/>
      <c r="Q171" s="410"/>
      <c r="R171" s="410"/>
      <c r="S171" s="410"/>
      <c r="T171" s="410"/>
      <c r="U171" s="410"/>
      <c r="V171" s="410"/>
      <c r="W171" s="410"/>
      <c r="X171" s="410"/>
      <c r="Y171" s="410"/>
    </row>
    <row r="172" spans="2:25">
      <c r="B172" s="411"/>
      <c r="C172" s="410"/>
      <c r="D172" s="416"/>
      <c r="E172" s="416"/>
      <c r="F172" s="416"/>
      <c r="G172" s="416"/>
      <c r="H172" s="416"/>
      <c r="I172" s="416"/>
      <c r="J172" s="416"/>
      <c r="K172" s="416"/>
      <c r="L172" s="416"/>
      <c r="M172" s="416"/>
      <c r="N172" s="416"/>
      <c r="O172" s="416"/>
      <c r="P172" s="416"/>
      <c r="Q172" s="410"/>
      <c r="R172" s="410"/>
      <c r="S172" s="410"/>
      <c r="T172" s="410"/>
      <c r="U172" s="410"/>
      <c r="V172" s="410"/>
      <c r="W172" s="410"/>
      <c r="X172" s="410"/>
      <c r="Y172" s="410"/>
    </row>
    <row r="173" spans="2:25">
      <c r="B173" s="411"/>
      <c r="C173" s="410"/>
      <c r="D173" s="416"/>
      <c r="E173" s="416"/>
      <c r="F173" s="416"/>
      <c r="G173" s="416"/>
      <c r="H173" s="416"/>
      <c r="I173" s="416"/>
      <c r="J173" s="416"/>
      <c r="K173" s="416"/>
      <c r="L173" s="416"/>
      <c r="M173" s="416"/>
      <c r="N173" s="416"/>
      <c r="O173" s="416"/>
      <c r="P173" s="416"/>
      <c r="Q173" s="410"/>
      <c r="R173" s="410"/>
      <c r="S173" s="410"/>
      <c r="T173" s="410"/>
      <c r="U173" s="410"/>
      <c r="V173" s="410"/>
      <c r="W173" s="410"/>
      <c r="X173" s="410"/>
      <c r="Y173" s="410"/>
    </row>
    <row r="174" spans="2:25">
      <c r="B174" s="411"/>
      <c r="C174" s="410"/>
      <c r="D174" s="416"/>
      <c r="E174" s="416"/>
      <c r="F174" s="416"/>
      <c r="G174" s="416"/>
      <c r="H174" s="416"/>
      <c r="I174" s="416"/>
      <c r="J174" s="416"/>
      <c r="K174" s="416"/>
      <c r="L174" s="416"/>
      <c r="M174" s="416"/>
      <c r="N174" s="416"/>
      <c r="O174" s="416"/>
      <c r="P174" s="416"/>
      <c r="Q174" s="410"/>
      <c r="R174" s="410"/>
      <c r="S174" s="410"/>
      <c r="T174" s="410"/>
      <c r="U174" s="410"/>
      <c r="V174" s="410"/>
      <c r="W174" s="410"/>
      <c r="X174" s="410"/>
      <c r="Y174" s="410"/>
    </row>
    <row r="175" spans="2:25">
      <c r="B175" s="411"/>
      <c r="C175" s="410"/>
      <c r="D175" s="416"/>
      <c r="E175" s="416"/>
      <c r="F175" s="416"/>
      <c r="G175" s="416"/>
      <c r="H175" s="416"/>
      <c r="I175" s="416"/>
      <c r="J175" s="416"/>
      <c r="K175" s="416"/>
      <c r="L175" s="416"/>
      <c r="M175" s="416"/>
      <c r="N175" s="416"/>
      <c r="O175" s="416"/>
      <c r="P175" s="416"/>
      <c r="Q175" s="410"/>
      <c r="R175" s="410"/>
      <c r="S175" s="410"/>
      <c r="T175" s="410"/>
      <c r="U175" s="410"/>
      <c r="V175" s="410"/>
      <c r="W175" s="410"/>
      <c r="X175" s="410"/>
      <c r="Y175" s="410"/>
    </row>
    <row r="176" spans="2:25">
      <c r="B176" s="411"/>
      <c r="C176" s="410"/>
      <c r="D176" s="416"/>
      <c r="E176" s="416"/>
      <c r="F176" s="416"/>
      <c r="G176" s="416"/>
      <c r="H176" s="416"/>
      <c r="I176" s="416"/>
      <c r="J176" s="416"/>
      <c r="K176" s="416"/>
      <c r="L176" s="416"/>
      <c r="M176" s="416"/>
      <c r="N176" s="416"/>
      <c r="O176" s="416"/>
      <c r="P176" s="416"/>
      <c r="Q176" s="410"/>
      <c r="R176" s="410"/>
      <c r="S176" s="410"/>
      <c r="T176" s="410"/>
      <c r="U176" s="410"/>
      <c r="V176" s="410"/>
      <c r="W176" s="410"/>
      <c r="X176" s="410"/>
      <c r="Y176" s="410"/>
    </row>
    <row r="177" spans="2:25">
      <c r="B177" s="411"/>
      <c r="C177" s="410"/>
      <c r="D177" s="416"/>
      <c r="E177" s="416"/>
      <c r="F177" s="416"/>
      <c r="G177" s="416"/>
      <c r="H177" s="416"/>
      <c r="I177" s="416"/>
      <c r="J177" s="416"/>
      <c r="K177" s="416"/>
      <c r="L177" s="416"/>
      <c r="M177" s="416"/>
      <c r="N177" s="416"/>
      <c r="O177" s="416"/>
      <c r="P177" s="416"/>
      <c r="Q177" s="410"/>
      <c r="R177" s="410"/>
      <c r="S177" s="410"/>
      <c r="T177" s="410"/>
      <c r="U177" s="410"/>
      <c r="V177" s="410"/>
      <c r="W177" s="410"/>
      <c r="X177" s="410"/>
      <c r="Y177" s="410"/>
    </row>
    <row r="178" spans="2:25">
      <c r="B178" s="411"/>
      <c r="C178" s="410"/>
      <c r="D178" s="416"/>
      <c r="E178" s="416"/>
      <c r="F178" s="416"/>
      <c r="G178" s="416"/>
      <c r="H178" s="416"/>
      <c r="I178" s="416"/>
      <c r="J178" s="416"/>
      <c r="K178" s="416"/>
      <c r="L178" s="416"/>
      <c r="M178" s="416"/>
      <c r="N178" s="416"/>
      <c r="O178" s="416"/>
      <c r="P178" s="416"/>
      <c r="Q178" s="410"/>
      <c r="R178" s="410"/>
      <c r="S178" s="410"/>
      <c r="T178" s="410"/>
      <c r="U178" s="410"/>
      <c r="V178" s="410"/>
      <c r="W178" s="410"/>
      <c r="X178" s="410"/>
      <c r="Y178" s="410"/>
    </row>
    <row r="179" spans="2:25">
      <c r="B179" s="411"/>
      <c r="C179" s="410"/>
      <c r="D179" s="416"/>
      <c r="E179" s="416"/>
      <c r="F179" s="416"/>
      <c r="G179" s="416"/>
      <c r="H179" s="416"/>
      <c r="I179" s="416"/>
      <c r="J179" s="416"/>
      <c r="K179" s="416"/>
      <c r="L179" s="416"/>
      <c r="M179" s="416"/>
      <c r="N179" s="416"/>
      <c r="O179" s="416"/>
      <c r="P179" s="416"/>
      <c r="Q179" s="410"/>
      <c r="R179" s="410"/>
      <c r="S179" s="410"/>
      <c r="T179" s="410"/>
      <c r="U179" s="410"/>
      <c r="V179" s="410"/>
      <c r="W179" s="410"/>
      <c r="X179" s="410"/>
      <c r="Y179" s="410"/>
    </row>
    <row r="180" spans="2:25">
      <c r="B180" s="411"/>
      <c r="C180" s="410"/>
      <c r="D180" s="416"/>
      <c r="E180" s="416"/>
      <c r="F180" s="416"/>
      <c r="G180" s="416"/>
      <c r="H180" s="416"/>
      <c r="I180" s="416"/>
      <c r="J180" s="416"/>
      <c r="K180" s="416"/>
      <c r="L180" s="416"/>
      <c r="M180" s="416"/>
      <c r="N180" s="416"/>
      <c r="O180" s="416"/>
      <c r="P180" s="416"/>
      <c r="Q180" s="410"/>
      <c r="R180" s="410"/>
      <c r="S180" s="410"/>
      <c r="T180" s="410"/>
      <c r="U180" s="410"/>
      <c r="V180" s="410"/>
      <c r="W180" s="410"/>
      <c r="X180" s="410"/>
      <c r="Y180" s="410"/>
    </row>
    <row r="181" spans="2:25">
      <c r="B181" s="411"/>
      <c r="C181" s="410"/>
      <c r="D181" s="416"/>
      <c r="E181" s="416"/>
      <c r="F181" s="416"/>
      <c r="G181" s="416"/>
      <c r="H181" s="416"/>
      <c r="I181" s="416"/>
      <c r="J181" s="416"/>
      <c r="K181" s="416"/>
      <c r="L181" s="416"/>
      <c r="M181" s="416"/>
      <c r="N181" s="416"/>
      <c r="O181" s="416"/>
      <c r="P181" s="416"/>
      <c r="Q181" s="410"/>
      <c r="R181" s="410"/>
      <c r="S181" s="410"/>
      <c r="T181" s="410"/>
      <c r="U181" s="410"/>
      <c r="V181" s="410"/>
      <c r="W181" s="410"/>
      <c r="X181" s="410"/>
      <c r="Y181" s="410"/>
    </row>
    <row r="182" spans="2:25">
      <c r="B182" s="411"/>
      <c r="C182" s="410"/>
      <c r="D182" s="416"/>
      <c r="E182" s="416"/>
      <c r="F182" s="416"/>
      <c r="G182" s="416"/>
      <c r="H182" s="416"/>
      <c r="I182" s="416"/>
      <c r="J182" s="416"/>
      <c r="K182" s="416"/>
      <c r="L182" s="416"/>
      <c r="M182" s="416"/>
      <c r="N182" s="416"/>
      <c r="O182" s="416"/>
      <c r="P182" s="416"/>
      <c r="Q182" s="410"/>
      <c r="R182" s="410"/>
      <c r="S182" s="410"/>
      <c r="T182" s="410"/>
      <c r="U182" s="410"/>
      <c r="V182" s="410"/>
      <c r="W182" s="410"/>
      <c r="X182" s="410"/>
      <c r="Y182" s="410"/>
    </row>
    <row r="183" spans="2:25">
      <c r="B183" s="411"/>
      <c r="C183" s="410"/>
      <c r="D183" s="416"/>
      <c r="E183" s="416"/>
      <c r="F183" s="416"/>
      <c r="G183" s="416"/>
      <c r="H183" s="416"/>
      <c r="I183" s="416"/>
      <c r="J183" s="416"/>
      <c r="K183" s="416"/>
      <c r="L183" s="416"/>
      <c r="M183" s="416"/>
      <c r="N183" s="416"/>
      <c r="O183" s="416"/>
      <c r="P183" s="416"/>
      <c r="Q183" s="410"/>
      <c r="R183" s="410"/>
      <c r="S183" s="410"/>
      <c r="T183" s="410"/>
      <c r="U183" s="410"/>
      <c r="V183" s="410"/>
      <c r="W183" s="410"/>
      <c r="X183" s="410"/>
      <c r="Y183" s="410"/>
    </row>
    <row r="184" spans="2:25">
      <c r="B184" s="411"/>
      <c r="C184" s="410"/>
      <c r="D184" s="416"/>
      <c r="E184" s="416"/>
      <c r="F184" s="416"/>
      <c r="G184" s="416"/>
      <c r="H184" s="416"/>
      <c r="I184" s="416"/>
      <c r="J184" s="416"/>
      <c r="K184" s="416"/>
      <c r="L184" s="416"/>
      <c r="M184" s="416"/>
      <c r="N184" s="416"/>
      <c r="O184" s="416"/>
      <c r="P184" s="416"/>
      <c r="Q184" s="410"/>
      <c r="R184" s="410"/>
      <c r="S184" s="410"/>
      <c r="T184" s="410"/>
      <c r="U184" s="410"/>
      <c r="V184" s="410"/>
      <c r="W184" s="410"/>
      <c r="X184" s="410"/>
      <c r="Y184" s="410"/>
    </row>
    <row r="185" spans="2:25">
      <c r="B185" s="411"/>
      <c r="C185" s="410"/>
      <c r="D185" s="416"/>
      <c r="E185" s="416"/>
      <c r="F185" s="416"/>
      <c r="G185" s="416"/>
      <c r="H185" s="416"/>
      <c r="I185" s="416"/>
      <c r="J185" s="416"/>
      <c r="K185" s="416"/>
      <c r="L185" s="416"/>
      <c r="M185" s="416"/>
      <c r="N185" s="416"/>
      <c r="O185" s="416"/>
      <c r="P185" s="416"/>
      <c r="Q185" s="410"/>
      <c r="R185" s="410"/>
      <c r="S185" s="410"/>
      <c r="T185" s="410"/>
      <c r="U185" s="410"/>
      <c r="V185" s="410"/>
      <c r="W185" s="410"/>
      <c r="X185" s="410"/>
      <c r="Y185" s="410"/>
    </row>
    <row r="186" spans="2:25">
      <c r="B186" s="411"/>
      <c r="C186" s="410"/>
      <c r="D186" s="416"/>
      <c r="E186" s="416"/>
      <c r="F186" s="416"/>
      <c r="G186" s="416"/>
      <c r="H186" s="416"/>
      <c r="I186" s="416"/>
      <c r="J186" s="416"/>
      <c r="K186" s="416"/>
      <c r="L186" s="416"/>
      <c r="M186" s="416"/>
      <c r="N186" s="416"/>
      <c r="O186" s="416"/>
      <c r="P186" s="416"/>
      <c r="Q186" s="410"/>
      <c r="R186" s="410"/>
      <c r="S186" s="410"/>
      <c r="T186" s="410"/>
      <c r="U186" s="410"/>
      <c r="V186" s="410"/>
      <c r="W186" s="410"/>
      <c r="X186" s="410"/>
      <c r="Y186" s="410"/>
    </row>
    <row r="187" spans="2:25">
      <c r="B187" s="411"/>
      <c r="C187" s="410"/>
      <c r="D187" s="416"/>
      <c r="E187" s="416"/>
      <c r="F187" s="416"/>
      <c r="G187" s="416"/>
      <c r="H187" s="416"/>
      <c r="I187" s="416"/>
      <c r="J187" s="416"/>
      <c r="K187" s="416"/>
      <c r="L187" s="416"/>
      <c r="M187" s="416"/>
      <c r="N187" s="416"/>
      <c r="O187" s="416"/>
      <c r="P187" s="416"/>
      <c r="Q187" s="410"/>
      <c r="R187" s="410"/>
      <c r="S187" s="410"/>
      <c r="T187" s="410"/>
      <c r="U187" s="410"/>
      <c r="V187" s="410"/>
      <c r="W187" s="410"/>
      <c r="X187" s="410"/>
      <c r="Y187" s="410"/>
    </row>
    <row r="188" spans="2:25">
      <c r="B188" s="411"/>
      <c r="C188" s="410"/>
      <c r="D188" s="416"/>
      <c r="E188" s="416"/>
      <c r="F188" s="416"/>
      <c r="G188" s="416"/>
      <c r="H188" s="416"/>
      <c r="I188" s="416"/>
      <c r="J188" s="416"/>
      <c r="K188" s="416"/>
      <c r="L188" s="416"/>
      <c r="M188" s="416"/>
      <c r="N188" s="416"/>
      <c r="O188" s="416"/>
      <c r="P188" s="416"/>
      <c r="Q188" s="410"/>
      <c r="R188" s="410"/>
      <c r="S188" s="410"/>
      <c r="T188" s="410"/>
      <c r="U188" s="410"/>
      <c r="V188" s="410"/>
      <c r="W188" s="410"/>
      <c r="X188" s="410"/>
      <c r="Y188" s="410"/>
    </row>
    <row r="189" spans="2:25">
      <c r="B189" s="411"/>
      <c r="C189" s="410"/>
      <c r="D189" s="416"/>
      <c r="E189" s="416"/>
      <c r="F189" s="416"/>
      <c r="G189" s="416"/>
      <c r="H189" s="416"/>
      <c r="I189" s="416"/>
      <c r="J189" s="416"/>
      <c r="K189" s="416"/>
      <c r="L189" s="416"/>
      <c r="M189" s="416"/>
      <c r="N189" s="416"/>
      <c r="O189" s="416"/>
      <c r="P189" s="416"/>
      <c r="Q189" s="410"/>
      <c r="R189" s="410"/>
      <c r="S189" s="410"/>
      <c r="T189" s="410"/>
      <c r="U189" s="410"/>
      <c r="V189" s="410"/>
      <c r="W189" s="410"/>
      <c r="X189" s="410"/>
      <c r="Y189" s="410"/>
    </row>
    <row r="190" spans="2:25">
      <c r="B190" s="411"/>
      <c r="C190" s="410"/>
      <c r="D190" s="416"/>
      <c r="E190" s="416"/>
      <c r="F190" s="416"/>
      <c r="G190" s="416"/>
      <c r="H190" s="416"/>
      <c r="I190" s="416"/>
      <c r="J190" s="416"/>
      <c r="K190" s="416"/>
      <c r="L190" s="416"/>
      <c r="M190" s="416"/>
      <c r="N190" s="416"/>
      <c r="O190" s="416"/>
      <c r="P190" s="416"/>
      <c r="Q190" s="410"/>
      <c r="R190" s="410"/>
      <c r="S190" s="410"/>
      <c r="T190" s="410"/>
      <c r="U190" s="410"/>
      <c r="V190" s="410"/>
      <c r="W190" s="410"/>
      <c r="X190" s="410"/>
      <c r="Y190" s="410"/>
    </row>
    <row r="191" spans="2:25">
      <c r="B191" s="411"/>
      <c r="C191" s="410"/>
      <c r="D191" s="416"/>
      <c r="E191" s="416"/>
      <c r="F191" s="416"/>
      <c r="G191" s="416"/>
      <c r="H191" s="416"/>
      <c r="I191" s="416"/>
      <c r="J191" s="416"/>
      <c r="K191" s="416"/>
      <c r="L191" s="416"/>
      <c r="M191" s="416"/>
      <c r="N191" s="416"/>
      <c r="O191" s="416"/>
      <c r="P191" s="416"/>
      <c r="Q191" s="410"/>
      <c r="R191" s="410"/>
      <c r="S191" s="410"/>
      <c r="T191" s="410"/>
      <c r="U191" s="410"/>
      <c r="V191" s="410"/>
      <c r="W191" s="410"/>
      <c r="X191" s="410"/>
      <c r="Y191" s="410"/>
    </row>
    <row r="192" spans="2:25">
      <c r="B192" s="411"/>
      <c r="C192" s="410"/>
      <c r="D192" s="416"/>
      <c r="E192" s="416"/>
      <c r="F192" s="416"/>
      <c r="G192" s="416"/>
      <c r="H192" s="416"/>
      <c r="I192" s="416"/>
      <c r="J192" s="416"/>
      <c r="K192" s="416"/>
      <c r="L192" s="416"/>
      <c r="M192" s="416"/>
      <c r="N192" s="416"/>
      <c r="O192" s="416"/>
      <c r="P192" s="416"/>
      <c r="Q192" s="410"/>
      <c r="R192" s="410"/>
      <c r="S192" s="410"/>
      <c r="T192" s="410"/>
      <c r="U192" s="410"/>
      <c r="V192" s="410"/>
      <c r="W192" s="410"/>
      <c r="X192" s="410"/>
      <c r="Y192" s="410"/>
    </row>
    <row r="193" spans="2:25">
      <c r="B193" s="411"/>
      <c r="C193" s="410"/>
      <c r="D193" s="416"/>
      <c r="E193" s="416"/>
      <c r="F193" s="416"/>
      <c r="G193" s="416"/>
      <c r="H193" s="416"/>
      <c r="I193" s="416"/>
      <c r="J193" s="416"/>
      <c r="K193" s="416"/>
      <c r="L193" s="416"/>
      <c r="M193" s="416"/>
      <c r="N193" s="416"/>
      <c r="O193" s="416"/>
      <c r="P193" s="416"/>
      <c r="Q193" s="410"/>
      <c r="R193" s="410"/>
      <c r="S193" s="410"/>
      <c r="T193" s="410"/>
      <c r="U193" s="410"/>
      <c r="V193" s="410"/>
      <c r="W193" s="410"/>
      <c r="X193" s="410"/>
      <c r="Y193" s="410"/>
    </row>
    <row r="194" spans="2:25">
      <c r="B194" s="411"/>
      <c r="C194" s="410"/>
      <c r="D194" s="416"/>
      <c r="E194" s="416"/>
      <c r="F194" s="416"/>
      <c r="G194" s="416"/>
      <c r="H194" s="416"/>
      <c r="I194" s="416"/>
      <c r="J194" s="416"/>
      <c r="K194" s="416"/>
      <c r="L194" s="416"/>
      <c r="M194" s="416"/>
      <c r="N194" s="416"/>
      <c r="O194" s="416"/>
      <c r="P194" s="416"/>
      <c r="Q194" s="410"/>
      <c r="R194" s="410"/>
      <c r="S194" s="410"/>
      <c r="T194" s="410"/>
      <c r="U194" s="410"/>
      <c r="V194" s="410"/>
      <c r="W194" s="410"/>
      <c r="X194" s="410"/>
      <c r="Y194" s="410"/>
    </row>
    <row r="195" spans="2:25">
      <c r="B195" s="411"/>
      <c r="C195" s="410"/>
      <c r="D195" s="416"/>
      <c r="E195" s="416"/>
      <c r="F195" s="416"/>
      <c r="G195" s="416"/>
      <c r="H195" s="416"/>
      <c r="I195" s="416"/>
      <c r="J195" s="416"/>
      <c r="K195" s="416"/>
      <c r="L195" s="416"/>
      <c r="M195" s="416"/>
      <c r="N195" s="416"/>
      <c r="O195" s="416"/>
      <c r="P195" s="416"/>
      <c r="Q195" s="410"/>
      <c r="R195" s="410"/>
      <c r="S195" s="410"/>
      <c r="T195" s="410"/>
      <c r="U195" s="410"/>
      <c r="V195" s="410"/>
      <c r="W195" s="410"/>
      <c r="X195" s="410"/>
      <c r="Y195" s="410"/>
    </row>
    <row r="196" spans="2:25">
      <c r="B196" s="411"/>
      <c r="C196" s="410"/>
      <c r="D196" s="416"/>
      <c r="E196" s="416"/>
      <c r="F196" s="416"/>
      <c r="G196" s="416"/>
      <c r="H196" s="416"/>
      <c r="I196" s="416"/>
      <c r="J196" s="416"/>
      <c r="K196" s="416"/>
      <c r="L196" s="416"/>
      <c r="M196" s="416"/>
      <c r="N196" s="416"/>
      <c r="O196" s="416"/>
      <c r="P196" s="416"/>
      <c r="Q196" s="410"/>
      <c r="R196" s="410"/>
      <c r="S196" s="410"/>
      <c r="T196" s="410"/>
      <c r="U196" s="410"/>
      <c r="V196" s="410"/>
      <c r="W196" s="410"/>
      <c r="X196" s="410"/>
      <c r="Y196" s="410"/>
    </row>
    <row r="197" spans="2:25">
      <c r="B197" s="411"/>
      <c r="C197" s="410"/>
      <c r="D197" s="416"/>
      <c r="E197" s="416"/>
      <c r="F197" s="416"/>
      <c r="G197" s="416"/>
      <c r="H197" s="416"/>
      <c r="I197" s="416"/>
      <c r="J197" s="416"/>
      <c r="K197" s="416"/>
      <c r="L197" s="416"/>
      <c r="M197" s="416"/>
      <c r="N197" s="416"/>
      <c r="O197" s="416"/>
      <c r="P197" s="416"/>
      <c r="Q197" s="410"/>
      <c r="R197" s="410"/>
      <c r="S197" s="410"/>
      <c r="T197" s="410"/>
      <c r="U197" s="410"/>
      <c r="V197" s="410"/>
      <c r="W197" s="410"/>
      <c r="X197" s="410"/>
      <c r="Y197" s="410"/>
    </row>
    <row r="198" spans="2:25">
      <c r="B198" s="411"/>
      <c r="C198" s="410"/>
      <c r="D198" s="416"/>
      <c r="E198" s="416"/>
      <c r="F198" s="416"/>
      <c r="G198" s="416"/>
      <c r="H198" s="416"/>
      <c r="I198" s="416"/>
      <c r="J198" s="416"/>
      <c r="K198" s="416"/>
      <c r="L198" s="416"/>
      <c r="M198" s="416"/>
      <c r="N198" s="416"/>
      <c r="O198" s="416"/>
      <c r="P198" s="416"/>
      <c r="Q198" s="410"/>
      <c r="R198" s="410"/>
      <c r="S198" s="410"/>
      <c r="T198" s="410"/>
      <c r="U198" s="410"/>
      <c r="V198" s="410"/>
      <c r="W198" s="410"/>
      <c r="X198" s="410"/>
      <c r="Y198" s="410"/>
    </row>
    <row r="199" spans="2:25">
      <c r="B199" s="411"/>
      <c r="C199" s="410"/>
      <c r="D199" s="416"/>
      <c r="E199" s="416"/>
      <c r="F199" s="416"/>
      <c r="G199" s="416"/>
      <c r="H199" s="416"/>
      <c r="I199" s="416"/>
      <c r="J199" s="416"/>
      <c r="K199" s="416"/>
      <c r="L199" s="416"/>
      <c r="M199" s="416"/>
      <c r="N199" s="416"/>
      <c r="O199" s="416"/>
      <c r="P199" s="416"/>
      <c r="Q199" s="410"/>
      <c r="R199" s="410"/>
      <c r="S199" s="410"/>
      <c r="T199" s="410"/>
      <c r="U199" s="410"/>
      <c r="V199" s="410"/>
      <c r="W199" s="410"/>
      <c r="X199" s="410"/>
      <c r="Y199" s="410"/>
    </row>
    <row r="200" spans="2:25">
      <c r="B200" s="411"/>
      <c r="C200" s="410"/>
      <c r="D200" s="416"/>
      <c r="E200" s="416"/>
      <c r="F200" s="416"/>
      <c r="G200" s="416"/>
      <c r="H200" s="416"/>
      <c r="I200" s="416"/>
      <c r="J200" s="416"/>
      <c r="K200" s="416"/>
      <c r="L200" s="416"/>
      <c r="M200" s="416"/>
      <c r="N200" s="416"/>
      <c r="O200" s="416"/>
      <c r="P200" s="416"/>
      <c r="Q200" s="410"/>
      <c r="R200" s="410"/>
      <c r="S200" s="410"/>
      <c r="T200" s="410"/>
      <c r="U200" s="410"/>
      <c r="V200" s="410"/>
      <c r="W200" s="410"/>
      <c r="X200" s="410"/>
      <c r="Y200" s="410"/>
    </row>
    <row r="201" spans="2:25">
      <c r="B201" s="411"/>
      <c r="C201" s="410"/>
      <c r="D201" s="416"/>
      <c r="E201" s="416"/>
      <c r="F201" s="416"/>
      <c r="G201" s="416"/>
      <c r="H201" s="416"/>
      <c r="I201" s="416"/>
      <c r="J201" s="416"/>
      <c r="K201" s="416"/>
      <c r="L201" s="416"/>
      <c r="M201" s="416"/>
      <c r="N201" s="416"/>
      <c r="O201" s="416"/>
      <c r="P201" s="416"/>
      <c r="Q201" s="410"/>
      <c r="R201" s="410"/>
      <c r="S201" s="410"/>
      <c r="T201" s="410"/>
      <c r="U201" s="410"/>
      <c r="V201" s="410"/>
      <c r="W201" s="410"/>
      <c r="X201" s="410"/>
      <c r="Y201" s="410"/>
    </row>
    <row r="202" spans="2:25">
      <c r="B202" s="411"/>
      <c r="C202" s="410"/>
      <c r="D202" s="416"/>
      <c r="E202" s="416"/>
      <c r="F202" s="416"/>
      <c r="G202" s="416"/>
      <c r="H202" s="416"/>
      <c r="I202" s="416"/>
      <c r="J202" s="416"/>
      <c r="K202" s="416"/>
      <c r="L202" s="416"/>
      <c r="M202" s="416"/>
      <c r="N202" s="416"/>
      <c r="O202" s="416"/>
      <c r="P202" s="416"/>
      <c r="Q202" s="410"/>
      <c r="R202" s="410"/>
      <c r="S202" s="410"/>
      <c r="T202" s="410"/>
      <c r="U202" s="410"/>
      <c r="V202" s="410"/>
      <c r="W202" s="410"/>
      <c r="X202" s="410"/>
      <c r="Y202" s="410"/>
    </row>
    <row r="203" spans="2:25">
      <c r="B203" s="411"/>
      <c r="C203" s="410"/>
      <c r="D203" s="416"/>
      <c r="E203" s="416"/>
      <c r="F203" s="416"/>
      <c r="G203" s="416"/>
      <c r="H203" s="416"/>
      <c r="I203" s="416"/>
      <c r="J203" s="416"/>
      <c r="K203" s="416"/>
      <c r="L203" s="416"/>
      <c r="M203" s="416"/>
      <c r="N203" s="416"/>
      <c r="O203" s="416"/>
      <c r="P203" s="416"/>
      <c r="Q203" s="410"/>
      <c r="R203" s="410"/>
      <c r="S203" s="410"/>
      <c r="T203" s="410"/>
      <c r="U203" s="410"/>
      <c r="V203" s="410"/>
      <c r="W203" s="410"/>
      <c r="X203" s="410"/>
      <c r="Y203" s="410"/>
    </row>
    <row r="204" spans="2:25">
      <c r="B204" s="411"/>
      <c r="C204" s="410"/>
      <c r="D204" s="416"/>
      <c r="E204" s="416"/>
      <c r="F204" s="416"/>
      <c r="G204" s="416"/>
      <c r="H204" s="416"/>
      <c r="I204" s="416"/>
      <c r="J204" s="416"/>
      <c r="K204" s="416"/>
      <c r="L204" s="416"/>
      <c r="M204" s="416"/>
      <c r="N204" s="416"/>
      <c r="O204" s="416"/>
      <c r="P204" s="416"/>
      <c r="Q204" s="410"/>
      <c r="R204" s="410"/>
      <c r="S204" s="410"/>
      <c r="T204" s="410"/>
      <c r="U204" s="410"/>
      <c r="V204" s="410"/>
      <c r="W204" s="410"/>
      <c r="X204" s="410"/>
      <c r="Y204" s="410"/>
    </row>
    <row r="205" spans="2:25">
      <c r="B205" s="411"/>
      <c r="C205" s="410"/>
      <c r="D205" s="416"/>
      <c r="E205" s="416"/>
      <c r="F205" s="416"/>
      <c r="G205" s="416"/>
      <c r="H205" s="416"/>
      <c r="I205" s="416"/>
      <c r="J205" s="416"/>
      <c r="K205" s="416"/>
      <c r="L205" s="416"/>
      <c r="M205" s="416"/>
      <c r="N205" s="416"/>
      <c r="O205" s="416"/>
      <c r="P205" s="416"/>
      <c r="Q205" s="410"/>
      <c r="R205" s="410"/>
      <c r="S205" s="410"/>
      <c r="T205" s="410"/>
      <c r="U205" s="410"/>
      <c r="V205" s="410"/>
      <c r="W205" s="410"/>
      <c r="X205" s="410"/>
      <c r="Y205" s="410"/>
    </row>
    <row r="206" spans="2:25">
      <c r="B206" s="411"/>
      <c r="C206" s="410"/>
      <c r="D206" s="416"/>
      <c r="E206" s="416"/>
      <c r="F206" s="416"/>
      <c r="G206" s="416"/>
      <c r="H206" s="416"/>
      <c r="I206" s="416"/>
      <c r="J206" s="416"/>
      <c r="K206" s="416"/>
      <c r="L206" s="416"/>
      <c r="M206" s="416"/>
      <c r="N206" s="416"/>
      <c r="O206" s="416"/>
      <c r="P206" s="416"/>
      <c r="Q206" s="410"/>
      <c r="R206" s="410"/>
      <c r="S206" s="410"/>
      <c r="T206" s="410"/>
      <c r="U206" s="410"/>
      <c r="V206" s="410"/>
      <c r="W206" s="410"/>
      <c r="X206" s="410"/>
      <c r="Y206" s="410"/>
    </row>
    <row r="207" spans="2:25">
      <c r="B207" s="411"/>
      <c r="C207" s="410"/>
      <c r="D207" s="416"/>
      <c r="E207" s="416"/>
      <c r="F207" s="416"/>
      <c r="G207" s="416"/>
      <c r="H207" s="416"/>
      <c r="I207" s="416"/>
      <c r="J207" s="416"/>
      <c r="K207" s="416"/>
      <c r="L207" s="416"/>
      <c r="M207" s="416"/>
      <c r="N207" s="416"/>
      <c r="O207" s="416"/>
      <c r="P207" s="416"/>
      <c r="Q207" s="410"/>
      <c r="R207" s="410"/>
      <c r="S207" s="410"/>
      <c r="T207" s="410"/>
      <c r="U207" s="410"/>
      <c r="V207" s="410"/>
      <c r="W207" s="410"/>
      <c r="X207" s="410"/>
      <c r="Y207" s="410"/>
    </row>
    <row r="208" spans="2:25">
      <c r="B208" s="411"/>
      <c r="C208" s="410"/>
      <c r="D208" s="416"/>
      <c r="E208" s="416"/>
      <c r="F208" s="416"/>
      <c r="G208" s="416"/>
      <c r="H208" s="416"/>
      <c r="I208" s="416"/>
      <c r="J208" s="416"/>
      <c r="K208" s="416"/>
      <c r="L208" s="416"/>
      <c r="M208" s="416"/>
      <c r="N208" s="416"/>
      <c r="O208" s="416"/>
      <c r="P208" s="416"/>
      <c r="Q208" s="410"/>
      <c r="R208" s="410"/>
      <c r="S208" s="410"/>
      <c r="T208" s="410"/>
      <c r="U208" s="410"/>
      <c r="V208" s="410"/>
      <c r="W208" s="410"/>
      <c r="X208" s="410"/>
      <c r="Y208" s="410"/>
    </row>
    <row r="209" spans="2:25">
      <c r="B209" s="411"/>
      <c r="C209" s="410"/>
      <c r="D209" s="416"/>
      <c r="E209" s="416"/>
      <c r="F209" s="416"/>
      <c r="G209" s="416"/>
      <c r="H209" s="416"/>
      <c r="I209" s="416"/>
      <c r="J209" s="416"/>
      <c r="K209" s="416"/>
      <c r="L209" s="416"/>
      <c r="M209" s="416"/>
      <c r="N209" s="416"/>
      <c r="O209" s="416"/>
      <c r="P209" s="416"/>
      <c r="Q209" s="410"/>
      <c r="R209" s="410"/>
      <c r="S209" s="410"/>
      <c r="T209" s="410"/>
      <c r="U209" s="410"/>
      <c r="V209" s="410"/>
      <c r="W209" s="410"/>
      <c r="X209" s="410"/>
      <c r="Y209" s="410"/>
    </row>
    <row r="210" spans="2:25">
      <c r="B210" s="411"/>
      <c r="C210" s="410"/>
      <c r="D210" s="416"/>
      <c r="E210" s="416"/>
      <c r="F210" s="416"/>
      <c r="G210" s="416"/>
      <c r="H210" s="416"/>
      <c r="I210" s="416"/>
      <c r="J210" s="416"/>
      <c r="K210" s="416"/>
      <c r="L210" s="416"/>
      <c r="M210" s="416"/>
      <c r="N210" s="416"/>
      <c r="O210" s="416"/>
      <c r="P210" s="416"/>
      <c r="Q210" s="410"/>
      <c r="R210" s="410"/>
      <c r="S210" s="410"/>
      <c r="T210" s="410"/>
      <c r="U210" s="410"/>
      <c r="V210" s="410"/>
      <c r="W210" s="410"/>
      <c r="X210" s="410"/>
      <c r="Y210" s="410"/>
    </row>
    <row r="211" spans="2:25">
      <c r="B211" s="411"/>
      <c r="C211" s="410"/>
      <c r="D211" s="416"/>
      <c r="E211" s="416"/>
      <c r="F211" s="416"/>
      <c r="G211" s="416"/>
      <c r="H211" s="416"/>
      <c r="I211" s="416"/>
      <c r="J211" s="416"/>
      <c r="K211" s="416"/>
      <c r="L211" s="416"/>
      <c r="M211" s="416"/>
      <c r="N211" s="416"/>
      <c r="O211" s="416"/>
      <c r="P211" s="416"/>
      <c r="Q211" s="410"/>
      <c r="R211" s="410"/>
      <c r="S211" s="410"/>
      <c r="T211" s="410"/>
      <c r="U211" s="410"/>
      <c r="V211" s="410"/>
      <c r="W211" s="410"/>
      <c r="X211" s="410"/>
      <c r="Y211" s="410"/>
    </row>
    <row r="212" spans="2:25">
      <c r="B212" s="411"/>
      <c r="C212" s="410"/>
      <c r="D212" s="416"/>
      <c r="E212" s="416"/>
      <c r="F212" s="416"/>
      <c r="G212" s="416"/>
      <c r="H212" s="416"/>
      <c r="I212" s="416"/>
      <c r="J212" s="416"/>
      <c r="K212" s="416"/>
      <c r="L212" s="416"/>
      <c r="M212" s="416"/>
      <c r="N212" s="416"/>
      <c r="O212" s="416"/>
      <c r="P212" s="416"/>
      <c r="Q212" s="410"/>
      <c r="R212" s="410"/>
      <c r="S212" s="410"/>
      <c r="T212" s="410"/>
      <c r="U212" s="410"/>
      <c r="V212" s="410"/>
      <c r="W212" s="410"/>
      <c r="X212" s="410"/>
      <c r="Y212" s="410"/>
    </row>
    <row r="213" spans="2:25">
      <c r="B213" s="411"/>
      <c r="C213" s="410"/>
      <c r="D213" s="416"/>
      <c r="E213" s="416"/>
      <c r="F213" s="416"/>
      <c r="G213" s="416"/>
      <c r="H213" s="416"/>
      <c r="I213" s="416"/>
      <c r="J213" s="416"/>
      <c r="K213" s="416"/>
      <c r="L213" s="416"/>
      <c r="M213" s="416"/>
      <c r="N213" s="416"/>
      <c r="O213" s="416"/>
      <c r="P213" s="416"/>
      <c r="Q213" s="410"/>
      <c r="R213" s="410"/>
      <c r="S213" s="410"/>
      <c r="T213" s="410"/>
      <c r="U213" s="410"/>
      <c r="V213" s="410"/>
      <c r="W213" s="410"/>
      <c r="X213" s="410"/>
      <c r="Y213" s="410"/>
    </row>
    <row r="214" spans="2:25">
      <c r="B214" s="411"/>
      <c r="C214" s="410"/>
      <c r="D214" s="416"/>
      <c r="E214" s="416"/>
      <c r="F214" s="416"/>
      <c r="G214" s="416"/>
      <c r="H214" s="416"/>
      <c r="I214" s="416"/>
      <c r="J214" s="416"/>
      <c r="K214" s="416"/>
      <c r="L214" s="416"/>
      <c r="M214" s="416"/>
      <c r="N214" s="416"/>
      <c r="O214" s="416"/>
      <c r="P214" s="416"/>
      <c r="Q214" s="410"/>
      <c r="R214" s="410"/>
      <c r="S214" s="410"/>
      <c r="T214" s="410"/>
      <c r="U214" s="410"/>
      <c r="V214" s="410"/>
      <c r="W214" s="410"/>
      <c r="X214" s="410"/>
      <c r="Y214" s="410"/>
    </row>
    <row r="215" spans="2:25">
      <c r="B215" s="411"/>
      <c r="C215" s="410"/>
      <c r="D215" s="416"/>
      <c r="E215" s="416"/>
      <c r="F215" s="416"/>
      <c r="G215" s="416"/>
      <c r="H215" s="416"/>
      <c r="I215" s="416"/>
      <c r="J215" s="416"/>
      <c r="K215" s="416"/>
      <c r="L215" s="416"/>
      <c r="M215" s="416"/>
      <c r="N215" s="416"/>
      <c r="O215" s="416"/>
      <c r="P215" s="416"/>
      <c r="Q215" s="410"/>
      <c r="R215" s="410"/>
      <c r="S215" s="410"/>
      <c r="T215" s="410"/>
      <c r="U215" s="410"/>
      <c r="V215" s="410"/>
      <c r="W215" s="410"/>
      <c r="X215" s="410"/>
      <c r="Y215" s="410"/>
    </row>
    <row r="216" spans="2:25">
      <c r="B216" s="411"/>
      <c r="C216" s="410"/>
      <c r="D216" s="416"/>
      <c r="E216" s="416"/>
      <c r="F216" s="416"/>
      <c r="G216" s="416"/>
      <c r="H216" s="416"/>
      <c r="I216" s="416"/>
      <c r="J216" s="416"/>
      <c r="K216" s="416"/>
      <c r="L216" s="416"/>
      <c r="M216" s="416"/>
      <c r="N216" s="416"/>
      <c r="O216" s="416"/>
      <c r="P216" s="416"/>
      <c r="Q216" s="410"/>
      <c r="R216" s="410"/>
      <c r="S216" s="410"/>
      <c r="T216" s="410"/>
      <c r="U216" s="410"/>
      <c r="V216" s="410"/>
      <c r="W216" s="410"/>
      <c r="X216" s="410"/>
      <c r="Y216" s="410"/>
    </row>
  </sheetData>
  <mergeCells count="2">
    <mergeCell ref="A4:A26"/>
    <mergeCell ref="A79:A94"/>
  </mergeCells>
  <phoneticPr fontId="0" type="noConversion"/>
  <pageMargins left="0.75" right="0.75" top="1" bottom="1" header="0.5" footer="0.5"/>
  <pageSetup scale="60" fitToHeight="3" orientation="landscape" horizontalDpi="4294967292" verticalDpi="0" r:id="rId1"/>
  <headerFooter alignWithMargins="0">
    <oddHeader>&amp;C&amp;"Arial,Bold"&amp;12Bear River Spreadsheet Model
Dry Year Conditions</oddHeader>
    <oddFooter>&amp;L&amp;F &amp;A&amp;RAPPENDIX A (Page &amp;P of &amp;N)</oddFooter>
  </headerFooter>
  <rowBreaks count="1" manualBreakCount="1">
    <brk id="60" max="16" man="1"/>
  </rowBreaks>
  <legacyDrawing r:id="rId2"/>
</worksheet>
</file>

<file path=xl/worksheets/sheet24.xml><?xml version="1.0" encoding="utf-8"?>
<worksheet xmlns="http://schemas.openxmlformats.org/spreadsheetml/2006/main" xmlns:r="http://schemas.openxmlformats.org/officeDocument/2006/relationships">
  <sheetPr codeName="Sheet25">
    <pageSetUpPr autoPageBreaks="0"/>
  </sheetPr>
  <dimension ref="A1:S28"/>
  <sheetViews>
    <sheetView showGridLines="0" showRowColHeaders="0" zoomScale="75" zoomScaleNormal="75" workbookViewId="0"/>
  </sheetViews>
  <sheetFormatPr defaultRowHeight="12.75"/>
  <sheetData>
    <row r="1" spans="1:19" ht="15">
      <c r="A1" s="8"/>
      <c r="B1" s="8"/>
      <c r="C1" s="8"/>
    </row>
    <row r="2" spans="1:19" ht="20.25">
      <c r="F2" s="376" t="s">
        <v>538</v>
      </c>
    </row>
    <row r="3" spans="1:19">
      <c r="H3" s="420"/>
      <c r="I3" s="420"/>
      <c r="J3" s="420"/>
      <c r="K3" s="420"/>
      <c r="L3" s="420"/>
      <c r="M3" s="420"/>
      <c r="N3" s="420"/>
      <c r="O3" s="420"/>
      <c r="P3" s="420"/>
      <c r="Q3" s="420"/>
      <c r="R3" s="420"/>
      <c r="S3" s="420"/>
    </row>
    <row r="5" spans="1:19" ht="18">
      <c r="F5" s="375" t="s">
        <v>505</v>
      </c>
    </row>
    <row r="8" spans="1:19">
      <c r="D8" s="377" t="s">
        <v>497</v>
      </c>
      <c r="E8" s="294"/>
      <c r="I8" t="s">
        <v>501</v>
      </c>
    </row>
    <row r="9" spans="1:19">
      <c r="E9" s="372"/>
    </row>
    <row r="10" spans="1:19">
      <c r="E10" s="373"/>
    </row>
    <row r="11" spans="1:19">
      <c r="E11" s="374"/>
      <c r="I11" t="s">
        <v>500</v>
      </c>
    </row>
    <row r="13" spans="1:19">
      <c r="D13" s="122"/>
    </row>
    <row r="14" spans="1:19">
      <c r="D14" s="122"/>
    </row>
    <row r="15" spans="1:19">
      <c r="D15" s="377" t="s">
        <v>195</v>
      </c>
      <c r="E15" s="294"/>
      <c r="I15" t="s">
        <v>502</v>
      </c>
    </row>
    <row r="16" spans="1:19">
      <c r="E16" s="372"/>
    </row>
    <row r="17" spans="4:9">
      <c r="E17" s="373"/>
    </row>
    <row r="18" spans="4:9">
      <c r="E18" s="374"/>
      <c r="I18" t="s">
        <v>499</v>
      </c>
    </row>
    <row r="19" spans="4:9">
      <c r="E19" s="372"/>
    </row>
    <row r="20" spans="4:9">
      <c r="E20" s="373"/>
    </row>
    <row r="21" spans="4:9">
      <c r="E21" s="374"/>
      <c r="I21" t="s">
        <v>558</v>
      </c>
    </row>
    <row r="25" spans="4:9">
      <c r="D25" s="377" t="s">
        <v>498</v>
      </c>
      <c r="E25" s="294"/>
      <c r="I25" t="s">
        <v>503</v>
      </c>
    </row>
    <row r="26" spans="4:9">
      <c r="E26" s="372"/>
    </row>
    <row r="27" spans="4:9">
      <c r="E27" s="373"/>
    </row>
    <row r="28" spans="4:9">
      <c r="E28" s="374"/>
      <c r="I28" t="s">
        <v>504</v>
      </c>
    </row>
  </sheetData>
  <sheetProtection objects="1" scenarios="1"/>
  <phoneticPr fontId="0" type="noConversion"/>
  <pageMargins left="0.75" right="0.75" top="1" bottom="1" header="0.5" footer="0.5"/>
  <pageSetup scale="65" orientation="landscape" horizontalDpi="4294967292" verticalDpi="0" r:id="rId1"/>
  <headerFooter alignWithMargins="0">
    <oddHeader>&amp;C&amp;"Arial,Bold"&amp;12Bear River Spreadsheet Model
Dry Year Conditions</oddHeader>
    <oddFooter>&amp;L&amp;F &amp;A&amp;RAPPENDIX A (Page &amp;P of &amp;N)</oddFooter>
  </headerFooter>
  <legacyDrawing r:id="rId2"/>
</worksheet>
</file>

<file path=xl/worksheets/sheet25.xml><?xml version="1.0" encoding="utf-8"?>
<worksheet xmlns="http://schemas.openxmlformats.org/spreadsheetml/2006/main" xmlns:r="http://schemas.openxmlformats.org/officeDocument/2006/relationships">
  <sheetPr codeName="Sheet24">
    <pageSetUpPr autoPageBreaks="0"/>
  </sheetPr>
  <dimension ref="A1:S167"/>
  <sheetViews>
    <sheetView showGridLines="0" zoomScale="75" zoomScaleNormal="75" workbookViewId="0">
      <pane ySplit="1" topLeftCell="A53" activePane="bottomLeft" state="frozen"/>
      <selection activeCell="B26" sqref="B26"/>
      <selection pane="bottomLeft" activeCell="L77" sqref="L77"/>
    </sheetView>
  </sheetViews>
  <sheetFormatPr defaultRowHeight="12.75"/>
  <cols>
    <col min="2" max="2" width="30.7109375" customWidth="1"/>
  </cols>
  <sheetData>
    <row r="1" spans="1:19" ht="78" customHeight="1">
      <c r="A1" s="2"/>
      <c r="B1" s="3"/>
      <c r="F1" s="321" t="s">
        <v>488</v>
      </c>
      <c r="N1" s="674" t="s">
        <v>541</v>
      </c>
      <c r="O1" s="674"/>
      <c r="P1" s="674"/>
      <c r="Q1" s="674"/>
      <c r="R1" s="674"/>
    </row>
    <row r="2" spans="1:19" ht="41.25" customHeight="1">
      <c r="A2" s="321" t="s">
        <v>383</v>
      </c>
      <c r="B2" s="321"/>
      <c r="C2" s="321"/>
    </row>
    <row r="3" spans="1:19" ht="18">
      <c r="B3" s="8"/>
      <c r="C3" s="4"/>
      <c r="D3" s="272"/>
      <c r="E3" s="272"/>
      <c r="F3" s="360"/>
      <c r="G3" s="360"/>
      <c r="H3" s="360"/>
      <c r="I3" s="360"/>
      <c r="J3" s="360"/>
      <c r="K3" s="360"/>
      <c r="L3" s="360"/>
      <c r="M3" s="360"/>
      <c r="N3" s="360"/>
      <c r="O3" s="360"/>
      <c r="P3" s="360"/>
      <c r="Q3" s="360"/>
      <c r="R3" s="420"/>
      <c r="S3" s="420"/>
    </row>
    <row r="4" spans="1:19" ht="13.5" thickBot="1">
      <c r="B4" s="4"/>
      <c r="C4" s="4"/>
      <c r="D4" s="272"/>
      <c r="E4" s="272"/>
      <c r="F4" s="272"/>
      <c r="G4" s="272"/>
      <c r="H4" s="272"/>
      <c r="I4" s="272"/>
      <c r="J4" s="272"/>
      <c r="K4" s="272"/>
      <c r="L4" s="272"/>
      <c r="M4" s="272"/>
      <c r="N4" s="272"/>
      <c r="O4" s="272"/>
      <c r="P4" s="4"/>
    </row>
    <row r="5" spans="1:19" ht="15">
      <c r="B5" s="281" t="s">
        <v>314</v>
      </c>
      <c r="C5" s="322" t="s">
        <v>80</v>
      </c>
      <c r="D5" s="11" t="s">
        <v>0</v>
      </c>
      <c r="E5" s="11" t="s">
        <v>1</v>
      </c>
      <c r="F5" s="11" t="s">
        <v>2</v>
      </c>
      <c r="G5" s="11" t="s">
        <v>3</v>
      </c>
      <c r="H5" s="11" t="s">
        <v>4</v>
      </c>
      <c r="I5" s="11" t="s">
        <v>5</v>
      </c>
      <c r="J5" s="11" t="s">
        <v>6</v>
      </c>
      <c r="K5" s="11" t="s">
        <v>7</v>
      </c>
      <c r="L5" s="11" t="s">
        <v>8</v>
      </c>
      <c r="M5" s="11" t="s">
        <v>9</v>
      </c>
      <c r="N5" s="11" t="s">
        <v>10</v>
      </c>
      <c r="O5" s="12" t="s">
        <v>11</v>
      </c>
      <c r="P5" s="4"/>
    </row>
    <row r="6" spans="1:19" ht="15">
      <c r="B6" s="298" t="s">
        <v>340</v>
      </c>
      <c r="C6" s="273">
        <v>1</v>
      </c>
      <c r="D6" s="274">
        <f>VLOOKUP($B6,'Reach 1'!$B$3:$O$210,3,FALSE)</f>
        <v>2385.0605176118456</v>
      </c>
      <c r="E6" s="274">
        <f>VLOOKUP($B6,'Reach 1'!$B$3:$O$210,4,FALSE)</f>
        <v>2733.4425891352939</v>
      </c>
      <c r="F6" s="274">
        <f>VLOOKUP($B6,'Reach 1'!$B$3:$O$210,5,FALSE)</f>
        <v>7596.7841295666813</v>
      </c>
      <c r="G6" s="274">
        <f>VLOOKUP($B6,'Reach 1'!$B$3:$O$210,6,FALSE)</f>
        <v>10183.269175647018</v>
      </c>
      <c r="H6" s="274">
        <f>VLOOKUP($B6,'Reach 1'!$B$3:$O$210,7,FALSE)</f>
        <v>32002.841687900087</v>
      </c>
      <c r="I6" s="274">
        <f>VLOOKUP($B6,'Reach 1'!$B$3:$O$210,8,FALSE)</f>
        <v>22890.977954094677</v>
      </c>
      <c r="J6" s="274">
        <f>VLOOKUP($B6,'Reach 1'!$B$3:$O$210,9,FALSE)</f>
        <v>7386.9669421487597</v>
      </c>
      <c r="K6" s="274">
        <f>VLOOKUP($B6,'Reach 1'!$B$3:$O$210,10,FALSE)</f>
        <v>3515.553719008265</v>
      </c>
      <c r="L6" s="274">
        <f>VLOOKUP($B6,'Reach 1'!$B$3:$O$210,11,FALSE)</f>
        <v>2795.2066115702478</v>
      </c>
      <c r="M6" s="274">
        <f>VLOOKUP($B6,'Reach 1'!$B$3:$O$210,12,FALSE)</f>
        <v>3160.4628099173551</v>
      </c>
      <c r="N6" s="274">
        <f>VLOOKUP($B6,'Reach 1'!$B$3:$O$210,13,FALSE)</f>
        <v>2829.4214876033056</v>
      </c>
      <c r="O6" s="275">
        <f>VLOOKUP($B6,'Reach 1'!$B$3:$O$210,14,FALSE)</f>
        <v>2511</v>
      </c>
      <c r="P6" s="4"/>
      <c r="Q6" s="96"/>
    </row>
    <row r="7" spans="1:19" ht="14.25">
      <c r="B7" s="298" t="s">
        <v>341</v>
      </c>
      <c r="C7" s="273">
        <v>1</v>
      </c>
      <c r="D7" s="274">
        <f>VLOOKUP($B7,'Reach 1'!$B$3:$O$210,3,FALSE)</f>
        <v>2385.0605176118456</v>
      </c>
      <c r="E7" s="274">
        <f>VLOOKUP($B7,'Reach 1'!$B$3:$O$210,4,FALSE)</f>
        <v>2733.4425891352939</v>
      </c>
      <c r="F7" s="274">
        <f>VLOOKUP($B7,'Reach 1'!$B$3:$O$210,5,FALSE)</f>
        <v>7596.7841295666813</v>
      </c>
      <c r="G7" s="274">
        <f>VLOOKUP($B7,'Reach 1'!$B$3:$O$210,6,FALSE)</f>
        <v>10183.269175647018</v>
      </c>
      <c r="H7" s="274">
        <f>VLOOKUP($B7,'Reach 1'!$B$3:$O$210,7,FALSE)</f>
        <v>31219.04477078862</v>
      </c>
      <c r="I7" s="274">
        <f>VLOOKUP($B7,'Reach 1'!$B$3:$O$210,8,FALSE)</f>
        <v>21950.58608626885</v>
      </c>
      <c r="J7" s="274">
        <f>VLOOKUP($B7,'Reach 1'!$B$3:$O$210,9,FALSE)</f>
        <v>6856.5102301005154</v>
      </c>
      <c r="K7" s="274">
        <f>VLOOKUP($B7,'Reach 1'!$B$3:$O$210,10,FALSE)</f>
        <v>3376.3230415594016</v>
      </c>
      <c r="L7" s="274">
        <f>VLOOKUP($B7,'Reach 1'!$B$3:$O$210,11,FALSE)</f>
        <v>2738.6267729299584</v>
      </c>
      <c r="M7" s="274">
        <f>VLOOKUP($B7,'Reach 1'!$B$3:$O$210,12,FALSE)</f>
        <v>3160.4628099173551</v>
      </c>
      <c r="N7" s="274">
        <f>VLOOKUP($B7,'Reach 1'!$B$3:$O$210,13,FALSE)</f>
        <v>2829.4214876033056</v>
      </c>
      <c r="O7" s="275">
        <f>VLOOKUP($B7,'Reach 1'!$B$3:$O$210,14,FALSE)</f>
        <v>2511</v>
      </c>
      <c r="P7" s="4"/>
    </row>
    <row r="8" spans="1:19" ht="15">
      <c r="B8" s="298" t="s">
        <v>342</v>
      </c>
      <c r="C8" s="273">
        <v>1</v>
      </c>
      <c r="D8" s="274">
        <f>VLOOKUP($B8,'Reach 1'!$B$3:$O$210,3,FALSE)</f>
        <v>2385.0605176118456</v>
      </c>
      <c r="E8" s="274">
        <f>VLOOKUP($B8,'Reach 1'!$B$3:$O$210,4,FALSE)</f>
        <v>2733.4425891352939</v>
      </c>
      <c r="F8" s="274">
        <f>VLOOKUP($B8,'Reach 1'!$B$3:$O$210,5,FALSE)</f>
        <v>7596.7841295666813</v>
      </c>
      <c r="G8" s="274">
        <f>VLOOKUP($B8,'Reach 1'!$B$3:$O$210,6,FALSE)</f>
        <v>10183.269175647018</v>
      </c>
      <c r="H8" s="274">
        <f>VLOOKUP($B8,'Reach 1'!$B$3:$O$210,7,FALSE)</f>
        <v>30108.824717897503</v>
      </c>
      <c r="I8" s="274">
        <f>VLOOKUP($B8,'Reach 1'!$B$3:$O$210,8,FALSE)</f>
        <v>20187.60447413455</v>
      </c>
      <c r="J8" s="274">
        <f>VLOOKUP($B8,'Reach 1'!$B$3:$O$210,9,FALSE)</f>
        <v>6096.8221237149783</v>
      </c>
      <c r="K8" s="274">
        <f>VLOOKUP($B8,'Reach 1'!$B$3:$O$210,10,FALSE)</f>
        <v>3219.9194891118809</v>
      </c>
      <c r="L8" s="274">
        <f>VLOOKUP($B8,'Reach 1'!$B$3:$O$210,11,FALSE)</f>
        <v>2571.1862496151857</v>
      </c>
      <c r="M8" s="274">
        <f>VLOOKUP($B8,'Reach 1'!$B$3:$O$210,12,FALSE)</f>
        <v>3160.4628099173551</v>
      </c>
      <c r="N8" s="274">
        <f>VLOOKUP($B8,'Reach 1'!$B$3:$O$210,13,FALSE)</f>
        <v>2829.4214876033056</v>
      </c>
      <c r="O8" s="275">
        <f>VLOOKUP($B8,'Reach 1'!$B$3:$O$210,14,FALSE)</f>
        <v>2511</v>
      </c>
      <c r="P8" s="4"/>
      <c r="R8" s="96"/>
    </row>
    <row r="9" spans="1:19" ht="15">
      <c r="B9" s="298" t="s">
        <v>343</v>
      </c>
      <c r="C9" s="273">
        <v>1</v>
      </c>
      <c r="D9" s="274">
        <f>VLOOKUP($B9,'Reach 1'!$B$3:$O$210,3,FALSE)</f>
        <v>2385.0605176118456</v>
      </c>
      <c r="E9" s="274">
        <f>VLOOKUP($B9,'Reach 1'!$B$3:$O$210,4,FALSE)</f>
        <v>2733.4425891352939</v>
      </c>
      <c r="F9" s="274">
        <f>VLOOKUP($B9,'Reach 1'!$B$3:$O$210,5,FALSE)</f>
        <v>7596.7841295666813</v>
      </c>
      <c r="G9" s="274">
        <f>VLOOKUP($B9,'Reach 1'!$B$3:$O$210,6,FALSE)</f>
        <v>10183.269175647018</v>
      </c>
      <c r="H9" s="274">
        <f>VLOOKUP($B9,'Reach 1'!$B$3:$O$210,7,FALSE)</f>
        <v>28143.19417168614</v>
      </c>
      <c r="I9" s="274">
        <f>VLOOKUP($B9,'Reach 1'!$B$3:$O$210,8,FALSE)</f>
        <v>16889.525638654282</v>
      </c>
      <c r="J9" s="274">
        <f>VLOOKUP($B9,'Reach 1'!$B$3:$O$210,9,FALSE)</f>
        <v>4412.6735628597098</v>
      </c>
      <c r="K9" s="274">
        <f>VLOOKUP($B9,'Reach 1'!$B$3:$O$210,10,FALSE)</f>
        <v>2687.5615301087819</v>
      </c>
      <c r="L9" s="274">
        <f>VLOOKUP($B9,'Reach 1'!$B$3:$O$210,11,FALSE)</f>
        <v>2162.1604857738635</v>
      </c>
      <c r="M9" s="274">
        <f>VLOOKUP($B9,'Reach 1'!$B$3:$O$210,12,FALSE)</f>
        <v>3160.4628099173551</v>
      </c>
      <c r="N9" s="274">
        <f>VLOOKUP($B9,'Reach 1'!$B$3:$O$210,13,FALSE)</f>
        <v>2829.4214876033056</v>
      </c>
      <c r="O9" s="275">
        <f>VLOOKUP($B9,'Reach 1'!$B$3:$O$210,14,FALSE)</f>
        <v>2511</v>
      </c>
      <c r="P9" s="96"/>
    </row>
    <row r="10" spans="1:19" ht="14.25">
      <c r="B10" s="298" t="s">
        <v>344</v>
      </c>
      <c r="C10" s="273">
        <v>1</v>
      </c>
      <c r="D10" s="274">
        <f>VLOOKUP($B10,'Reach 1'!$B$3:$O$210,3,FALSE)</f>
        <v>2385.0605176118456</v>
      </c>
      <c r="E10" s="274">
        <f>VLOOKUP($B10,'Reach 1'!$B$3:$O$210,4,FALSE)</f>
        <v>2733.4425891352939</v>
      </c>
      <c r="F10" s="274">
        <f>VLOOKUP($B10,'Reach 1'!$B$3:$O$210,5,FALSE)</f>
        <v>7596.7841295666813</v>
      </c>
      <c r="G10" s="274">
        <f>VLOOKUP($B10,'Reach 1'!$B$3:$O$210,6,FALSE)</f>
        <v>10183.269175647018</v>
      </c>
      <c r="H10" s="274">
        <f>VLOOKUP($B10,'Reach 1'!$B$3:$O$210,7,FALSE)</f>
        <v>27454.417718088931</v>
      </c>
      <c r="I10" s="274">
        <f>VLOOKUP($B10,'Reach 1'!$B$3:$O$210,8,FALSE)</f>
        <v>15415.32908510201</v>
      </c>
      <c r="J10" s="274">
        <f>VLOOKUP($B10,'Reach 1'!$B$3:$O$210,9,FALSE)</f>
        <v>3751.7890509395652</v>
      </c>
      <c r="K10" s="274">
        <f>VLOOKUP($B10,'Reach 1'!$B$3:$O$210,10,FALSE)</f>
        <v>2520.3676861235544</v>
      </c>
      <c r="L10" s="274">
        <f>VLOOKUP($B10,'Reach 1'!$B$3:$O$210,11,FALSE)</f>
        <v>2019.5866139029956</v>
      </c>
      <c r="M10" s="274">
        <f>VLOOKUP($B10,'Reach 1'!$B$3:$O$210,12,FALSE)</f>
        <v>3160.4628099173551</v>
      </c>
      <c r="N10" s="274">
        <f>VLOOKUP($B10,'Reach 1'!$B$3:$O$210,13,FALSE)</f>
        <v>2829.4214876033056</v>
      </c>
      <c r="O10" s="275">
        <f>VLOOKUP($B10,'Reach 1'!$B$3:$O$210,14,FALSE)</f>
        <v>2511</v>
      </c>
      <c r="P10" s="4"/>
    </row>
    <row r="11" spans="1:19" ht="14.25">
      <c r="B11" s="298" t="s">
        <v>345</v>
      </c>
      <c r="C11" s="273">
        <v>1</v>
      </c>
      <c r="D11" s="274">
        <f>VLOOKUP($B11,'Reach 1'!$B$3:$O$210,3,FALSE)</f>
        <v>2385.0605176118456</v>
      </c>
      <c r="E11" s="274">
        <f>VLOOKUP($B11,'Reach 1'!$B$3:$O$210,4,FALSE)</f>
        <v>2733.4425891352939</v>
      </c>
      <c r="F11" s="274">
        <f>VLOOKUP($B11,'Reach 1'!$B$3:$O$210,5,FALSE)</f>
        <v>7596.7841295666813</v>
      </c>
      <c r="G11" s="274">
        <f>VLOOKUP($B11,'Reach 1'!$B$3:$O$210,6,FALSE)</f>
        <v>10183.269175647018</v>
      </c>
      <c r="H11" s="274">
        <f>VLOOKUP($B11,'Reach 1'!$B$3:$O$210,7,FALSE)</f>
        <v>26388.06259278893</v>
      </c>
      <c r="I11" s="274">
        <f>VLOOKUP($B11,'Reach 1'!$B$3:$O$210,8,FALSE)</f>
        <v>14484.785431742403</v>
      </c>
      <c r="J11" s="274">
        <f>VLOOKUP($B11,'Reach 1'!$B$3:$O$210,9,FALSE)</f>
        <v>3430.4423029426644</v>
      </c>
      <c r="K11" s="274">
        <f>VLOOKUP($B11,'Reach 1'!$B$3:$O$210,10,FALSE)</f>
        <v>2388.3370680166331</v>
      </c>
      <c r="L11" s="274">
        <f>VLOOKUP($B11,'Reach 1'!$B$3:$O$210,11,FALSE)</f>
        <v>1949.9643417715906</v>
      </c>
      <c r="M11" s="274">
        <f>VLOOKUP($B11,'Reach 1'!$B$3:$O$210,12,FALSE)</f>
        <v>3160.4628099173551</v>
      </c>
      <c r="N11" s="274">
        <f>VLOOKUP($B11,'Reach 1'!$B$3:$O$210,13,FALSE)</f>
        <v>2829.4214876033056</v>
      </c>
      <c r="O11" s="275">
        <f>VLOOKUP($B11,'Reach 1'!$B$3:$O$210,14,FALSE)</f>
        <v>2511</v>
      </c>
      <c r="P11" s="4"/>
    </row>
    <row r="12" spans="1:19" ht="14.25">
      <c r="B12" s="298" t="s">
        <v>346</v>
      </c>
      <c r="C12" s="273">
        <v>1</v>
      </c>
      <c r="D12" s="274">
        <f>VLOOKUP($B12,'Reach 1'!$B$3:$O$210,3,FALSE)</f>
        <v>2385.0605176118456</v>
      </c>
      <c r="E12" s="274">
        <f>VLOOKUP($B12,'Reach 1'!$B$3:$O$210,4,FALSE)</f>
        <v>2733.4425891352939</v>
      </c>
      <c r="F12" s="274">
        <f>VLOOKUP($B12,'Reach 1'!$B$3:$O$210,5,FALSE)</f>
        <v>7596.7841295666813</v>
      </c>
      <c r="G12" s="274">
        <f>VLOOKUP($B12,'Reach 1'!$B$3:$O$210,6,FALSE)</f>
        <v>10183.269175647018</v>
      </c>
      <c r="H12" s="274">
        <f>VLOOKUP($B12,'Reach 1'!$B$3:$O$210,7,FALSE)</f>
        <v>26940.950266828673</v>
      </c>
      <c r="I12" s="274">
        <f>VLOOKUP($B12,'Reach 1'!$B$3:$O$210,8,FALSE)</f>
        <v>15177.755212953884</v>
      </c>
      <c r="J12" s="274">
        <f>VLOOKUP($B12,'Reach 1'!$B$3:$O$210,9,FALSE)</f>
        <v>3803.3193418029327</v>
      </c>
      <c r="K12" s="274">
        <f>VLOOKUP($B12,'Reach 1'!$B$3:$O$210,10,FALSE)</f>
        <v>2647.182470959036</v>
      </c>
      <c r="L12" s="274">
        <f>VLOOKUP($B12,'Reach 1'!$B$3:$O$210,11,FALSE)</f>
        <v>2077.5003652147016</v>
      </c>
      <c r="M12" s="274">
        <f>VLOOKUP($B12,'Reach 1'!$B$3:$O$210,12,FALSE)</f>
        <v>3207.5242325677541</v>
      </c>
      <c r="N12" s="274">
        <f>VLOOKUP($B12,'Reach 1'!$B$3:$O$210,13,FALSE)</f>
        <v>2841.9392796108564</v>
      </c>
      <c r="O12" s="275">
        <f>VLOOKUP($B12,'Reach 1'!$B$3:$O$210,14,FALSE)</f>
        <v>2512.2730463694065</v>
      </c>
      <c r="P12" s="4"/>
    </row>
    <row r="13" spans="1:19" ht="14.25">
      <c r="B13" s="298" t="s">
        <v>347</v>
      </c>
      <c r="C13" s="273">
        <v>1</v>
      </c>
      <c r="D13" s="274">
        <f>VLOOKUP($B13,'Reach 1'!$B$3:$O$210,3,FALSE)</f>
        <v>2385.0605176118456</v>
      </c>
      <c r="E13" s="274">
        <f>VLOOKUP($B13,'Reach 1'!$B$3:$O$210,4,FALSE)</f>
        <v>2733.4425891352939</v>
      </c>
      <c r="F13" s="274">
        <f>VLOOKUP($B13,'Reach 1'!$B$3:$O$210,5,FALSE)</f>
        <v>7596.7841295666813</v>
      </c>
      <c r="G13" s="274">
        <f>VLOOKUP($B13,'Reach 1'!$B$3:$O$210,6,FALSE)</f>
        <v>10183.269175647018</v>
      </c>
      <c r="H13" s="274">
        <f>VLOOKUP($B13,'Reach 1'!$B$3:$O$210,7,FALSE)</f>
        <v>27019.332934027098</v>
      </c>
      <c r="I13" s="274">
        <f>VLOOKUP($B13,'Reach 1'!$B$3:$O$210,8,FALSE)</f>
        <v>15305.134012850429</v>
      </c>
      <c r="J13" s="274">
        <f>VLOOKUP($B13,'Reach 1'!$B$3:$O$210,9,FALSE)</f>
        <v>3811.2831764446187</v>
      </c>
      <c r="K13" s="274">
        <f>VLOOKUP($B13,'Reach 1'!$B$3:$O$210,10,FALSE)</f>
        <v>2666.7674865779782</v>
      </c>
      <c r="L13" s="274">
        <f>VLOOKUP($B13,'Reach 1'!$B$3:$O$210,11,FALSE)</f>
        <v>2068.5840079466493</v>
      </c>
      <c r="M13" s="274">
        <f>VLOOKUP($B13,'Reach 1'!$B$3:$O$210,12,FALSE)</f>
        <v>3224.0347005197882</v>
      </c>
      <c r="N13" s="274">
        <f>VLOOKUP($B13,'Reach 1'!$B$3:$O$210,13,FALSE)</f>
        <v>2847.1432259341432</v>
      </c>
      <c r="O13" s="275">
        <f>VLOOKUP($B13,'Reach 1'!$B$3:$O$210,14,FALSE)</f>
        <v>2512.2730463694065</v>
      </c>
      <c r="P13" s="4"/>
    </row>
    <row r="14" spans="1:19" ht="14.25">
      <c r="B14" s="298" t="s">
        <v>348</v>
      </c>
      <c r="C14" s="273">
        <v>1</v>
      </c>
      <c r="D14" s="274">
        <f>VLOOKUP($B14,'Reach 1'!$B$3:$O$210,3,FALSE)</f>
        <v>2385.0605176118456</v>
      </c>
      <c r="E14" s="274">
        <f>VLOOKUP($B14,'Reach 1'!$B$3:$O$210,4,FALSE)</f>
        <v>2733.4425891352939</v>
      </c>
      <c r="F14" s="274">
        <f>VLOOKUP($B14,'Reach 1'!$B$3:$O$210,5,FALSE)</f>
        <v>7596.7841295666813</v>
      </c>
      <c r="G14" s="274">
        <f>VLOOKUP($B14,'Reach 1'!$B$3:$O$210,6,FALSE)</f>
        <v>10183.269175647018</v>
      </c>
      <c r="H14" s="274">
        <f>VLOOKUP($B14,'Reach 1'!$B$3:$O$210,7,FALSE)</f>
        <v>27292.355798651311</v>
      </c>
      <c r="I14" s="274">
        <f>VLOOKUP($B14,'Reach 1'!$B$3:$O$210,8,FALSE)</f>
        <v>15952.197421486007</v>
      </c>
      <c r="J14" s="274">
        <f>VLOOKUP($B14,'Reach 1'!$B$3:$O$210,9,FALSE)</f>
        <v>4399.3711953884367</v>
      </c>
      <c r="K14" s="274">
        <f>VLOOKUP($B14,'Reach 1'!$B$3:$O$210,10,FALSE)</f>
        <v>3008.3100252306663</v>
      </c>
      <c r="L14" s="274">
        <f>VLOOKUP($B14,'Reach 1'!$B$3:$O$210,11,FALSE)</f>
        <v>2307.1993401816735</v>
      </c>
      <c r="M14" s="274">
        <f>VLOOKUP($B14,'Reach 1'!$B$3:$O$210,12,FALSE)</f>
        <v>3310.6257137424213</v>
      </c>
      <c r="N14" s="274">
        <f>VLOOKUP($B14,'Reach 1'!$B$3:$O$210,13,FALSE)</f>
        <v>2870.0760420792244</v>
      </c>
      <c r="O14" s="275">
        <f>VLOOKUP($B14,'Reach 1'!$B$3:$O$210,14,FALSE)</f>
        <v>2515.2434878980216</v>
      </c>
      <c r="P14" s="4"/>
    </row>
    <row r="15" spans="1:19" ht="14.25">
      <c r="B15" s="298" t="s">
        <v>349</v>
      </c>
      <c r="C15" s="273">
        <v>1</v>
      </c>
      <c r="D15" s="274">
        <f>VLOOKUP($B15,'Reach 1'!$B$3:$O$210,3,FALSE)</f>
        <v>2385.0605176118456</v>
      </c>
      <c r="E15" s="274">
        <f>VLOOKUP($B15,'Reach 1'!$B$3:$O$210,4,FALSE)</f>
        <v>2733.4425891352939</v>
      </c>
      <c r="F15" s="274">
        <f>VLOOKUP($B15,'Reach 1'!$B$3:$O$210,5,FALSE)</f>
        <v>7596.7841295666813</v>
      </c>
      <c r="G15" s="274">
        <f>VLOOKUP($B15,'Reach 1'!$B$3:$O$210,6,FALSE)</f>
        <v>10183.269175647018</v>
      </c>
      <c r="H15" s="274">
        <f>VLOOKUP($B15,'Reach 1'!$B$3:$O$210,7,FALSE)</f>
        <v>27077.728062569287</v>
      </c>
      <c r="I15" s="274">
        <f>VLOOKUP($B15,'Reach 1'!$B$3:$O$210,8,FALSE)</f>
        <v>15705.083715343033</v>
      </c>
      <c r="J15" s="274">
        <f>VLOOKUP($B15,'Reach 1'!$B$3:$O$210,9,FALSE)</f>
        <v>4170.6031031659159</v>
      </c>
      <c r="K15" s="274">
        <f>VLOOKUP($B15,'Reach 1'!$B$3:$O$210,10,FALSE)</f>
        <v>2895.4906091036</v>
      </c>
      <c r="L15" s="274">
        <f>VLOOKUP($B15,'Reach 1'!$B$3:$O$210,11,FALSE)</f>
        <v>2206.9178871159711</v>
      </c>
      <c r="M15" s="274">
        <f>VLOOKUP($B15,'Reach 1'!$B$3:$O$210,12,FALSE)</f>
        <v>3310.6257137424213</v>
      </c>
      <c r="N15" s="274">
        <f>VLOOKUP($B15,'Reach 1'!$B$3:$O$210,13,FALSE)</f>
        <v>2870.0760420792244</v>
      </c>
      <c r="O15" s="275">
        <f>VLOOKUP($B15,'Reach 1'!$B$3:$O$210,14,FALSE)</f>
        <v>2515.2434878980216</v>
      </c>
      <c r="P15" s="4"/>
    </row>
    <row r="16" spans="1:19" ht="14.25">
      <c r="B16" s="298" t="s">
        <v>350</v>
      </c>
      <c r="C16" s="273">
        <v>1</v>
      </c>
      <c r="D16" s="274">
        <f>VLOOKUP($B16,'Reach 1'!$B$3:$O$210,3,FALSE)</f>
        <v>2385.0605176118456</v>
      </c>
      <c r="E16" s="274">
        <f>VLOOKUP($B16,'Reach 1'!$B$3:$O$210,4,FALSE)</f>
        <v>2733.4425891352939</v>
      </c>
      <c r="F16" s="274">
        <f>VLOOKUP($B16,'Reach 1'!$B$3:$O$210,5,FALSE)</f>
        <v>7596.7841295666813</v>
      </c>
      <c r="G16" s="274">
        <f>VLOOKUP($B16,'Reach 1'!$B$3:$O$210,6,FALSE)</f>
        <v>10183.269175647018</v>
      </c>
      <c r="H16" s="274">
        <f>VLOOKUP($B16,'Reach 1'!$B$3:$O$210,7,FALSE)</f>
        <v>26801.969125563366</v>
      </c>
      <c r="I16" s="274">
        <f>VLOOKUP($B16,'Reach 1'!$B$3:$O$210,8,FALSE)</f>
        <v>15236.272618374507</v>
      </c>
      <c r="J16" s="274">
        <f>VLOOKUP($B16,'Reach 1'!$B$3:$O$210,9,FALSE)</f>
        <v>3519.3560806773485</v>
      </c>
      <c r="K16" s="274">
        <f>VLOOKUP($B16,'Reach 1'!$B$3:$O$210,10,FALSE)</f>
        <v>2339.1757196932695</v>
      </c>
      <c r="L16" s="274">
        <f>VLOOKUP($B16,'Reach 1'!$B$3:$O$210,11,FALSE)</f>
        <v>1807.4698226979961</v>
      </c>
      <c r="M16" s="274">
        <f>VLOOKUP($B16,'Reach 1'!$B$3:$O$210,12,FALSE)</f>
        <v>3310.6257137424213</v>
      </c>
      <c r="N16" s="274">
        <f>VLOOKUP($B16,'Reach 1'!$B$3:$O$210,13,FALSE)</f>
        <v>2870.0760420792244</v>
      </c>
      <c r="O16" s="275">
        <f>VLOOKUP($B16,'Reach 1'!$B$3:$O$210,14,FALSE)</f>
        <v>2515.2434878980216</v>
      </c>
      <c r="P16" s="4"/>
    </row>
    <row r="17" spans="1:16" ht="14.25">
      <c r="B17" s="298" t="s">
        <v>351</v>
      </c>
      <c r="C17" s="273">
        <v>1</v>
      </c>
      <c r="D17" s="274">
        <f>VLOOKUP($B17,'Reach 1'!$B$3:$O$210,3,FALSE)</f>
        <v>2385.0605176118456</v>
      </c>
      <c r="E17" s="274">
        <f>VLOOKUP($B17,'Reach 1'!$B$3:$O$210,4,FALSE)</f>
        <v>2733.4425891352939</v>
      </c>
      <c r="F17" s="274">
        <f>VLOOKUP($B17,'Reach 1'!$B$3:$O$210,5,FALSE)</f>
        <v>7596.7841295666813</v>
      </c>
      <c r="G17" s="274">
        <f>VLOOKUP($B17,'Reach 1'!$B$3:$O$210,6,FALSE)</f>
        <v>10183.269175647018</v>
      </c>
      <c r="H17" s="274">
        <f>VLOOKUP($B17,'Reach 1'!$B$3:$O$210,7,FALSE)</f>
        <v>26433.746041229835</v>
      </c>
      <c r="I17" s="274">
        <f>VLOOKUP($B17,'Reach 1'!$B$3:$O$210,8,FALSE)</f>
        <v>14628.227810498278</v>
      </c>
      <c r="J17" s="274">
        <f>VLOOKUP($B17,'Reach 1'!$B$3:$O$210,9,FALSE)</f>
        <v>3154.2837472298761</v>
      </c>
      <c r="K17" s="274">
        <f>VLOOKUP($B17,'Reach 1'!$B$3:$O$210,10,FALSE)</f>
        <v>2163.0678058027561</v>
      </c>
      <c r="L17" s="274">
        <f>VLOOKUP($B17,'Reach 1'!$B$3:$O$210,11,FALSE)</f>
        <v>1641.8849548526109</v>
      </c>
      <c r="M17" s="274">
        <f>VLOOKUP($B17,'Reach 1'!$B$3:$O$210,12,FALSE)</f>
        <v>3321.0625327947532</v>
      </c>
      <c r="N17" s="274">
        <f>VLOOKUP($B17,'Reach 1'!$B$3:$O$210,13,FALSE)</f>
        <v>2872.0073185326532</v>
      </c>
      <c r="O17" s="275">
        <f>VLOOKUP($B17,'Reach 1'!$B$3:$O$210,14,FALSE)</f>
        <v>2515.2434878980216</v>
      </c>
      <c r="P17" s="4"/>
    </row>
    <row r="18" spans="1:16" ht="14.25">
      <c r="B18" s="298" t="s">
        <v>352</v>
      </c>
      <c r="C18" s="273">
        <v>1</v>
      </c>
      <c r="D18" s="274">
        <f>VLOOKUP($B18,'Reach 1'!$B$3:$O$210,3,FALSE)</f>
        <v>2385.0605176118456</v>
      </c>
      <c r="E18" s="274">
        <f>VLOOKUP($B18,'Reach 1'!$B$3:$O$210,4,FALSE)</f>
        <v>2733.4425891352939</v>
      </c>
      <c r="F18" s="274">
        <f>VLOOKUP($B18,'Reach 1'!$B$3:$O$210,5,FALSE)</f>
        <v>7596.7841295666813</v>
      </c>
      <c r="G18" s="274">
        <f>VLOOKUP($B18,'Reach 1'!$B$3:$O$210,6,FALSE)</f>
        <v>10183.269175647018</v>
      </c>
      <c r="H18" s="274">
        <f>VLOOKUP($B18,'Reach 1'!$B$3:$O$210,7,FALSE)</f>
        <v>26327.582239597323</v>
      </c>
      <c r="I18" s="274">
        <f>VLOOKUP($B18,'Reach 1'!$B$3:$O$210,8,FALSE)</f>
        <v>14432.89272812831</v>
      </c>
      <c r="J18" s="274">
        <f>VLOOKUP($B18,'Reach 1'!$B$3:$O$210,9,FALSE)</f>
        <v>3119.7172532360746</v>
      </c>
      <c r="K18" s="274">
        <f>VLOOKUP($B18,'Reach 1'!$B$3:$O$210,10,FALSE)</f>
        <v>2235.8888995019647</v>
      </c>
      <c r="L18" s="274">
        <f>VLOOKUP($B18,'Reach 1'!$B$3:$O$210,11,FALSE)</f>
        <v>1705.351564669927</v>
      </c>
      <c r="M18" s="274">
        <f>VLOOKUP($B18,'Reach 1'!$B$3:$O$210,12,FALSE)</f>
        <v>3342.9992953528463</v>
      </c>
      <c r="N18" s="274">
        <f>VLOOKUP($B18,'Reach 1'!$B$3:$O$210,13,FALSE)</f>
        <v>2879.0270202472525</v>
      </c>
      <c r="O18" s="275">
        <f>VLOOKUP($B18,'Reach 1'!$B$3:$O$210,14,FALSE)</f>
        <v>2515.2434878980216</v>
      </c>
      <c r="P18" s="4"/>
    </row>
    <row r="19" spans="1:16" ht="14.25">
      <c r="B19" s="298" t="s">
        <v>353</v>
      </c>
      <c r="C19" s="273">
        <v>1</v>
      </c>
      <c r="D19" s="274">
        <f>VLOOKUP($B19,'Reach 1'!$B$3:$O$210,3,FALSE)</f>
        <v>2385.0605176118456</v>
      </c>
      <c r="E19" s="274">
        <f>VLOOKUP($B19,'Reach 1'!$B$3:$O$210,4,FALSE)</f>
        <v>2733.4425891352939</v>
      </c>
      <c r="F19" s="274">
        <f>VLOOKUP($B19,'Reach 1'!$B$3:$O$210,5,FALSE)</f>
        <v>7596.7841295666813</v>
      </c>
      <c r="G19" s="274">
        <f>VLOOKUP($B19,'Reach 1'!$B$3:$O$210,6,FALSE)</f>
        <v>10183.269175647018</v>
      </c>
      <c r="H19" s="274">
        <f>VLOOKUP($B19,'Reach 1'!$B$3:$O$210,7,FALSE)</f>
        <v>26209.834441291434</v>
      </c>
      <c r="I19" s="274">
        <f>VLOOKUP($B19,'Reach 1'!$B$3:$O$210,8,FALSE)</f>
        <v>14177.829956578415</v>
      </c>
      <c r="J19" s="274">
        <f>VLOOKUP($B19,'Reach 1'!$B$3:$O$210,9,FALSE)</f>
        <v>2906.538514024091</v>
      </c>
      <c r="K19" s="274">
        <f>VLOOKUP($B19,'Reach 1'!$B$3:$O$210,10,FALSE)</f>
        <v>2099.1283538569232</v>
      </c>
      <c r="L19" s="274">
        <f>VLOOKUP($B19,'Reach 1'!$B$3:$O$210,11,FALSE)</f>
        <v>1662.459002686456</v>
      </c>
      <c r="M19" s="274">
        <f>VLOOKUP($B19,'Reach 1'!$B$3:$O$210,12,FALSE)</f>
        <v>3342.9992953528463</v>
      </c>
      <c r="N19" s="274">
        <f>VLOOKUP($B19,'Reach 1'!$B$3:$O$210,13,FALSE)</f>
        <v>2879.0270202472525</v>
      </c>
      <c r="O19" s="275">
        <f>VLOOKUP($B19,'Reach 1'!$B$3:$O$210,14,FALSE)</f>
        <v>2515.2434878980216</v>
      </c>
      <c r="P19" s="4"/>
    </row>
    <row r="20" spans="1:16" ht="14.25">
      <c r="B20" s="298" t="s">
        <v>354</v>
      </c>
      <c r="C20" s="273">
        <v>1</v>
      </c>
      <c r="D20" s="274">
        <f>VLOOKUP($B20,'Reach 1'!$B$3:$O$210,3,FALSE)</f>
        <v>2385.0605176118456</v>
      </c>
      <c r="E20" s="274">
        <f>VLOOKUP($B20,'Reach 1'!$B$3:$O$210,4,FALSE)</f>
        <v>2733.4425891352939</v>
      </c>
      <c r="F20" s="274">
        <f>VLOOKUP($B20,'Reach 1'!$B$3:$O$210,5,FALSE)</f>
        <v>7596.7841295666813</v>
      </c>
      <c r="G20" s="274">
        <f>VLOOKUP($B20,'Reach 1'!$B$3:$O$210,6,FALSE)</f>
        <v>10183.269175647018</v>
      </c>
      <c r="H20" s="274">
        <f>VLOOKUP($B20,'Reach 1'!$B$3:$O$210,7,FALSE)</f>
        <v>26130.143073524658</v>
      </c>
      <c r="I20" s="274">
        <f>VLOOKUP($B20,'Reach 1'!$B$3:$O$210,8,FALSE)</f>
        <v>13959.141005403633</v>
      </c>
      <c r="J20" s="274">
        <f>VLOOKUP($B20,'Reach 1'!$B$3:$O$210,9,FALSE)</f>
        <v>2728.8671094750034</v>
      </c>
      <c r="K20" s="274">
        <f>VLOOKUP($B20,'Reach 1'!$B$3:$O$210,10,FALSE)</f>
        <v>2049.7258394433975</v>
      </c>
      <c r="L20" s="274">
        <f>VLOOKUP($B20,'Reach 1'!$B$3:$O$210,11,FALSE)</f>
        <v>1638.4464163925873</v>
      </c>
      <c r="M20" s="274">
        <f>VLOOKUP($B20,'Reach 1'!$B$3:$O$210,12,FALSE)</f>
        <v>3347.6714793966953</v>
      </c>
      <c r="N20" s="274">
        <f>VLOOKUP($B20,'Reach 1'!$B$3:$O$210,13,FALSE)</f>
        <v>2880.2506053301295</v>
      </c>
      <c r="O20" s="275">
        <f>VLOOKUP($B20,'Reach 1'!$B$3:$O$210,14,FALSE)</f>
        <v>2515.2434878980216</v>
      </c>
      <c r="P20" s="4"/>
    </row>
    <row r="21" spans="1:16" ht="15" thickBot="1">
      <c r="B21" s="299"/>
      <c r="C21" s="276"/>
      <c r="D21" s="277"/>
      <c r="E21" s="277"/>
      <c r="F21" s="277"/>
      <c r="G21" s="277"/>
      <c r="H21" s="277"/>
      <c r="I21" s="277"/>
      <c r="J21" s="277"/>
      <c r="K21" s="277"/>
      <c r="L21" s="277"/>
      <c r="M21" s="277"/>
      <c r="N21" s="277"/>
      <c r="O21" s="278"/>
      <c r="P21" s="4"/>
    </row>
    <row r="22" spans="1:16" ht="14.25">
      <c r="B22" s="187"/>
      <c r="C22" s="4"/>
      <c r="D22" s="4"/>
      <c r="E22" s="4"/>
      <c r="F22" s="4"/>
      <c r="G22" s="4"/>
      <c r="H22" s="4"/>
      <c r="I22" s="4"/>
      <c r="J22" s="4"/>
      <c r="K22" s="4"/>
      <c r="L22" s="4"/>
      <c r="M22" s="4"/>
      <c r="N22" s="4"/>
      <c r="O22" s="4"/>
      <c r="P22" s="4"/>
    </row>
    <row r="23" spans="1:16" ht="15">
      <c r="A23" s="8" t="s">
        <v>283</v>
      </c>
      <c r="B23" s="8"/>
      <c r="C23" s="4"/>
      <c r="D23" s="272"/>
      <c r="E23" s="272"/>
      <c r="F23" s="272"/>
      <c r="G23" s="272"/>
      <c r="H23" s="272"/>
      <c r="I23" s="272"/>
      <c r="J23" s="272"/>
      <c r="K23" s="272"/>
      <c r="L23" s="272"/>
      <c r="M23" s="272"/>
      <c r="N23" s="272"/>
      <c r="O23" s="272"/>
    </row>
    <row r="24" spans="1:16" ht="13.5" thickBot="1">
      <c r="B24" s="4"/>
      <c r="C24" s="4"/>
      <c r="D24" s="272"/>
      <c r="E24" s="272"/>
      <c r="F24" s="272"/>
      <c r="G24" s="272"/>
      <c r="H24" s="272"/>
      <c r="I24" s="272"/>
      <c r="J24" s="272"/>
      <c r="K24" s="272"/>
      <c r="L24" s="272"/>
      <c r="M24" s="272"/>
      <c r="N24" s="272"/>
      <c r="O24" s="272"/>
    </row>
    <row r="25" spans="1:16" ht="15">
      <c r="B25" s="281" t="s">
        <v>314</v>
      </c>
      <c r="C25" s="322" t="s">
        <v>80</v>
      </c>
      <c r="D25" s="11" t="s">
        <v>0</v>
      </c>
      <c r="E25" s="11" t="s">
        <v>1</v>
      </c>
      <c r="F25" s="11" t="s">
        <v>2</v>
      </c>
      <c r="G25" s="11" t="s">
        <v>3</v>
      </c>
      <c r="H25" s="11" t="s">
        <v>4</v>
      </c>
      <c r="I25" s="11" t="s">
        <v>5</v>
      </c>
      <c r="J25" s="11" t="s">
        <v>6</v>
      </c>
      <c r="K25" s="11" t="s">
        <v>7</v>
      </c>
      <c r="L25" s="11" t="s">
        <v>8</v>
      </c>
      <c r="M25" s="11" t="s">
        <v>9</v>
      </c>
      <c r="N25" s="11" t="s">
        <v>10</v>
      </c>
      <c r="O25" s="12" t="s">
        <v>11</v>
      </c>
    </row>
    <row r="26" spans="1:16" ht="14.25">
      <c r="B26" s="298" t="s">
        <v>357</v>
      </c>
      <c r="C26" s="273">
        <v>2</v>
      </c>
      <c r="D26" s="274">
        <f>VLOOKUP($B26,'Reach 2'!$B$3:$O$63,3,FALSE)</f>
        <v>180.74770661157024</v>
      </c>
      <c r="E26" s="274">
        <f>VLOOKUP($B26,'Reach 2'!$B$3:$O$63,4,FALSE)</f>
        <v>188.46940082644628</v>
      </c>
      <c r="F26" s="274">
        <f>VLOOKUP($B26,'Reach 2'!$B$3:$O$63,5,FALSE)</f>
        <v>886.07324380165301</v>
      </c>
      <c r="G26" s="274">
        <f>VLOOKUP($B26,'Reach 2'!$B$3:$O$63,6,FALSE)</f>
        <v>1143.808367768595</v>
      </c>
      <c r="H26" s="274">
        <f>VLOOKUP($B26,'Reach 2'!$B$3:$O$63,7,FALSE)</f>
        <v>1487.0920454545453</v>
      </c>
      <c r="I26" s="274">
        <f>VLOOKUP($B26,'Reach 2'!$B$3:$O$63,8,FALSE)</f>
        <v>639.0879132231405</v>
      </c>
      <c r="J26" s="274">
        <f>VLOOKUP($B26,'Reach 2'!$B$3:$O$63,9,FALSE)</f>
        <v>162.32173553719008</v>
      </c>
      <c r="K26" s="274">
        <f>VLOOKUP($B26,'Reach 2'!$B$3:$O$63,10,FALSE)</f>
        <v>60.872789256198352</v>
      </c>
      <c r="L26" s="274">
        <f>VLOOKUP($B26,'Reach 2'!$B$3:$O$63,11,FALSE)</f>
        <v>49.380061983471073</v>
      </c>
      <c r="M26" s="274">
        <f>VLOOKUP($B26,'Reach 2'!$B$3:$O$63,12,FALSE)</f>
        <v>135.11683884297523</v>
      </c>
      <c r="N26" s="274">
        <f>VLOOKUP($B26,'Reach 2'!$B$3:$O$63,13,FALSE)</f>
        <v>195.62840909090909</v>
      </c>
      <c r="O26" s="275">
        <f>VLOOKUP($B26,'Reach 2'!$B$3:$O$63,14,FALSE)</f>
        <v>178.57035123966944</v>
      </c>
    </row>
    <row r="27" spans="1:16" ht="14.25">
      <c r="B27" s="298" t="s">
        <v>358</v>
      </c>
      <c r="C27" s="135">
        <v>2</v>
      </c>
      <c r="D27" s="274">
        <f>VLOOKUP($B27,'Reach 2'!$B$3:$O$63,3,FALSE)</f>
        <v>180.74770661157024</v>
      </c>
      <c r="E27" s="274">
        <f>VLOOKUP($B27,'Reach 2'!$B$3:$O$63,4,FALSE)</f>
        <v>188.46940082644628</v>
      </c>
      <c r="F27" s="274">
        <f>VLOOKUP($B27,'Reach 2'!$B$3:$O$63,5,FALSE)</f>
        <v>886.07324380165301</v>
      </c>
      <c r="G27" s="274">
        <f>VLOOKUP($B27,'Reach 2'!$B$3:$O$63,6,FALSE)</f>
        <v>1143.808367768595</v>
      </c>
      <c r="H27" s="274">
        <f>VLOOKUP($B27,'Reach 2'!$B$3:$O$63,7,FALSE)</f>
        <v>1487.0920454545453</v>
      </c>
      <c r="I27" s="274">
        <f>VLOOKUP($B27,'Reach 2'!$B$3:$O$63,8,FALSE)</f>
        <v>651.0879132231405</v>
      </c>
      <c r="J27" s="274">
        <f>VLOOKUP($B27,'Reach 2'!$B$3:$O$63,9,FALSE)</f>
        <v>174.32173553719008</v>
      </c>
      <c r="K27" s="274">
        <f>VLOOKUP($B27,'Reach 2'!$B$3:$O$63,10,FALSE)</f>
        <v>72.872789256198359</v>
      </c>
      <c r="L27" s="274">
        <f>VLOOKUP($B27,'Reach 2'!$B$3:$O$63,11,FALSE)</f>
        <v>61.380061983471073</v>
      </c>
      <c r="M27" s="274">
        <f>VLOOKUP($B27,'Reach 2'!$B$3:$O$63,12,FALSE)</f>
        <v>135.11683884297523</v>
      </c>
      <c r="N27" s="274">
        <f>VLOOKUP($B27,'Reach 2'!$B$3:$O$63,13,FALSE)</f>
        <v>195.62840909090909</v>
      </c>
      <c r="O27" s="275">
        <f>VLOOKUP($B27,'Reach 2'!$B$3:$O$63,14,FALSE)</f>
        <v>178.57035123966944</v>
      </c>
    </row>
    <row r="28" spans="1:16" ht="14.25">
      <c r="B28" s="298" t="s">
        <v>355</v>
      </c>
      <c r="C28" s="135">
        <v>2</v>
      </c>
      <c r="D28" s="274">
        <f>VLOOKUP($B28,'Reach 2'!$B$3:$O$63,3,FALSE)</f>
        <v>45.625</v>
      </c>
      <c r="E28" s="274">
        <f>VLOOKUP($B28,'Reach 2'!$B$3:$O$63,4,FALSE)</f>
        <v>20.375</v>
      </c>
      <c r="F28" s="274">
        <f>VLOOKUP($B28,'Reach 2'!$B$3:$O$63,5,FALSE)</f>
        <v>634.75</v>
      </c>
      <c r="G28" s="274">
        <f>VLOOKUP($B28,'Reach 2'!$B$3:$O$63,6,FALSE)</f>
        <v>1785.375</v>
      </c>
      <c r="H28" s="274">
        <f>VLOOKUP($B28,'Reach 2'!$B$3:$O$63,7,FALSE)</f>
        <v>2791.625</v>
      </c>
      <c r="I28" s="274">
        <f>VLOOKUP($B28,'Reach 2'!$B$3:$O$63,8,FALSE)</f>
        <v>1958.25</v>
      </c>
      <c r="J28" s="274">
        <f>VLOOKUP($B28,'Reach 2'!$B$3:$O$63,9,FALSE)</f>
        <v>1918.25</v>
      </c>
      <c r="K28" s="274">
        <f>VLOOKUP($B28,'Reach 2'!$B$3:$O$63,10,FALSE)</f>
        <v>1409.625</v>
      </c>
      <c r="L28" s="274">
        <f>VLOOKUP($B28,'Reach 2'!$B$3:$O$63,11,FALSE)</f>
        <v>1049.375</v>
      </c>
      <c r="M28" s="274">
        <f>VLOOKUP($B28,'Reach 2'!$B$3:$O$63,12,FALSE)</f>
        <v>191.04106886106808</v>
      </c>
      <c r="N28" s="274">
        <f>VLOOKUP($B28,'Reach 2'!$B$3:$O$63,13,FALSE)</f>
        <v>129.64490588506376</v>
      </c>
      <c r="O28" s="275">
        <f>VLOOKUP($B28,'Reach 2'!$B$3:$O$63,14,FALSE)</f>
        <v>150.5181632220125</v>
      </c>
    </row>
    <row r="29" spans="1:16" ht="15" thickBot="1">
      <c r="B29" s="299" t="s">
        <v>356</v>
      </c>
      <c r="C29" s="180">
        <v>2</v>
      </c>
      <c r="D29" s="277">
        <f>VLOOKUP($B29,'Reach 2'!$B$3:$O$63,3,FALSE)</f>
        <v>47.221060994555671</v>
      </c>
      <c r="E29" s="277">
        <f>VLOOKUP($B29,'Reach 2'!$B$3:$O$63,4,FALSE)</f>
        <v>44.15200092494775</v>
      </c>
      <c r="F29" s="277">
        <f>VLOOKUP($B29,'Reach 2'!$B$3:$O$63,5,FALSE)</f>
        <v>794.27676484899939</v>
      </c>
      <c r="G29" s="277">
        <f>VLOOKUP($B29,'Reach 2'!$B$3:$O$63,6,FALSE)</f>
        <v>1888.3379982755275</v>
      </c>
      <c r="H29" s="277">
        <f>VLOOKUP($B29,'Reach 2'!$B$3:$O$63,7,FALSE)</f>
        <v>3182.5242559388757</v>
      </c>
      <c r="I29" s="277">
        <f>VLOOKUP($B29,'Reach 2'!$B$3:$O$63,8,FALSE)</f>
        <v>2615.8601584700518</v>
      </c>
      <c r="J29" s="277">
        <f>VLOOKUP($B29,'Reach 2'!$B$3:$O$63,9,FALSE)</f>
        <v>2353.399713786846</v>
      </c>
      <c r="K29" s="277">
        <f>VLOOKUP($B29,'Reach 2'!$B$3:$O$63,10,FALSE)</f>
        <v>1788.559989783324</v>
      </c>
      <c r="L29" s="277">
        <f>VLOOKUP($B29,'Reach 2'!$B$3:$O$63,11,FALSE)</f>
        <v>1338.9576172910315</v>
      </c>
      <c r="M29" s="277">
        <f>VLOOKUP($B29,'Reach 2'!$B$3:$O$63,12,FALSE)</f>
        <v>310.84168507305247</v>
      </c>
      <c r="N29" s="277">
        <f>VLOOKUP($B29,'Reach 2'!$B$3:$O$63,13,FALSE)</f>
        <v>167.32815640716296</v>
      </c>
      <c r="O29" s="278">
        <f>VLOOKUP($B29,'Reach 2'!$B$3:$O$63,14,FALSE)</f>
        <v>163.27976705386178</v>
      </c>
    </row>
    <row r="31" spans="1:16" ht="15">
      <c r="A31" s="8" t="s">
        <v>284</v>
      </c>
      <c r="B31" s="8"/>
      <c r="C31" s="4"/>
      <c r="D31" s="272"/>
      <c r="E31" s="272"/>
      <c r="F31" s="272"/>
      <c r="G31" s="272"/>
      <c r="H31" s="272"/>
      <c r="I31" s="272"/>
      <c r="J31" s="272"/>
      <c r="K31" s="272"/>
      <c r="L31" s="272"/>
      <c r="M31" s="272"/>
      <c r="N31" s="272"/>
      <c r="O31" s="272"/>
    </row>
    <row r="32" spans="1:16" ht="13.5" thickBot="1">
      <c r="B32" s="4"/>
      <c r="C32" s="4"/>
      <c r="D32" s="272"/>
      <c r="E32" s="272"/>
      <c r="F32" s="272"/>
      <c r="G32" s="272"/>
      <c r="H32" s="272"/>
      <c r="I32" s="272"/>
      <c r="J32" s="272"/>
      <c r="K32" s="272"/>
      <c r="L32" s="272"/>
      <c r="M32" s="272"/>
      <c r="N32" s="272"/>
      <c r="O32" s="272"/>
    </row>
    <row r="33" spans="1:15" ht="15">
      <c r="B33" s="281" t="s">
        <v>314</v>
      </c>
      <c r="C33" s="322" t="s">
        <v>80</v>
      </c>
      <c r="D33" s="11" t="s">
        <v>0</v>
      </c>
      <c r="E33" s="11" t="s">
        <v>1</v>
      </c>
      <c r="F33" s="11" t="s">
        <v>2</v>
      </c>
      <c r="G33" s="11" t="s">
        <v>3</v>
      </c>
      <c r="H33" s="11" t="s">
        <v>4</v>
      </c>
      <c r="I33" s="11" t="s">
        <v>5</v>
      </c>
      <c r="J33" s="11" t="s">
        <v>6</v>
      </c>
      <c r="K33" s="11" t="s">
        <v>7</v>
      </c>
      <c r="L33" s="11" t="s">
        <v>8</v>
      </c>
      <c r="M33" s="11" t="s">
        <v>9</v>
      </c>
      <c r="N33" s="11" t="s">
        <v>10</v>
      </c>
      <c r="O33" s="12" t="s">
        <v>11</v>
      </c>
    </row>
    <row r="34" spans="1:15" ht="14.25">
      <c r="B34" s="134" t="s">
        <v>285</v>
      </c>
      <c r="C34" s="273">
        <v>3</v>
      </c>
      <c r="D34" s="274">
        <f>VLOOKUP($B34,'Reach 3'!$B$3:$O$66,3,FALSE)</f>
        <v>2432.2815786064011</v>
      </c>
      <c r="E34" s="274">
        <f>VLOOKUP($B34,'Reach 3'!$B$3:$O$66,4,FALSE)</f>
        <v>2776.5945900602419</v>
      </c>
      <c r="F34" s="274">
        <f>VLOOKUP($B34,'Reach 3'!$B$3:$O$66,5,FALSE)</f>
        <v>8389.0608944156811</v>
      </c>
      <c r="G34" s="274">
        <f>VLOOKUP($B34,'Reach 3'!$B$3:$O$66,6,FALSE)</f>
        <v>12068.607173922544</v>
      </c>
      <c r="H34" s="274">
        <f>VLOOKUP($B34,'Reach 3'!$B$3:$O$66,7,FALSE)</f>
        <v>29411.863691963532</v>
      </c>
      <c r="I34" s="274">
        <f>VLOOKUP($B34,'Reach 3'!$B$3:$O$66,8,FALSE)</f>
        <v>16863.828378873684</v>
      </c>
      <c r="J34" s="274">
        <f>VLOOKUP($B34,'Reach 3'!$B$3:$O$66,9,FALSE)</f>
        <v>5446.749573261849</v>
      </c>
      <c r="K34" s="274">
        <f>VLOOKUP($B34,'Reach 3'!$B$3:$O$66,10,FALSE)</f>
        <v>4061.1844542267213</v>
      </c>
      <c r="L34" s="274">
        <f>VLOOKUP($B34,'Reach 3'!$B$3:$O$66,11,FALSE)</f>
        <v>3080.6761561836188</v>
      </c>
      <c r="M34" s="274">
        <f>VLOOKUP($B34,'Reach 3'!$B$3:$O$66,12,FALSE)</f>
        <v>3676.7295844697478</v>
      </c>
      <c r="N34" s="274">
        <f>VLOOKUP($B34,'Reach 3'!$B$3:$O$66,13,FALSE)</f>
        <v>3043.1816667372927</v>
      </c>
      <c r="O34" s="275">
        <f>VLOOKUP($B34,'Reach 3'!$B$3:$O$66,14,FALSE)</f>
        <v>2667.5232549518832</v>
      </c>
    </row>
    <row r="35" spans="1:15" ht="14.25">
      <c r="B35" s="134" t="s">
        <v>286</v>
      </c>
      <c r="C35" s="273">
        <v>3</v>
      </c>
      <c r="D35" s="274">
        <f>VLOOKUP($B35,'Reach 3'!$B$3:$O$66,3,FALSE)</f>
        <v>2432.2815786064011</v>
      </c>
      <c r="E35" s="274">
        <f>VLOOKUP($B35,'Reach 3'!$B$3:$O$66,4,FALSE)</f>
        <v>2776.5945900602419</v>
      </c>
      <c r="F35" s="274">
        <f>VLOOKUP($B35,'Reach 3'!$B$3:$O$66,5,FALSE)</f>
        <v>8389.0608944156811</v>
      </c>
      <c r="G35" s="274">
        <f>VLOOKUP($B35,'Reach 3'!$B$3:$O$66,6,FALSE)</f>
        <v>12068.607173922544</v>
      </c>
      <c r="H35" s="274">
        <f>VLOOKUP($B35,'Reach 3'!$B$3:$O$66,7,FALSE)</f>
        <v>29092.320095166193</v>
      </c>
      <c r="I35" s="274">
        <f>VLOOKUP($B35,'Reach 3'!$B$3:$O$66,8,FALSE)</f>
        <v>16223.316419171213</v>
      </c>
      <c r="J35" s="274">
        <f>VLOOKUP($B35,'Reach 3'!$B$3:$O$66,9,FALSE)</f>
        <v>4987.5339958493469</v>
      </c>
      <c r="K35" s="274">
        <f>VLOOKUP($B35,'Reach 3'!$B$3:$O$66,10,FALSE)</f>
        <v>3756.1521724211598</v>
      </c>
      <c r="L35" s="274">
        <f>VLOOKUP($B35,'Reach 3'!$B$3:$O$66,11,FALSE)</f>
        <v>3014.0581145381434</v>
      </c>
      <c r="M35" s="274">
        <f>VLOOKUP($B35,'Reach 3'!$B$3:$O$66,12,FALSE)</f>
        <v>3724.5674610272631</v>
      </c>
      <c r="N35" s="274">
        <f>VLOOKUP($B35,'Reach 3'!$B$3:$O$66,13,FALSE)</f>
        <v>3057.9453570360665</v>
      </c>
      <c r="O35" s="275">
        <f>VLOOKUP($B35,'Reach 3'!$B$3:$O$66,14,FALSE)</f>
        <v>2667.5232549518832</v>
      </c>
    </row>
    <row r="36" spans="1:15" ht="14.25">
      <c r="B36" s="134" t="s">
        <v>287</v>
      </c>
      <c r="C36" s="273">
        <v>3</v>
      </c>
      <c r="D36" s="274">
        <f>VLOOKUP($B36,'Reach 3'!$B$3:$O$66,3,FALSE)</f>
        <v>2432.2815786064011</v>
      </c>
      <c r="E36" s="274">
        <f>VLOOKUP($B36,'Reach 3'!$B$3:$O$66,4,FALSE)</f>
        <v>2776.5945900602419</v>
      </c>
      <c r="F36" s="274">
        <f>VLOOKUP($B36,'Reach 3'!$B$3:$O$66,5,FALSE)</f>
        <v>8389.0608944156811</v>
      </c>
      <c r="G36" s="274">
        <f>VLOOKUP($B36,'Reach 3'!$B$3:$O$66,6,FALSE)</f>
        <v>12068.607173922544</v>
      </c>
      <c r="H36" s="274">
        <f>VLOOKUP($B36,'Reach 3'!$B$3:$O$66,7,FALSE)</f>
        <v>28821.33404156</v>
      </c>
      <c r="I36" s="274">
        <f>VLOOKUP($B36,'Reach 3'!$B$3:$O$66,8,FALSE)</f>
        <v>16304.137807868316</v>
      </c>
      <c r="J36" s="274">
        <f>VLOOKUP($B36,'Reach 3'!$B$3:$O$66,9,FALSE)</f>
        <v>4231.8520128381942</v>
      </c>
      <c r="K36" s="274">
        <f>VLOOKUP($B36,'Reach 3'!$B$3:$O$66,10,FALSE)</f>
        <v>2031.1662327383378</v>
      </c>
      <c r="L36" s="274">
        <f>VLOOKUP($B36,'Reach 3'!$B$3:$O$66,11,FALSE)</f>
        <v>1409.2499312710886</v>
      </c>
      <c r="M36" s="274">
        <f>VLOOKUP($B36,'Reach 3'!$B$3:$O$66,12,FALSE)</f>
        <v>1842.5320540929499</v>
      </c>
      <c r="N36" s="274">
        <f>VLOOKUP($B36,'Reach 3'!$B$3:$O$66,13,FALSE)</f>
        <v>2645.6056948834093</v>
      </c>
      <c r="O36" s="275">
        <f>VLOOKUP($B36,'Reach 3'!$B$3:$O$66,14,FALSE)</f>
        <v>2383.8663127583577</v>
      </c>
    </row>
    <row r="37" spans="1:15" ht="15.75" thickBot="1">
      <c r="B37" s="24"/>
      <c r="C37" s="276"/>
      <c r="D37" s="277"/>
      <c r="E37" s="277"/>
      <c r="F37" s="277"/>
      <c r="G37" s="277"/>
      <c r="H37" s="277"/>
      <c r="I37" s="277"/>
      <c r="J37" s="277"/>
      <c r="K37" s="277"/>
      <c r="L37" s="277"/>
      <c r="M37" s="277"/>
      <c r="N37" s="277"/>
      <c r="O37" s="278"/>
    </row>
    <row r="39" spans="1:15" ht="15">
      <c r="A39" s="8" t="s">
        <v>288</v>
      </c>
      <c r="B39" s="8"/>
      <c r="C39" s="4"/>
      <c r="D39" s="272"/>
      <c r="E39" s="272"/>
      <c r="F39" s="272"/>
      <c r="G39" s="272"/>
      <c r="H39" s="272"/>
      <c r="I39" s="272"/>
      <c r="J39" s="272"/>
      <c r="K39" s="272"/>
      <c r="L39" s="272"/>
      <c r="M39" s="272"/>
      <c r="N39" s="272"/>
      <c r="O39" s="272"/>
    </row>
    <row r="40" spans="1:15" ht="13.5" thickBot="1">
      <c r="B40" s="4"/>
      <c r="C40" s="4"/>
      <c r="D40" s="272"/>
      <c r="E40" s="272"/>
      <c r="F40" s="272"/>
      <c r="G40" s="272"/>
      <c r="H40" s="272"/>
      <c r="I40" s="272"/>
      <c r="J40" s="272"/>
      <c r="K40" s="272"/>
      <c r="L40" s="272"/>
      <c r="M40" s="272"/>
      <c r="N40" s="272"/>
      <c r="O40" s="272"/>
    </row>
    <row r="41" spans="1:15" ht="15">
      <c r="B41" s="281" t="s">
        <v>314</v>
      </c>
      <c r="C41" s="322" t="s">
        <v>80</v>
      </c>
      <c r="D41" s="11" t="s">
        <v>0</v>
      </c>
      <c r="E41" s="11" t="s">
        <v>1</v>
      </c>
      <c r="F41" s="11" t="s">
        <v>2</v>
      </c>
      <c r="G41" s="11" t="s">
        <v>3</v>
      </c>
      <c r="H41" s="11" t="s">
        <v>4</v>
      </c>
      <c r="I41" s="11" t="s">
        <v>5</v>
      </c>
      <c r="J41" s="11" t="s">
        <v>6</v>
      </c>
      <c r="K41" s="11" t="s">
        <v>7</v>
      </c>
      <c r="L41" s="11" t="s">
        <v>8</v>
      </c>
      <c r="M41" s="11" t="s">
        <v>9</v>
      </c>
      <c r="N41" s="11" t="s">
        <v>10</v>
      </c>
      <c r="O41" s="12" t="s">
        <v>11</v>
      </c>
    </row>
    <row r="42" spans="1:15" ht="14.25">
      <c r="B42" s="134" t="s">
        <v>289</v>
      </c>
      <c r="C42" s="273">
        <v>4</v>
      </c>
      <c r="D42" s="274">
        <f>VLOOKUP($B42,'Reach 4'!$B$3:$O$100,3,FALSE)</f>
        <v>2432.2815786064011</v>
      </c>
      <c r="E42" s="274">
        <f>VLOOKUP($B42,'Reach 4'!$B$3:$O$100,4,FALSE)</f>
        <v>2776.5945900602419</v>
      </c>
      <c r="F42" s="274">
        <f>VLOOKUP($B42,'Reach 4'!$B$3:$O$100,5,FALSE)</f>
        <v>8389.0608944156811</v>
      </c>
      <c r="G42" s="274">
        <f>VLOOKUP($B42,'Reach 4'!$B$3:$O$100,6,FALSE)</f>
        <v>12068.607173922544</v>
      </c>
      <c r="H42" s="274">
        <f>VLOOKUP($B42,'Reach 4'!$B$3:$O$100,7,FALSE)</f>
        <v>28821.33404156</v>
      </c>
      <c r="I42" s="274">
        <f>VLOOKUP($B42,'Reach 4'!$B$3:$O$100,8,FALSE)</f>
        <v>16304.137807868316</v>
      </c>
      <c r="J42" s="274">
        <f>VLOOKUP($B42,'Reach 4'!$B$3:$O$100,9,FALSE)</f>
        <v>4231.8520128381942</v>
      </c>
      <c r="K42" s="274">
        <f>VLOOKUP($B42,'Reach 4'!$B$3:$O$100,10,FALSE)</f>
        <v>2031.1662327383378</v>
      </c>
      <c r="L42" s="274">
        <f>VLOOKUP($B42,'Reach 4'!$B$3:$O$100,11,FALSE)</f>
        <v>1409.2499312710886</v>
      </c>
      <c r="M42" s="274">
        <f>VLOOKUP($B42,'Reach 4'!$B$3:$O$100,12,FALSE)</f>
        <v>1842.5320540929499</v>
      </c>
      <c r="N42" s="274">
        <f>VLOOKUP($B42,'Reach 4'!$B$3:$O$100,13,FALSE)</f>
        <v>2645.6056948834093</v>
      </c>
      <c r="O42" s="275">
        <f>VLOOKUP($B42,'Reach 4'!$B$3:$O$100,14,FALSE)</f>
        <v>2383.8663127583577</v>
      </c>
    </row>
    <row r="43" spans="1:15" ht="14.25">
      <c r="B43" s="134" t="s">
        <v>290</v>
      </c>
      <c r="C43" s="273">
        <v>4</v>
      </c>
      <c r="D43" s="274">
        <f>VLOOKUP($B43,'Reach 4'!$B$3:$O$100,3,FALSE)</f>
        <v>2432.2815786064011</v>
      </c>
      <c r="E43" s="274">
        <f>VLOOKUP($B43,'Reach 4'!$B$3:$O$100,4,FALSE)</f>
        <v>2776.5945900602419</v>
      </c>
      <c r="F43" s="274">
        <f>VLOOKUP($B43,'Reach 4'!$B$3:$O$100,5,FALSE)</f>
        <v>8389.0608944156811</v>
      </c>
      <c r="G43" s="274">
        <f>VLOOKUP($B43,'Reach 4'!$B$3:$O$100,6,FALSE)</f>
        <v>12068.607173922544</v>
      </c>
      <c r="H43" s="274">
        <f>VLOOKUP($B43,'Reach 4'!$B$3:$O$100,7,FALSE)</f>
        <v>28324.48475944078</v>
      </c>
      <c r="I43" s="274">
        <f>VLOOKUP($B43,'Reach 4'!$B$3:$O$100,8,FALSE)</f>
        <v>15932.694294928731</v>
      </c>
      <c r="J43" s="274">
        <f>VLOOKUP($B43,'Reach 4'!$B$3:$O$100,9,FALSE)</f>
        <v>4106.0570979942322</v>
      </c>
      <c r="K43" s="274">
        <f>VLOOKUP($B43,'Reach 4'!$B$3:$O$100,10,FALSE)</f>
        <v>1908.4405731831503</v>
      </c>
      <c r="L43" s="274">
        <f>VLOOKUP($B43,'Reach 4'!$B$3:$O$100,11,FALSE)</f>
        <v>1308.2066083790091</v>
      </c>
      <c r="M43" s="274">
        <f>VLOOKUP($B43,'Reach 4'!$B$3:$O$100,12,FALSE)</f>
        <v>1872.2069850879202</v>
      </c>
      <c r="N43" s="274">
        <f>VLOOKUP($B43,'Reach 4'!$B$3:$O$100,13,FALSE)</f>
        <v>2653.7961760443891</v>
      </c>
      <c r="O43" s="275">
        <f>VLOOKUP($B43,'Reach 4'!$B$3:$O$100,14,FALSE)</f>
        <v>2383.8663127583577</v>
      </c>
    </row>
    <row r="44" spans="1:15" ht="14.25">
      <c r="B44" s="134" t="s">
        <v>291</v>
      </c>
      <c r="C44" s="273">
        <v>4</v>
      </c>
      <c r="D44" s="274">
        <f>VLOOKUP($B44,'Reach 4'!$B$3:$O$100,3,FALSE)</f>
        <v>2432.2815786064011</v>
      </c>
      <c r="E44" s="274">
        <f>VLOOKUP($B44,'Reach 4'!$B$3:$O$100,4,FALSE)</f>
        <v>2776.5945900602419</v>
      </c>
      <c r="F44" s="274">
        <f>VLOOKUP($B44,'Reach 4'!$B$3:$O$100,5,FALSE)</f>
        <v>8389.0608944156811</v>
      </c>
      <c r="G44" s="274">
        <f>VLOOKUP($B44,'Reach 4'!$B$3:$O$100,6,FALSE)</f>
        <v>12068.607173922544</v>
      </c>
      <c r="H44" s="274">
        <f>VLOOKUP($B44,'Reach 4'!$B$3:$O$100,7,FALSE)</f>
        <v>27776.124152339933</v>
      </c>
      <c r="I44" s="274">
        <f>VLOOKUP($B44,'Reach 4'!$B$3:$O$100,8,FALSE)</f>
        <v>15564.364423445566</v>
      </c>
      <c r="J44" s="274">
        <f>VLOOKUP($B44,'Reach 4'!$B$3:$O$100,9,FALSE)</f>
        <v>4043.1715256667385</v>
      </c>
      <c r="K44" s="274">
        <f>VLOOKUP($B44,'Reach 4'!$B$3:$O$100,10,FALSE)</f>
        <v>1899.5002473723716</v>
      </c>
      <c r="L44" s="274">
        <f>VLOOKUP($B44,'Reach 4'!$B$3:$O$100,11,FALSE)</f>
        <v>1308.6833791565628</v>
      </c>
      <c r="M44" s="274">
        <f>VLOOKUP($B44,'Reach 4'!$B$3:$O$100,12,FALSE)</f>
        <v>1904.2252498124187</v>
      </c>
      <c r="N44" s="274">
        <f>VLOOKUP($B44,'Reach 4'!$B$3:$O$100,13,FALSE)</f>
        <v>2663.2998441688705</v>
      </c>
      <c r="O44" s="275">
        <f>VLOOKUP($B44,'Reach 4'!$B$3:$O$100,14,FALSE)</f>
        <v>2383.8663127583577</v>
      </c>
    </row>
    <row r="45" spans="1:15" ht="14.25">
      <c r="B45" s="134" t="s">
        <v>454</v>
      </c>
      <c r="C45" s="273">
        <v>4</v>
      </c>
      <c r="D45" s="274">
        <f>VLOOKUP($B45,'Reach 4'!$B$3:$O$100,3,FALSE)</f>
        <v>2432.2815786064011</v>
      </c>
      <c r="E45" s="274">
        <f>VLOOKUP($B45,'Reach 4'!$B$3:$O$100,4,FALSE)</f>
        <v>2776.5945900602419</v>
      </c>
      <c r="F45" s="274">
        <f>VLOOKUP($B45,'Reach 4'!$B$3:$O$100,5,FALSE)</f>
        <v>8389.0608944156811</v>
      </c>
      <c r="G45" s="274">
        <f>VLOOKUP($B45,'Reach 4'!$B$3:$O$100,6,FALSE)</f>
        <v>12068.607173922544</v>
      </c>
      <c r="H45" s="274">
        <f>VLOOKUP($B45,'Reach 4'!$B$3:$O$100,7,FALSE)</f>
        <v>27773.1774194475</v>
      </c>
      <c r="I45" s="274">
        <f>VLOOKUP($B45,'Reach 4'!$B$3:$O$100,8,FALSE)</f>
        <v>15060.764087770245</v>
      </c>
      <c r="J45" s="274">
        <f>VLOOKUP($B45,'Reach 4'!$B$3:$O$100,9,FALSE)</f>
        <v>3485.2002001883425</v>
      </c>
      <c r="K45" s="274">
        <f>VLOOKUP($B45,'Reach 4'!$B$3:$O$100,10,FALSE)</f>
        <v>1762.7149470699435</v>
      </c>
      <c r="L45" s="274">
        <f>VLOOKUP($B45,'Reach 4'!$B$3:$O$100,11,FALSE)</f>
        <v>1298.6356075197345</v>
      </c>
      <c r="M45" s="274">
        <f>VLOOKUP($B45,'Reach 4'!$B$3:$O$100,12,FALSE)</f>
        <v>1939.9125056675823</v>
      </c>
      <c r="N45" s="274">
        <f>VLOOKUP($B45,'Reach 4'!$B$3:$O$100,13,FALSE)</f>
        <v>2673.6268041904791</v>
      </c>
      <c r="O45" s="275">
        <f>VLOOKUP($B45,'Reach 4'!$B$3:$O$100,14,FALSE)</f>
        <v>2383.8663127583577</v>
      </c>
    </row>
    <row r="46" spans="1:15" ht="15.75" thickBot="1">
      <c r="B46" s="24"/>
      <c r="C46" s="276"/>
      <c r="D46" s="277"/>
      <c r="E46" s="277"/>
      <c r="F46" s="277"/>
      <c r="G46" s="277"/>
      <c r="H46" s="277"/>
      <c r="I46" s="277"/>
      <c r="J46" s="277"/>
      <c r="K46" s="277"/>
      <c r="L46" s="277"/>
      <c r="M46" s="277"/>
      <c r="N46" s="277"/>
      <c r="O46" s="278"/>
    </row>
    <row r="48" spans="1:15" ht="15">
      <c r="A48" s="8" t="s">
        <v>292</v>
      </c>
      <c r="B48" s="8"/>
      <c r="C48" s="4"/>
      <c r="D48" s="272"/>
      <c r="E48" s="272"/>
      <c r="F48" s="272"/>
      <c r="G48" s="272"/>
      <c r="H48" s="272"/>
      <c r="I48" s="272"/>
      <c r="J48" s="272"/>
      <c r="K48" s="272"/>
      <c r="L48" s="272"/>
      <c r="M48" s="272"/>
      <c r="N48" s="272"/>
      <c r="O48" s="272"/>
    </row>
    <row r="49" spans="1:15" ht="13.5" thickBot="1">
      <c r="B49" s="4"/>
      <c r="C49" s="4"/>
      <c r="D49" s="272"/>
      <c r="E49" s="272"/>
      <c r="F49" s="272"/>
      <c r="G49" s="272"/>
      <c r="H49" s="272"/>
      <c r="I49" s="272"/>
      <c r="J49" s="272"/>
      <c r="K49" s="272"/>
      <c r="L49" s="272"/>
      <c r="M49" s="272"/>
      <c r="N49" s="272"/>
      <c r="O49" s="272"/>
    </row>
    <row r="50" spans="1:15" ht="15">
      <c r="B50" s="281" t="s">
        <v>314</v>
      </c>
      <c r="C50" s="322" t="s">
        <v>80</v>
      </c>
      <c r="D50" s="11" t="s">
        <v>0</v>
      </c>
      <c r="E50" s="11" t="s">
        <v>1</v>
      </c>
      <c r="F50" s="11" t="s">
        <v>2</v>
      </c>
      <c r="G50" s="11" t="s">
        <v>3</v>
      </c>
      <c r="H50" s="11" t="s">
        <v>4</v>
      </c>
      <c r="I50" s="11" t="s">
        <v>5</v>
      </c>
      <c r="J50" s="11" t="s">
        <v>6</v>
      </c>
      <c r="K50" s="11" t="s">
        <v>7</v>
      </c>
      <c r="L50" s="11" t="s">
        <v>8</v>
      </c>
      <c r="M50" s="11" t="s">
        <v>9</v>
      </c>
      <c r="N50" s="11" t="s">
        <v>10</v>
      </c>
      <c r="O50" s="12" t="s">
        <v>11</v>
      </c>
    </row>
    <row r="51" spans="1:15" ht="14.25">
      <c r="B51" s="134" t="s">
        <v>293</v>
      </c>
      <c r="C51" s="273">
        <v>5</v>
      </c>
      <c r="D51" s="274">
        <f>VLOOKUP($B51,'Reach 5'!$B$3:$O$68,3,FALSE)</f>
        <v>2432.2815786064011</v>
      </c>
      <c r="E51" s="274">
        <f>VLOOKUP($B51,'Reach 5'!$B$3:$O$68,4,FALSE)</f>
        <v>2776.5945900602419</v>
      </c>
      <c r="F51" s="274">
        <f>VLOOKUP($B51,'Reach 5'!$B$3:$O$68,5,FALSE)</f>
        <v>8389.0608944156811</v>
      </c>
      <c r="G51" s="274">
        <f>VLOOKUP($B51,'Reach 5'!$B$3:$O$68,6,FALSE)</f>
        <v>12068.607173922544</v>
      </c>
      <c r="H51" s="274">
        <f>VLOOKUP($B51,'Reach 5'!$B$3:$O$68,7,FALSE)</f>
        <v>27883.480994249869</v>
      </c>
      <c r="I51" s="274">
        <f>VLOOKUP($B51,'Reach 5'!$B$3:$O$68,8,FALSE)</f>
        <v>15248.288526557655</v>
      </c>
      <c r="J51" s="274">
        <f>VLOOKUP($B51,'Reach 5'!$B$3:$O$68,9,FALSE)</f>
        <v>3745.6990091837697</v>
      </c>
      <c r="K51" s="274">
        <f>VLOOKUP($B51,'Reach 5'!$B$3:$O$68,10,FALSE)</f>
        <v>1985.2409028340758</v>
      </c>
      <c r="L51" s="274">
        <f>VLOOKUP($B51,'Reach 5'!$B$3:$O$68,11,FALSE)</f>
        <v>1458.4148332869245</v>
      </c>
      <c r="M51" s="274">
        <f>VLOOKUP($B51,'Reach 5'!$B$3:$O$68,12,FALSE)</f>
        <v>1939.9125056675823</v>
      </c>
      <c r="N51" s="274">
        <f>VLOOKUP($B51,'Reach 5'!$B$3:$O$68,13,FALSE)</f>
        <v>2673.6268041904791</v>
      </c>
      <c r="O51" s="275">
        <f>VLOOKUP($B51,'Reach 5'!$B$3:$O$68,14,FALSE)</f>
        <v>2383.8663127583577</v>
      </c>
    </row>
    <row r="52" spans="1:15" ht="14.25">
      <c r="B52" s="134" t="s">
        <v>294</v>
      </c>
      <c r="C52" s="273">
        <v>5</v>
      </c>
      <c r="D52" s="274">
        <f>VLOOKUP($B52,'Reach 5'!$B$3:$O$68,3,FALSE)</f>
        <v>2432.2815786064011</v>
      </c>
      <c r="E52" s="274">
        <f>VLOOKUP($B52,'Reach 5'!$B$3:$O$68,4,FALSE)</f>
        <v>2776.5945900602419</v>
      </c>
      <c r="F52" s="274">
        <f>VLOOKUP($B52,'Reach 5'!$B$3:$O$68,5,FALSE)</f>
        <v>8389.0608944156811</v>
      </c>
      <c r="G52" s="274">
        <f>VLOOKUP($B52,'Reach 5'!$B$3:$O$68,6,FALSE)</f>
        <v>12068.607173922544</v>
      </c>
      <c r="H52" s="274">
        <f>VLOOKUP($B52,'Reach 5'!$B$3:$O$68,7,FALSE)</f>
        <v>25196.470903237601</v>
      </c>
      <c r="I52" s="274">
        <f>VLOOKUP($B52,'Reach 5'!$B$3:$O$68,8,FALSE)</f>
        <v>13085.8595952</v>
      </c>
      <c r="J52" s="274">
        <f>VLOOKUP($B52,'Reach 5'!$B$3:$O$68,9,FALSE)</f>
        <v>2944.171413345508</v>
      </c>
      <c r="K52" s="274">
        <f>VLOOKUP($B52,'Reach 5'!$B$3:$O$68,10,FALSE)</f>
        <v>1994.8314650910484</v>
      </c>
      <c r="L52" s="274">
        <f>VLOOKUP($B52,'Reach 5'!$B$3:$O$68,11,FALSE)</f>
        <v>1327.5390661319145</v>
      </c>
      <c r="M52" s="274">
        <f>VLOOKUP($B52,'Reach 5'!$B$3:$O$68,12,FALSE)</f>
        <v>1992.2091017500186</v>
      </c>
      <c r="N52" s="274">
        <f>VLOOKUP($B52,'Reach 5'!$B$3:$O$68,13,FALSE)</f>
        <v>2686.1498400798564</v>
      </c>
      <c r="O52" s="275">
        <f>VLOOKUP($B52,'Reach 5'!$B$3:$O$68,14,FALSE)</f>
        <v>2383.8663127583577</v>
      </c>
    </row>
    <row r="53" spans="1:15" ht="14.25">
      <c r="B53" s="134" t="s">
        <v>295</v>
      </c>
      <c r="C53" s="273">
        <v>5</v>
      </c>
      <c r="D53" s="274">
        <f>VLOOKUP($B53,'Reach 5'!$B$3:$O$68,3,FALSE)</f>
        <v>2432.2815786064011</v>
      </c>
      <c r="E53" s="274">
        <f>VLOOKUP($B53,'Reach 5'!$B$3:$O$68,4,FALSE)</f>
        <v>2776.5945900602419</v>
      </c>
      <c r="F53" s="274">
        <f>VLOOKUP($B53,'Reach 5'!$B$3:$O$68,5,FALSE)</f>
        <v>8389.0608944156811</v>
      </c>
      <c r="G53" s="274">
        <f>VLOOKUP($B53,'Reach 5'!$B$3:$O$68,6,FALSE)</f>
        <v>12068.607173922544</v>
      </c>
      <c r="H53" s="274">
        <f>VLOOKUP($B53,'Reach 5'!$B$3:$O$68,7,FALSE)</f>
        <v>24967.501429079955</v>
      </c>
      <c r="I53" s="274">
        <f>VLOOKUP($B53,'Reach 5'!$B$3:$O$68,8,FALSE)</f>
        <v>12891.179156200104</v>
      </c>
      <c r="J53" s="274">
        <f>VLOOKUP($B53,'Reach 5'!$B$3:$O$68,9,FALSE)</f>
        <v>2804.8349669693716</v>
      </c>
      <c r="K53" s="274">
        <f>VLOOKUP($B53,'Reach 5'!$B$3:$O$68,10,FALSE)</f>
        <v>1946.2546516539617</v>
      </c>
      <c r="L53" s="274">
        <f>VLOOKUP($B53,'Reach 5'!$B$3:$O$68,11,FALSE)</f>
        <v>1252.2051145934847</v>
      </c>
      <c r="M53" s="274">
        <f>VLOOKUP($B53,'Reach 5'!$B$3:$O$68,12,FALSE)</f>
        <v>1992.2091017500186</v>
      </c>
      <c r="N53" s="274">
        <f>VLOOKUP($B53,'Reach 5'!$B$3:$O$68,13,FALSE)</f>
        <v>2686.1498400798564</v>
      </c>
      <c r="O53" s="275">
        <f>VLOOKUP($B53,'Reach 5'!$B$3:$O$68,14,FALSE)</f>
        <v>2383.8663127583577</v>
      </c>
    </row>
    <row r="54" spans="1:15" ht="14.25">
      <c r="B54" s="134" t="s">
        <v>296</v>
      </c>
      <c r="C54" s="273">
        <v>5</v>
      </c>
      <c r="D54" s="274">
        <f>VLOOKUP($B54,'Reach 5'!$B$3:$O$68,3,FALSE)</f>
        <v>2432.2815786064011</v>
      </c>
      <c r="E54" s="274">
        <f>VLOOKUP($B54,'Reach 5'!$B$3:$O$68,4,FALSE)</f>
        <v>2776.5945900602419</v>
      </c>
      <c r="F54" s="274">
        <f>VLOOKUP($B54,'Reach 5'!$B$3:$O$68,5,FALSE)</f>
        <v>8389.0608944156811</v>
      </c>
      <c r="G54" s="274">
        <f>VLOOKUP($B54,'Reach 5'!$B$3:$O$68,6,FALSE)</f>
        <v>12068.607173922544</v>
      </c>
      <c r="H54" s="274">
        <f>VLOOKUP($B54,'Reach 5'!$B$3:$O$68,7,FALSE)</f>
        <v>26402.340043473498</v>
      </c>
      <c r="I54" s="274">
        <f>VLOOKUP($B54,'Reach 5'!$B$3:$O$68,8,FALSE)</f>
        <v>14438.335994800846</v>
      </c>
      <c r="J54" s="274">
        <f>VLOOKUP($B54,'Reach 5'!$B$3:$O$68,9,FALSE)</f>
        <v>3835.9229088206275</v>
      </c>
      <c r="K54" s="274">
        <f>VLOOKUP($B54,'Reach 5'!$B$3:$O$68,10,FALSE)</f>
        <v>2449.3209833875776</v>
      </c>
      <c r="L54" s="274">
        <f>VLOOKUP($B54,'Reach 5'!$B$3:$O$68,11,FALSE)</f>
        <v>1553.0571620592095</v>
      </c>
      <c r="M54" s="274">
        <f>VLOOKUP($B54,'Reach 5'!$B$3:$O$68,12,FALSE)</f>
        <v>2074.0830480951195</v>
      </c>
      <c r="N54" s="274">
        <f>VLOOKUP($B54,'Reach 5'!$B$3:$O$68,13,FALSE)</f>
        <v>2712.2939496725521</v>
      </c>
      <c r="O54" s="275">
        <f>VLOOKUP($B54,'Reach 5'!$B$3:$O$68,14,FALSE)</f>
        <v>2383.8663127583577</v>
      </c>
    </row>
    <row r="55" spans="1:15" ht="15.75" thickBot="1">
      <c r="B55" s="24"/>
      <c r="C55" s="276"/>
      <c r="D55" s="277"/>
      <c r="E55" s="277"/>
      <c r="F55" s="277"/>
      <c r="G55" s="277"/>
      <c r="H55" s="277"/>
      <c r="I55" s="277"/>
      <c r="J55" s="277"/>
      <c r="K55" s="277"/>
      <c r="L55" s="277"/>
      <c r="M55" s="277"/>
      <c r="N55" s="277"/>
      <c r="O55" s="278"/>
    </row>
    <row r="57" spans="1:15" ht="15">
      <c r="A57" s="8" t="s">
        <v>298</v>
      </c>
      <c r="B57" s="8"/>
      <c r="C57" s="4"/>
      <c r="D57" s="272"/>
      <c r="E57" s="272"/>
      <c r="F57" s="272"/>
      <c r="G57" s="272"/>
      <c r="H57" s="272"/>
      <c r="I57" s="272"/>
      <c r="J57" s="272"/>
      <c r="K57" s="272"/>
      <c r="L57" s="272"/>
      <c r="M57" s="272"/>
      <c r="N57" s="272"/>
      <c r="O57" s="272"/>
    </row>
    <row r="58" spans="1:15" ht="13.5" thickBot="1">
      <c r="B58" s="4"/>
      <c r="C58" s="4"/>
      <c r="D58" s="272"/>
      <c r="E58" s="272"/>
      <c r="F58" s="272"/>
      <c r="G58" s="272"/>
      <c r="H58" s="272"/>
      <c r="I58" s="272"/>
      <c r="J58" s="272"/>
      <c r="K58" s="272"/>
      <c r="L58" s="272"/>
      <c r="M58" s="272"/>
      <c r="N58" s="272"/>
      <c r="O58" s="272"/>
    </row>
    <row r="59" spans="1:15" ht="15">
      <c r="B59" s="281" t="s">
        <v>314</v>
      </c>
      <c r="C59" s="322" t="s">
        <v>80</v>
      </c>
      <c r="D59" s="11" t="s">
        <v>0</v>
      </c>
      <c r="E59" s="11" t="s">
        <v>1</v>
      </c>
      <c r="F59" s="11" t="s">
        <v>2</v>
      </c>
      <c r="G59" s="11" t="s">
        <v>3</v>
      </c>
      <c r="H59" s="11" t="s">
        <v>4</v>
      </c>
      <c r="I59" s="11" t="s">
        <v>5</v>
      </c>
      <c r="J59" s="11" t="s">
        <v>6</v>
      </c>
      <c r="K59" s="11" t="s">
        <v>7</v>
      </c>
      <c r="L59" s="11" t="s">
        <v>8</v>
      </c>
      <c r="M59" s="11" t="s">
        <v>9</v>
      </c>
      <c r="N59" s="11" t="s">
        <v>10</v>
      </c>
      <c r="O59" s="12" t="s">
        <v>11</v>
      </c>
    </row>
    <row r="60" spans="1:15" ht="14.25">
      <c r="B60" s="134" t="s">
        <v>299</v>
      </c>
      <c r="C60" s="273">
        <v>6</v>
      </c>
      <c r="D60" s="274">
        <f>VLOOKUP($B60,'Reach 6'!$B$3:$O$61,3,FALSE)</f>
        <v>2041.0809917355368</v>
      </c>
      <c r="E60" s="274">
        <f>VLOOKUP($B60,'Reach 6'!$B$3:$O$61,4,FALSE)</f>
        <v>2221.2892561983472</v>
      </c>
      <c r="F60" s="274">
        <f>VLOOKUP($B60,'Reach 6'!$B$3:$O$61,5,FALSE)</f>
        <v>7039.5619834710742</v>
      </c>
      <c r="G60" s="274">
        <f>VLOOKUP($B60,'Reach 6'!$B$3:$O$61,6,FALSE)</f>
        <v>8908.5123966942119</v>
      </c>
      <c r="H60" s="274">
        <f>VLOOKUP($B60,'Reach 6'!$B$3:$O$61,7,FALSE)</f>
        <v>19755.198347107431</v>
      </c>
      <c r="I60" s="274">
        <f>VLOOKUP($B60,'Reach 6'!$B$3:$O$61,8,FALSE)</f>
        <v>12860.330578512398</v>
      </c>
      <c r="J60" s="274">
        <f>VLOOKUP($B60,'Reach 6'!$B$3:$O$61,9,FALSE)</f>
        <v>2092.4231404958682</v>
      </c>
      <c r="K60" s="274">
        <f>VLOOKUP($B60,'Reach 6'!$B$3:$O$61,10,FALSE)</f>
        <v>936.75595041322413</v>
      </c>
      <c r="L60" s="274">
        <f>VLOOKUP($B60,'Reach 6'!$B$3:$O$61,11,FALSE)</f>
        <v>626.2066115702479</v>
      </c>
      <c r="M60" s="274">
        <f>VLOOKUP($B60,'Reach 6'!$B$3:$O$61,12,FALSE)</f>
        <v>994.79256198347116</v>
      </c>
      <c r="N60" s="274">
        <f>VLOOKUP($B60,'Reach 6'!$B$3:$O$61,13,FALSE)</f>
        <v>1899.7438016528927</v>
      </c>
      <c r="O60" s="275">
        <f>VLOOKUP($B60,'Reach 6'!$B$3:$O$61,14,FALSE)</f>
        <v>1958.4570247933884</v>
      </c>
    </row>
    <row r="61" spans="1:15" ht="14.25">
      <c r="B61" s="134" t="s">
        <v>300</v>
      </c>
      <c r="C61" s="273">
        <v>6</v>
      </c>
      <c r="D61" s="274">
        <f>VLOOKUP($B61,'Reach 6'!$B$3:$O$61,3,FALSE)</f>
        <v>1073</v>
      </c>
      <c r="E61" s="274">
        <f>VLOOKUP($B61,'Reach 6'!$B$3:$O$61,4,FALSE)</f>
        <v>1019.7142857142857</v>
      </c>
      <c r="F61" s="274">
        <f>VLOOKUP($B61,'Reach 6'!$B$3:$O$61,5,FALSE)</f>
        <v>1156.2857142857142</v>
      </c>
      <c r="G61" s="274">
        <f>VLOOKUP($B61,'Reach 6'!$B$3:$O$61,6,FALSE)</f>
        <v>3145.7142857142858</v>
      </c>
      <c r="H61" s="274">
        <f>VLOOKUP($B61,'Reach 6'!$B$3:$O$61,7,FALSE)</f>
        <v>24891.428571428572</v>
      </c>
      <c r="I61" s="274">
        <f>VLOOKUP($B61,'Reach 6'!$B$3:$O$61,8,FALSE)</f>
        <v>38200</v>
      </c>
      <c r="J61" s="274">
        <f>VLOOKUP($B61,'Reach 6'!$B$3:$O$61,9,FALSE)</f>
        <v>3296.1620830850188</v>
      </c>
      <c r="K61" s="274">
        <f>VLOOKUP($B61,'Reach 6'!$B$3:$O$61,10,FALSE)</f>
        <v>436.56218561390688</v>
      </c>
      <c r="L61" s="274">
        <f>VLOOKUP($B61,'Reach 6'!$B$3:$O$61,11,FALSE)</f>
        <v>296.59081496045565</v>
      </c>
      <c r="M61" s="274">
        <f>VLOOKUP($B61,'Reach 6'!$B$3:$O$61,12,FALSE)</f>
        <v>713.42857142857144</v>
      </c>
      <c r="N61" s="274">
        <f>VLOOKUP($B61,'Reach 6'!$B$3:$O$61,13,FALSE)</f>
        <v>685.28571428571433</v>
      </c>
      <c r="O61" s="275">
        <f>VLOOKUP($B61,'Reach 6'!$B$3:$O$61,14,FALSE)</f>
        <v>832.85714285714289</v>
      </c>
    </row>
    <row r="62" spans="1:15" ht="13.5" thickBot="1">
      <c r="B62" s="179"/>
      <c r="C62" s="180"/>
      <c r="D62" s="180"/>
      <c r="E62" s="180"/>
      <c r="F62" s="180"/>
      <c r="G62" s="180"/>
      <c r="H62" s="180"/>
      <c r="I62" s="180"/>
      <c r="J62" s="180"/>
      <c r="K62" s="180"/>
      <c r="L62" s="180"/>
      <c r="M62" s="180"/>
      <c r="N62" s="180"/>
      <c r="O62" s="280"/>
    </row>
    <row r="64" spans="1:15" ht="15">
      <c r="A64" s="8" t="s">
        <v>301</v>
      </c>
      <c r="B64" s="8"/>
      <c r="C64" s="4"/>
      <c r="D64" s="272"/>
      <c r="E64" s="272"/>
      <c r="F64" s="272"/>
      <c r="G64" s="272"/>
      <c r="H64" s="272"/>
      <c r="I64" s="272"/>
      <c r="J64" s="272"/>
      <c r="K64" s="272"/>
      <c r="L64" s="272"/>
      <c r="M64" s="272"/>
      <c r="N64" s="272"/>
      <c r="O64" s="272"/>
    </row>
    <row r="65" spans="1:15" ht="13.5" thickBot="1">
      <c r="B65" s="4"/>
      <c r="C65" s="4"/>
      <c r="D65" s="272"/>
      <c r="E65" s="272"/>
      <c r="F65" s="272"/>
      <c r="G65" s="272"/>
      <c r="H65" s="272"/>
      <c r="I65" s="272"/>
      <c r="J65" s="272"/>
      <c r="K65" s="272"/>
      <c r="L65" s="272"/>
      <c r="M65" s="272"/>
      <c r="N65" s="272"/>
      <c r="O65" s="272"/>
    </row>
    <row r="66" spans="1:15" ht="15">
      <c r="B66" s="281" t="s">
        <v>314</v>
      </c>
      <c r="C66" s="322" t="s">
        <v>80</v>
      </c>
      <c r="D66" s="11" t="s">
        <v>0</v>
      </c>
      <c r="E66" s="11" t="s">
        <v>1</v>
      </c>
      <c r="F66" s="11" t="s">
        <v>2</v>
      </c>
      <c r="G66" s="11" t="s">
        <v>3</v>
      </c>
      <c r="H66" s="11" t="s">
        <v>4</v>
      </c>
      <c r="I66" s="11" t="s">
        <v>5</v>
      </c>
      <c r="J66" s="11" t="s">
        <v>6</v>
      </c>
      <c r="K66" s="11" t="s">
        <v>7</v>
      </c>
      <c r="L66" s="11" t="s">
        <v>8</v>
      </c>
      <c r="M66" s="11" t="s">
        <v>9</v>
      </c>
      <c r="N66" s="11" t="s">
        <v>10</v>
      </c>
      <c r="O66" s="12" t="s">
        <v>11</v>
      </c>
    </row>
    <row r="67" spans="1:15" ht="14.25">
      <c r="B67" s="134" t="s">
        <v>302</v>
      </c>
      <c r="C67" s="273">
        <v>7</v>
      </c>
      <c r="D67" s="274">
        <f>VLOOKUP($B67,'Reach 7'!$B$3:$O$72,3,FALSE)</f>
        <v>1490.3873818181817</v>
      </c>
      <c r="E67" s="274">
        <f>VLOOKUP($B67,'Reach 7'!$B$3:$O$72,4,FALSE)</f>
        <v>1035.2837617473433</v>
      </c>
      <c r="F67" s="274">
        <f>VLOOKUP($B67,'Reach 7'!$B$3:$O$72,5,FALSE)</f>
        <v>3147.5702531286897</v>
      </c>
      <c r="G67" s="274">
        <f>VLOOKUP($B67,'Reach 7'!$B$3:$O$72,6,FALSE)</f>
        <v>3928.4707443919719</v>
      </c>
      <c r="H67" s="274">
        <f>VLOOKUP($B67,'Reach 7'!$B$3:$O$72,7,FALSE)</f>
        <v>30545.099147636531</v>
      </c>
      <c r="I67" s="274">
        <f>VLOOKUP($B67,'Reach 7'!$B$3:$O$72,8,FALSE)</f>
        <v>57047.315918223365</v>
      </c>
      <c r="J67" s="274">
        <f>VLOOKUP($B67,'Reach 7'!$B$3:$O$72,9,FALSE)</f>
        <v>10115.987733244052</v>
      </c>
      <c r="K67" s="274">
        <f>VLOOKUP($B67,'Reach 7'!$B$3:$O$72,10,FALSE)</f>
        <v>2495.9063840378626</v>
      </c>
      <c r="L67" s="274">
        <f>VLOOKUP($B67,'Reach 7'!$B$3:$O$72,11,FALSE)</f>
        <v>2241.848892787144</v>
      </c>
      <c r="M67" s="274">
        <f>VLOOKUP($B67,'Reach 7'!$B$3:$O$72,12,FALSE)</f>
        <v>1259.9743710104185</v>
      </c>
      <c r="N67" s="274">
        <f>VLOOKUP($B67,'Reach 7'!$B$3:$O$72,13,FALSE)</f>
        <v>1656.1633257768017</v>
      </c>
      <c r="O67" s="275">
        <f>VLOOKUP($B67,'Reach 7'!$B$3:$O$72,14,FALSE)</f>
        <v>1500.7758155844156</v>
      </c>
    </row>
    <row r="68" spans="1:15" ht="14.25">
      <c r="B68" s="134" t="s">
        <v>303</v>
      </c>
      <c r="C68" s="273">
        <v>7</v>
      </c>
      <c r="D68" s="274">
        <f>VLOOKUP($B68,'Reach 7'!$B$3:$O$72,3,FALSE)</f>
        <v>1490.3873818181817</v>
      </c>
      <c r="E68" s="274">
        <f>VLOOKUP($B68,'Reach 7'!$B$3:$O$72,4,FALSE)</f>
        <v>1035.2837617473433</v>
      </c>
      <c r="F68" s="274">
        <f>VLOOKUP($B68,'Reach 7'!$B$3:$O$72,5,FALSE)</f>
        <v>3147.5702531286897</v>
      </c>
      <c r="G68" s="274">
        <f>VLOOKUP($B68,'Reach 7'!$B$3:$O$72,6,FALSE)</f>
        <v>3928.4707443919719</v>
      </c>
      <c r="H68" s="274">
        <f>VLOOKUP($B68,'Reach 7'!$B$3:$O$72,7,FALSE)</f>
        <v>9141.8486557584765</v>
      </c>
      <c r="I68" s="274">
        <f>VLOOKUP($B68,'Reach 7'!$B$3:$O$72,8,FALSE)</f>
        <v>10466.835205004916</v>
      </c>
      <c r="J68" s="274">
        <f>VLOOKUP($B68,'Reach 7'!$B$3:$O$72,9,FALSE)</f>
        <v>751.06190212363515</v>
      </c>
      <c r="K68" s="274">
        <f>VLOOKUP($B68,'Reach 7'!$B$3:$O$72,10,FALSE)</f>
        <v>0</v>
      </c>
      <c r="L68" s="274">
        <f>VLOOKUP($B68,'Reach 7'!$B$3:$O$72,11,FALSE)</f>
        <v>0</v>
      </c>
      <c r="M68" s="274">
        <f>VLOOKUP($B68,'Reach 7'!$B$3:$O$72,12,FALSE)</f>
        <v>1259.9743710104185</v>
      </c>
      <c r="N68" s="274">
        <f>VLOOKUP($B68,'Reach 7'!$B$3:$O$72,13,FALSE)</f>
        <v>1656.1633257768017</v>
      </c>
      <c r="O68" s="275">
        <f>VLOOKUP($B68,'Reach 7'!$B$3:$O$72,14,FALSE)</f>
        <v>1500.7758155844156</v>
      </c>
    </row>
    <row r="69" spans="1:15" ht="14.25">
      <c r="B69" s="134" t="s">
        <v>304</v>
      </c>
      <c r="C69" s="273">
        <v>7</v>
      </c>
      <c r="D69" s="274">
        <f>VLOOKUP($B69,'Reach 7'!$B$3:$O$72,3,FALSE)</f>
        <v>1490.3873818181817</v>
      </c>
      <c r="E69" s="274">
        <f>VLOOKUP($B69,'Reach 7'!$B$3:$O$72,4,FALSE)</f>
        <v>1035.2837617473433</v>
      </c>
      <c r="F69" s="274">
        <f>VLOOKUP($B69,'Reach 7'!$B$3:$O$72,5,FALSE)</f>
        <v>3147.5702531286897</v>
      </c>
      <c r="G69" s="274">
        <f>VLOOKUP($B69,'Reach 7'!$B$3:$O$72,6,FALSE)</f>
        <v>3928.4707443919719</v>
      </c>
      <c r="H69" s="274">
        <f>VLOOKUP($B69,'Reach 7'!$B$3:$O$72,7,FALSE)</f>
        <v>7176.2181095471133</v>
      </c>
      <c r="I69" s="274">
        <f>VLOOKUP($B69,'Reach 7'!$B$3:$O$72,8,FALSE)</f>
        <v>7168.7563695246481</v>
      </c>
      <c r="J69" s="274">
        <f>VLOOKUP($B69,'Reach 7'!$B$3:$O$72,9,FALSE)</f>
        <v>0</v>
      </c>
      <c r="K69" s="274">
        <f>VLOOKUP($B69,'Reach 7'!$B$3:$O$72,10,FALSE)</f>
        <v>0</v>
      </c>
      <c r="L69" s="274">
        <f>VLOOKUP($B69,'Reach 7'!$B$3:$O$72,11,FALSE)</f>
        <v>0</v>
      </c>
      <c r="M69" s="274">
        <f>VLOOKUP($B69,'Reach 7'!$B$3:$O$72,12,FALSE)</f>
        <v>1259.9743710104185</v>
      </c>
      <c r="N69" s="274">
        <f>VLOOKUP($B69,'Reach 7'!$B$3:$O$72,13,FALSE)</f>
        <v>1656.1633257768017</v>
      </c>
      <c r="O69" s="275">
        <f>VLOOKUP($B69,'Reach 7'!$B$3:$O$72,14,FALSE)</f>
        <v>1500.7758155844156</v>
      </c>
    </row>
    <row r="70" spans="1:15" ht="14.25">
      <c r="B70" s="134" t="s">
        <v>305</v>
      </c>
      <c r="C70" s="273">
        <v>7</v>
      </c>
      <c r="D70" s="274">
        <f>VLOOKUP($B70,'Reach 7'!$B$3:$O$72,3,FALSE)</f>
        <v>1490.3873818181817</v>
      </c>
      <c r="E70" s="274">
        <f>VLOOKUP($B70,'Reach 7'!$B$3:$O$72,4,FALSE)</f>
        <v>1035.2837617473433</v>
      </c>
      <c r="F70" s="274">
        <f>VLOOKUP($B70,'Reach 7'!$B$3:$O$72,5,FALSE)</f>
        <v>3147.5702531286897</v>
      </c>
      <c r="G70" s="274">
        <f>VLOOKUP($B70,'Reach 7'!$B$3:$O$72,6,FALSE)</f>
        <v>3928.4707443919719</v>
      </c>
      <c r="H70" s="274">
        <f>VLOOKUP($B70,'Reach 7'!$B$3:$O$72,7,FALSE)</f>
        <v>10838.767254389364</v>
      </c>
      <c r="I70" s="274">
        <f>VLOOKUP($B70,'Reach 7'!$B$3:$O$72,8,FALSE)</f>
        <v>13171.004215095309</v>
      </c>
      <c r="J70" s="274">
        <f>VLOOKUP($B70,'Reach 7'!$B$3:$O$72,9,FALSE)</f>
        <v>1362.4682181071475</v>
      </c>
      <c r="K70" s="274">
        <f>VLOOKUP($B70,'Reach 7'!$B$3:$O$72,10,FALSE)</f>
        <v>0</v>
      </c>
      <c r="L70" s="274">
        <f>VLOOKUP($B70,'Reach 7'!$B$3:$O$72,11,FALSE)</f>
        <v>0</v>
      </c>
      <c r="M70" s="274">
        <f>VLOOKUP($B70,'Reach 7'!$B$3:$O$72,12,FALSE)</f>
        <v>1259.9743710104185</v>
      </c>
      <c r="N70" s="274">
        <f>VLOOKUP($B70,'Reach 7'!$B$3:$O$72,13,FALSE)</f>
        <v>1656.1633257768017</v>
      </c>
      <c r="O70" s="275">
        <f>VLOOKUP($B70,'Reach 7'!$B$3:$O$72,14,FALSE)</f>
        <v>1500.7758155844156</v>
      </c>
    </row>
    <row r="71" spans="1:15" ht="15.75" thickBot="1">
      <c r="B71" s="24"/>
      <c r="C71" s="276"/>
      <c r="D71" s="277"/>
      <c r="E71" s="277"/>
      <c r="F71" s="277"/>
      <c r="G71" s="277"/>
      <c r="H71" s="277"/>
      <c r="I71" s="277"/>
      <c r="J71" s="277"/>
      <c r="K71" s="277"/>
      <c r="L71" s="277"/>
      <c r="M71" s="277"/>
      <c r="N71" s="277"/>
      <c r="O71" s="278"/>
    </row>
    <row r="73" spans="1:15" ht="15">
      <c r="A73" s="8" t="s">
        <v>306</v>
      </c>
      <c r="B73" s="8"/>
      <c r="C73" s="4"/>
      <c r="D73" s="272"/>
      <c r="E73" s="272"/>
      <c r="F73" s="272"/>
      <c r="G73" s="272"/>
      <c r="H73" s="272"/>
      <c r="I73" s="272"/>
      <c r="J73" s="272"/>
      <c r="K73" s="272"/>
      <c r="L73" s="272"/>
      <c r="M73" s="272"/>
      <c r="N73" s="272"/>
      <c r="O73" s="272"/>
    </row>
    <row r="74" spans="1:15" ht="13.5" thickBot="1">
      <c r="B74" s="4"/>
      <c r="C74" s="4"/>
      <c r="D74" s="272"/>
      <c r="E74" s="272"/>
      <c r="F74" s="272"/>
      <c r="G74" s="272"/>
      <c r="H74" s="272"/>
      <c r="I74" s="272"/>
      <c r="J74" s="272"/>
      <c r="K74" s="272"/>
      <c r="L74" s="272"/>
      <c r="M74" s="272"/>
      <c r="N74" s="272"/>
      <c r="O74" s="272"/>
    </row>
    <row r="75" spans="1:15" ht="15">
      <c r="B75" s="281" t="s">
        <v>314</v>
      </c>
      <c r="C75" s="322" t="s">
        <v>80</v>
      </c>
      <c r="D75" s="11" t="s">
        <v>0</v>
      </c>
      <c r="E75" s="11" t="s">
        <v>1</v>
      </c>
      <c r="F75" s="11" t="s">
        <v>2</v>
      </c>
      <c r="G75" s="11" t="s">
        <v>3</v>
      </c>
      <c r="H75" s="11" t="s">
        <v>4</v>
      </c>
      <c r="I75" s="11" t="s">
        <v>5</v>
      </c>
      <c r="J75" s="11" t="s">
        <v>6</v>
      </c>
      <c r="K75" s="11" t="s">
        <v>7</v>
      </c>
      <c r="L75" s="11" t="s">
        <v>8</v>
      </c>
      <c r="M75" s="11" t="s">
        <v>9</v>
      </c>
      <c r="N75" s="11" t="s">
        <v>10</v>
      </c>
      <c r="O75" s="12" t="s">
        <v>11</v>
      </c>
    </row>
    <row r="76" spans="1:15" ht="14.25">
      <c r="B76" s="134" t="s">
        <v>307</v>
      </c>
      <c r="C76" s="273">
        <v>8</v>
      </c>
      <c r="D76" s="274">
        <f>VLOOKUP($B76,'Reach 8'!$B$3:$O$73,3,FALSE)</f>
        <v>1490.3873818181817</v>
      </c>
      <c r="E76" s="274">
        <f>VLOOKUP($B76,'Reach 8'!$B$3:$O$73,4,FALSE)</f>
        <v>1035.2837617473433</v>
      </c>
      <c r="F76" s="274">
        <f>VLOOKUP($B76,'Reach 8'!$B$3:$O$73,5,FALSE)</f>
        <v>3147.5702531286897</v>
      </c>
      <c r="G76" s="274">
        <f>VLOOKUP($B76,'Reach 8'!$B$3:$O$73,6,FALSE)</f>
        <v>3928.4707443919719</v>
      </c>
      <c r="H76" s="274">
        <f>VLOOKUP($B76,'Reach 8'!$B$3:$O$73,7,FALSE)</f>
        <v>17558.15682365161</v>
      </c>
      <c r="I76" s="274">
        <f>VLOOKUP($B76,'Reach 8'!$B$3:$O$73,8,FALSE)</f>
        <v>32799.184007069918</v>
      </c>
      <c r="J76" s="274">
        <f>VLOOKUP($B76,'Reach 8'!$B$3:$O$73,9,FALSE)</f>
        <v>13331.280230928534</v>
      </c>
      <c r="K76" s="274">
        <f>VLOOKUP($B76,'Reach 8'!$B$3:$O$73,10,FALSE)</f>
        <v>7197.2511453263942</v>
      </c>
      <c r="L76" s="274">
        <f>VLOOKUP($B76,'Reach 8'!$B$3:$O$73,11,FALSE)</f>
        <v>3176.7052971470071</v>
      </c>
      <c r="M76" s="274">
        <f>VLOOKUP($B76,'Reach 8'!$B$3:$O$73,12,FALSE)</f>
        <v>2155.3163512824603</v>
      </c>
      <c r="N76" s="274">
        <f>VLOOKUP($B76,'Reach 8'!$B$3:$O$73,13,FALSE)</f>
        <v>1930.262006065954</v>
      </c>
      <c r="O76" s="275">
        <f>VLOOKUP($B76,'Reach 8'!$B$3:$O$73,14,FALSE)</f>
        <v>1540.0395572813338</v>
      </c>
    </row>
    <row r="77" spans="1:15" ht="14.25">
      <c r="B77" s="134" t="s">
        <v>308</v>
      </c>
      <c r="C77" s="273">
        <v>8</v>
      </c>
      <c r="D77" s="274">
        <f>VLOOKUP($B77,'Reach 8'!$B$3:$O$73,3,FALSE)</f>
        <v>1057.6656925619836</v>
      </c>
      <c r="E77" s="274">
        <f>VLOOKUP($B77,'Reach 8'!$B$3:$O$73,4,FALSE)</f>
        <v>834.62178819362464</v>
      </c>
      <c r="F77" s="274">
        <f>VLOOKUP($B77,'Reach 8'!$B$3:$O$73,5,FALSE)</f>
        <v>3049.9859258559627</v>
      </c>
      <c r="G77" s="274">
        <f>VLOOKUP($B77,'Reach 8'!$B$3:$O$73,6,FALSE)</f>
        <v>3458.7223270365998</v>
      </c>
      <c r="H77" s="274">
        <f>VLOOKUP($B77,'Reach 8'!$B$3:$O$73,7,FALSE)</f>
        <v>5816.206257378979</v>
      </c>
      <c r="I77" s="274">
        <f>VLOOKUP($B77,'Reach 8'!$B$3:$O$73,8,FALSE)</f>
        <v>7578.876033057848</v>
      </c>
      <c r="J77" s="274">
        <f>VLOOKUP($B77,'Reach 8'!$B$3:$O$73,9,FALSE)</f>
        <v>2852.0032872711981</v>
      </c>
      <c r="K77" s="274">
        <f>VLOOKUP($B77,'Reach 8'!$B$3:$O$73,10,FALSE)</f>
        <v>1808.8119454384778</v>
      </c>
      <c r="L77" s="274">
        <f>VLOOKUP($B77,'Reach 8'!$B$3:$O$73,11,FALSE)</f>
        <v>1055.7981074647159</v>
      </c>
      <c r="M77" s="274">
        <f>VLOOKUP($B77,'Reach 8'!$B$3:$O$73,12,FALSE)</f>
        <v>1139.3769259740266</v>
      </c>
      <c r="N77" s="274">
        <f>VLOOKUP($B77,'Reach 8'!$B$3:$O$73,13,FALSE)</f>
        <v>1563.7354663518304</v>
      </c>
      <c r="O77" s="275">
        <f>VLOOKUP($B77,'Reach 8'!$B$3:$O$73,14,FALSE)</f>
        <v>1181.3744982290441</v>
      </c>
    </row>
    <row r="78" spans="1:15" ht="15.75" thickBot="1">
      <c r="B78" s="24"/>
      <c r="C78" s="276"/>
      <c r="D78" s="277"/>
      <c r="E78" s="277"/>
      <c r="F78" s="277"/>
      <c r="G78" s="277"/>
      <c r="H78" s="277"/>
      <c r="I78" s="277"/>
      <c r="J78" s="277"/>
      <c r="K78" s="277"/>
      <c r="L78" s="277"/>
      <c r="M78" s="277"/>
      <c r="N78" s="277"/>
      <c r="O78" s="278"/>
    </row>
    <row r="80" spans="1:15" ht="15">
      <c r="A80" s="8" t="s">
        <v>311</v>
      </c>
      <c r="B80" s="8"/>
      <c r="C80" s="4"/>
      <c r="D80" s="272"/>
      <c r="E80" s="272"/>
      <c r="F80" s="272"/>
      <c r="G80" s="272"/>
      <c r="H80" s="272"/>
      <c r="I80" s="272"/>
      <c r="J80" s="272"/>
      <c r="K80" s="272"/>
      <c r="L80" s="272"/>
      <c r="M80" s="272"/>
      <c r="N80" s="272"/>
      <c r="O80" s="272"/>
    </row>
    <row r="81" spans="1:15" ht="13.5" thickBot="1">
      <c r="B81" s="4"/>
      <c r="C81" s="4"/>
      <c r="D81" s="272"/>
      <c r="E81" s="272"/>
      <c r="F81" s="272"/>
      <c r="G81" s="272"/>
      <c r="H81" s="272"/>
      <c r="I81" s="272"/>
      <c r="J81" s="272"/>
      <c r="K81" s="272"/>
      <c r="L81" s="272"/>
      <c r="M81" s="272"/>
      <c r="N81" s="272"/>
      <c r="O81" s="272"/>
    </row>
    <row r="82" spans="1:15" ht="15">
      <c r="B82" s="281" t="s">
        <v>314</v>
      </c>
      <c r="C82" s="322" t="s">
        <v>80</v>
      </c>
      <c r="D82" s="11" t="s">
        <v>0</v>
      </c>
      <c r="E82" s="11" t="s">
        <v>1</v>
      </c>
      <c r="F82" s="11" t="s">
        <v>2</v>
      </c>
      <c r="G82" s="11" t="s">
        <v>3</v>
      </c>
      <c r="H82" s="11" t="s">
        <v>4</v>
      </c>
      <c r="I82" s="11" t="s">
        <v>5</v>
      </c>
      <c r="J82" s="11" t="s">
        <v>6</v>
      </c>
      <c r="K82" s="11" t="s">
        <v>7</v>
      </c>
      <c r="L82" s="11" t="s">
        <v>8</v>
      </c>
      <c r="M82" s="11" t="s">
        <v>9</v>
      </c>
      <c r="N82" s="11" t="s">
        <v>10</v>
      </c>
      <c r="O82" s="12" t="s">
        <v>11</v>
      </c>
    </row>
    <row r="83" spans="1:15" ht="14.25">
      <c r="B83" s="134" t="s">
        <v>309</v>
      </c>
      <c r="C83" s="273">
        <v>9</v>
      </c>
      <c r="D83" s="274">
        <f>VLOOKUP($B83,'Reach 9'!$B$2:$O$72,3,FALSE)</f>
        <v>2060.9626503801655</v>
      </c>
      <c r="E83" s="274">
        <f>VLOOKUP($B83,'Reach 9'!$B$2:$O$72,4,FALSE)</f>
        <v>1761.4532214663518</v>
      </c>
      <c r="F83" s="274">
        <f>VLOOKUP($B83,'Reach 9'!$B$2:$O$72,5,FALSE)</f>
        <v>4564.4114924014166</v>
      </c>
      <c r="G83" s="274">
        <f>VLOOKUP($B83,'Reach 9'!$B$2:$O$72,6,FALSE)</f>
        <v>3886.009127945691</v>
      </c>
      <c r="H83" s="274">
        <f>VLOOKUP($B83,'Reach 9'!$B$2:$O$72,7,FALSE)</f>
        <v>7032.8470022281899</v>
      </c>
      <c r="I83" s="274">
        <f>VLOOKUP($B83,'Reach 9'!$B$2:$O$72,8,FALSE)</f>
        <v>10275.242644255073</v>
      </c>
      <c r="J83" s="274">
        <f>VLOOKUP($B83,'Reach 9'!$B$2:$O$72,9,FALSE)</f>
        <v>4560.711685342394</v>
      </c>
      <c r="K83" s="274">
        <f>VLOOKUP($B83,'Reach 9'!$B$2:$O$72,10,FALSE)</f>
        <v>2421.4272610740518</v>
      </c>
      <c r="L83" s="274">
        <f>VLOOKUP($B83,'Reach 9'!$B$2:$O$72,11,FALSE)</f>
        <v>1357.3806047047508</v>
      </c>
      <c r="M83" s="274">
        <f>VLOOKUP($B83,'Reach 9'!$B$2:$O$72,12,FALSE)</f>
        <v>1653.8313740485835</v>
      </c>
      <c r="N83" s="274">
        <f>VLOOKUP($B83,'Reach 9'!$B$2:$O$72,13,FALSE)</f>
        <v>2545.4749792441025</v>
      </c>
      <c r="O83" s="275">
        <f>VLOOKUP($B83,'Reach 9'!$B$2:$O$72,14,FALSE)</f>
        <v>2144.6240286733628</v>
      </c>
    </row>
    <row r="84" spans="1:15" ht="14.25">
      <c r="B84" s="134" t="s">
        <v>310</v>
      </c>
      <c r="C84" s="273">
        <v>9</v>
      </c>
      <c r="D84" s="274">
        <f>VLOOKUP($B84,'Reach 9'!$B$2:$O$72,3,FALSE)</f>
        <v>7449.0338842975216</v>
      </c>
      <c r="E84" s="274">
        <f>VLOOKUP($B84,'Reach 9'!$B$2:$O$72,4,FALSE)</f>
        <v>6625.053128689493</v>
      </c>
      <c r="F84" s="274">
        <f>VLOOKUP($B84,'Reach 9'!$B$2:$O$72,5,FALSE)</f>
        <v>11341.476623376622</v>
      </c>
      <c r="G84" s="274">
        <f>VLOOKUP($B84,'Reach 9'!$B$2:$O$72,6,FALSE)</f>
        <v>12132.787012987013</v>
      </c>
      <c r="H84" s="274">
        <f>VLOOKUP($B84,'Reach 9'!$B$2:$O$72,7,FALSE)</f>
        <v>20377.469893742622</v>
      </c>
      <c r="I84" s="274">
        <f>VLOOKUP($B84,'Reach 9'!$B$2:$O$72,8,FALSE)</f>
        <v>22280.413223140487</v>
      </c>
      <c r="J84" s="274">
        <f>VLOOKUP($B84,'Reach 9'!$B$2:$O$72,9,FALSE)</f>
        <v>10474.083452560451</v>
      </c>
      <c r="K84" s="274">
        <f>VLOOKUP($B84,'Reach 9'!$B$2:$O$72,10,FALSE)</f>
        <v>7233.8708710583096</v>
      </c>
      <c r="L84" s="274">
        <f>VLOOKUP($B84,'Reach 9'!$B$2:$O$72,11,FALSE)</f>
        <v>5497.8336446548001</v>
      </c>
      <c r="M84" s="274">
        <f>VLOOKUP($B84,'Reach 9'!$B$2:$O$72,12,FALSE)</f>
        <v>8192.1657615112181</v>
      </c>
      <c r="N84" s="274">
        <f>VLOOKUP($B84,'Reach 9'!$B$2:$O$72,13,FALSE)</f>
        <v>8825.0047225501767</v>
      </c>
      <c r="O84" s="275">
        <f>VLOOKUP($B84,'Reach 9'!$B$2:$O$72,14,FALSE)</f>
        <v>7803.4761511216075</v>
      </c>
    </row>
    <row r="85" spans="1:15" ht="15.75" thickBot="1">
      <c r="B85" s="24"/>
      <c r="C85" s="276"/>
      <c r="D85" s="277"/>
      <c r="E85" s="277"/>
      <c r="F85" s="277"/>
      <c r="G85" s="277"/>
      <c r="H85" s="277"/>
      <c r="I85" s="277"/>
      <c r="J85" s="277"/>
      <c r="K85" s="277"/>
      <c r="L85" s="277"/>
      <c r="M85" s="277"/>
      <c r="N85" s="277"/>
      <c r="O85" s="278"/>
    </row>
    <row r="87" spans="1:15" ht="15">
      <c r="A87" s="8" t="s">
        <v>367</v>
      </c>
      <c r="B87" s="8"/>
      <c r="C87" s="4"/>
      <c r="D87" s="272"/>
      <c r="E87" s="272"/>
      <c r="F87" s="272"/>
      <c r="G87" s="272"/>
      <c r="H87" s="272"/>
      <c r="I87" s="272"/>
      <c r="J87" s="272"/>
      <c r="K87" s="272"/>
      <c r="L87" s="272"/>
      <c r="M87" s="272"/>
      <c r="N87" s="272"/>
      <c r="O87" s="272"/>
    </row>
    <row r="88" spans="1:15" ht="13.5" thickBot="1">
      <c r="B88" s="4"/>
      <c r="C88" s="4"/>
      <c r="D88" s="272"/>
      <c r="E88" s="272"/>
      <c r="F88" s="272"/>
      <c r="G88" s="272"/>
      <c r="H88" s="272"/>
      <c r="I88" s="272"/>
      <c r="J88" s="272"/>
      <c r="K88" s="272"/>
      <c r="L88" s="272"/>
      <c r="M88" s="272"/>
      <c r="N88" s="272"/>
      <c r="O88" s="272"/>
    </row>
    <row r="89" spans="1:15" ht="15">
      <c r="B89" s="281" t="s">
        <v>314</v>
      </c>
      <c r="C89" s="322" t="s">
        <v>80</v>
      </c>
      <c r="D89" s="11" t="s">
        <v>0</v>
      </c>
      <c r="E89" s="11" t="s">
        <v>1</v>
      </c>
      <c r="F89" s="11" t="s">
        <v>2</v>
      </c>
      <c r="G89" s="11" t="s">
        <v>3</v>
      </c>
      <c r="H89" s="11" t="s">
        <v>4</v>
      </c>
      <c r="I89" s="11" t="s">
        <v>5</v>
      </c>
      <c r="J89" s="11" t="s">
        <v>6</v>
      </c>
      <c r="K89" s="11" t="s">
        <v>7</v>
      </c>
      <c r="L89" s="11" t="s">
        <v>8</v>
      </c>
      <c r="M89" s="11" t="s">
        <v>9</v>
      </c>
      <c r="N89" s="11" t="s">
        <v>10</v>
      </c>
      <c r="O89" s="12" t="s">
        <v>11</v>
      </c>
    </row>
    <row r="90" spans="1:15" ht="14.25">
      <c r="B90" s="134" t="s">
        <v>368</v>
      </c>
      <c r="C90" s="273">
        <v>10</v>
      </c>
      <c r="D90" s="274">
        <f>VLOOKUP($B90,'Reach 10'!$B$4:$O$131,3,FALSE)</f>
        <v>5388.071233917356</v>
      </c>
      <c r="E90" s="274">
        <f>VLOOKUP($B90,'Reach 10'!$B$4:$O$131,4,FALSE)</f>
        <v>4863.5999072231407</v>
      </c>
      <c r="F90" s="274">
        <f>VLOOKUP($B90,'Reach 10'!$B$4:$O$131,5,FALSE)</f>
        <v>6777.0651309752056</v>
      </c>
      <c r="G90" s="274">
        <f>VLOOKUP($B90,'Reach 10'!$B$4:$O$131,6,FALSE)</f>
        <v>8246.7778850413215</v>
      </c>
      <c r="H90" s="274">
        <f>VLOOKUP($B90,'Reach 10'!$B$4:$O$131,7,FALSE)</f>
        <v>18194.066746429391</v>
      </c>
      <c r="I90" s="274">
        <f>VLOOKUP($B90,'Reach 10'!$B$4:$O$131,8,FALSE)</f>
        <v>18675.433037058832</v>
      </c>
      <c r="J90" s="274">
        <f>VLOOKUP($B90,'Reach 10'!$B$4:$O$131,9,FALSE)</f>
        <v>10474.171045119758</v>
      </c>
      <c r="K90" s="274">
        <f>VLOOKUP($B90,'Reach 10'!$B$4:$O$131,10,FALSE)</f>
        <v>6273.480682158176</v>
      </c>
      <c r="L90" s="274">
        <f>VLOOKUP($B90,'Reach 10'!$B$4:$O$131,11,FALSE)</f>
        <v>4744.8658415038726</v>
      </c>
      <c r="M90" s="274">
        <f>VLOOKUP($B90,'Reach 10'!$B$4:$O$131,12,FALSE)</f>
        <v>6081.870325705092</v>
      </c>
      <c r="N90" s="274">
        <f>VLOOKUP($B90,'Reach 10'!$B$4:$O$131,13,FALSE)</f>
        <v>6125.7906914644755</v>
      </c>
      <c r="O90" s="275">
        <f>VLOOKUP($B90,'Reach 10'!$B$4:$O$131,14,FALSE)</f>
        <v>5618.8124075412197</v>
      </c>
    </row>
    <row r="91" spans="1:15" ht="14.25">
      <c r="B91" s="134" t="s">
        <v>369</v>
      </c>
      <c r="C91" s="273">
        <v>10</v>
      </c>
      <c r="D91" s="274">
        <f>VLOOKUP($B91,'Reach 10'!$B$4:$O$131,3,FALSE)</f>
        <v>5388.071233917356</v>
      </c>
      <c r="E91" s="274">
        <f>VLOOKUP($B91,'Reach 10'!$B$4:$O$131,4,FALSE)</f>
        <v>4863.5999072231407</v>
      </c>
      <c r="F91" s="274">
        <f>VLOOKUP($B91,'Reach 10'!$B$4:$O$131,5,FALSE)</f>
        <v>6777.0651309752056</v>
      </c>
      <c r="G91" s="274">
        <f>VLOOKUP($B91,'Reach 10'!$B$4:$O$131,6,FALSE)</f>
        <v>8246.7778850413215</v>
      </c>
      <c r="H91" s="274">
        <f>VLOOKUP($B91,'Reach 10'!$B$4:$O$131,7,FALSE)</f>
        <v>18072.5529447765</v>
      </c>
      <c r="I91" s="274">
        <f>VLOOKUP($B91,'Reach 10'!$B$4:$O$131,8,FALSE)</f>
        <v>18442.085877967922</v>
      </c>
      <c r="J91" s="274">
        <f>VLOOKUP($B91,'Reach 10'!$B$4:$O$131,9,FALSE)</f>
        <v>10351.436602970998</v>
      </c>
      <c r="K91" s="274">
        <f>VLOOKUP($B91,'Reach 10'!$B$4:$O$131,10,FALSE)</f>
        <v>6249.9406924887544</v>
      </c>
      <c r="L91" s="274">
        <f>VLOOKUP($B91,'Reach 10'!$B$4:$O$131,11,FALSE)</f>
        <v>4740.3274220823851</v>
      </c>
      <c r="M91" s="274">
        <f>VLOOKUP($B91,'Reach 10'!$B$4:$O$131,12,FALSE)</f>
        <v>6081.870325705092</v>
      </c>
      <c r="N91" s="274">
        <f>VLOOKUP($B91,'Reach 10'!$B$4:$O$131,13,FALSE)</f>
        <v>6125.7906914644755</v>
      </c>
      <c r="O91" s="275">
        <f>VLOOKUP($B91,'Reach 10'!$B$4:$O$131,14,FALSE)</f>
        <v>5618.8124075412197</v>
      </c>
    </row>
    <row r="92" spans="1:15" ht="14.25">
      <c r="B92" s="134" t="s">
        <v>370</v>
      </c>
      <c r="C92" s="273">
        <v>10</v>
      </c>
      <c r="D92" s="274">
        <f>VLOOKUP($B92,'Reach 10'!$B$4:$O$131,3,FALSE)</f>
        <v>5388.071233917356</v>
      </c>
      <c r="E92" s="274">
        <f>VLOOKUP($B92,'Reach 10'!$B$4:$O$131,4,FALSE)</f>
        <v>4863.5999072231407</v>
      </c>
      <c r="F92" s="274">
        <f>VLOOKUP($B92,'Reach 10'!$B$4:$O$131,5,FALSE)</f>
        <v>6777.0651309752056</v>
      </c>
      <c r="G92" s="274">
        <f>VLOOKUP($B92,'Reach 10'!$B$4:$O$131,6,FALSE)</f>
        <v>8246.7778850413215</v>
      </c>
      <c r="H92" s="274">
        <f>VLOOKUP($B92,'Reach 10'!$B$4:$O$131,7,FALSE)</f>
        <v>17857.052006016173</v>
      </c>
      <c r="I92" s="274">
        <f>VLOOKUP($B92,'Reach 10'!$B$4:$O$131,8,FALSE)</f>
        <v>17949.443758629077</v>
      </c>
      <c r="J92" s="274">
        <f>VLOOKUP($B92,'Reach 10'!$B$4:$O$131,9,FALSE)</f>
        <v>10039.240186194138</v>
      </c>
      <c r="K92" s="274">
        <f>VLOOKUP($B92,'Reach 10'!$B$4:$O$131,10,FALSE)</f>
        <v>6166.5931796788363</v>
      </c>
      <c r="L92" s="274">
        <f>VLOOKUP($B92,'Reach 10'!$B$4:$O$131,11,FALSE)</f>
        <v>4726.1040668757732</v>
      </c>
      <c r="M92" s="274">
        <f>VLOOKUP($B92,'Reach 10'!$B$4:$O$131,12,FALSE)</f>
        <v>6083.9578027298858</v>
      </c>
      <c r="N92" s="274">
        <f>VLOOKUP($B92,'Reach 10'!$B$4:$O$131,13,FALSE)</f>
        <v>6126.081150307451</v>
      </c>
      <c r="O92" s="275">
        <f>VLOOKUP($B92,'Reach 10'!$B$4:$O$131,14,FALSE)</f>
        <v>5618.8124075412197</v>
      </c>
    </row>
    <row r="93" spans="1:15" ht="14.25">
      <c r="B93" s="134" t="s">
        <v>371</v>
      </c>
      <c r="C93" s="273">
        <v>10</v>
      </c>
      <c r="D93" s="274">
        <f>VLOOKUP($B93,'Reach 10'!$B$4:$O$131,3,FALSE)</f>
        <v>5388.071233917356</v>
      </c>
      <c r="E93" s="274">
        <f>VLOOKUP($B93,'Reach 10'!$B$4:$O$131,4,FALSE)</f>
        <v>4863.5999072231407</v>
      </c>
      <c r="F93" s="274">
        <f>VLOOKUP($B93,'Reach 10'!$B$4:$O$131,5,FALSE)</f>
        <v>6777.0651309752056</v>
      </c>
      <c r="G93" s="274">
        <f>VLOOKUP($B93,'Reach 10'!$B$4:$O$131,6,FALSE)</f>
        <v>8246.7778850413215</v>
      </c>
      <c r="H93" s="274">
        <f>VLOOKUP($B93,'Reach 10'!$B$4:$O$131,7,FALSE)</f>
        <v>17639.043410644274</v>
      </c>
      <c r="I93" s="274">
        <f>VLOOKUP($B93,'Reach 10'!$B$4:$O$131,8,FALSE)</f>
        <v>17752.180249951391</v>
      </c>
      <c r="J93" s="274">
        <f>VLOOKUP($B93,'Reach 10'!$B$4:$O$131,9,FALSE)</f>
        <v>10090.393921731327</v>
      </c>
      <c r="K93" s="274">
        <f>VLOOKUP($B93,'Reach 10'!$B$4:$O$131,10,FALSE)</f>
        <v>6223.2438602573484</v>
      </c>
      <c r="L93" s="274">
        <f>VLOOKUP($B93,'Reach 10'!$B$4:$O$131,11,FALSE)</f>
        <v>4753.1048639005667</v>
      </c>
      <c r="M93" s="274">
        <f>VLOOKUP($B93,'Reach 10'!$B$4:$O$131,12,FALSE)</f>
        <v>6089.678987853853</v>
      </c>
      <c r="N93" s="274">
        <f>VLOOKUP($B93,'Reach 10'!$B$4:$O$131,13,FALSE)</f>
        <v>6126.9491403900956</v>
      </c>
      <c r="O93" s="275">
        <f>VLOOKUP($B93,'Reach 10'!$B$4:$O$131,14,FALSE)</f>
        <v>5618.8124075412197</v>
      </c>
    </row>
    <row r="94" spans="1:15" ht="14.25">
      <c r="B94" s="134" t="s">
        <v>372</v>
      </c>
      <c r="C94" s="273">
        <v>10</v>
      </c>
      <c r="D94" s="274">
        <f>VLOOKUP($B94,'Reach 10'!$B$4:$O$131,3,FALSE)</f>
        <v>5388.071233917356</v>
      </c>
      <c r="E94" s="274">
        <f>VLOOKUP($B94,'Reach 10'!$B$4:$O$131,4,FALSE)</f>
        <v>4863.5999072231407</v>
      </c>
      <c r="F94" s="274">
        <f>VLOOKUP($B94,'Reach 10'!$B$4:$O$131,5,FALSE)</f>
        <v>6777.0651309752056</v>
      </c>
      <c r="G94" s="274">
        <f>VLOOKUP($B94,'Reach 10'!$B$4:$O$131,6,FALSE)</f>
        <v>8246.7778850413215</v>
      </c>
      <c r="H94" s="274">
        <f>VLOOKUP($B94,'Reach 10'!$B$4:$O$131,7,FALSE)</f>
        <v>15713.696679404604</v>
      </c>
      <c r="I94" s="274">
        <f>VLOOKUP($B94,'Reach 10'!$B$4:$O$131,8,FALSE)</f>
        <v>15197.649568546431</v>
      </c>
      <c r="J94" s="274">
        <f>VLOOKUP($B94,'Reach 10'!$B$4:$O$131,9,FALSE)</f>
        <v>8861.7430090866983</v>
      </c>
      <c r="K94" s="274">
        <f>VLOOKUP($B94,'Reach 10'!$B$4:$O$131,10,FALSE)</f>
        <v>5747.2371600920587</v>
      </c>
      <c r="L94" s="274">
        <f>VLOOKUP($B94,'Reach 10'!$B$4:$O$131,11,FALSE)</f>
        <v>4487.8363068757735</v>
      </c>
      <c r="M94" s="274">
        <f>VLOOKUP($B94,'Reach 10'!$B$4:$O$131,12,FALSE)</f>
        <v>6096.4729538042666</v>
      </c>
      <c r="N94" s="274">
        <f>VLOOKUP($B94,'Reach 10'!$B$4:$O$131,13,FALSE)</f>
        <v>6127.8171304727402</v>
      </c>
      <c r="O94" s="275">
        <f>VLOOKUP($B94,'Reach 10'!$B$4:$O$131,14,FALSE)</f>
        <v>5618.8124075412197</v>
      </c>
    </row>
    <row r="95" spans="1:15" ht="14.25">
      <c r="B95" s="134" t="s">
        <v>373</v>
      </c>
      <c r="C95" s="273">
        <v>10</v>
      </c>
      <c r="D95" s="274">
        <f>VLOOKUP($B95,'Reach 10'!$B$4:$O$131,3,FALSE)</f>
        <v>5388.071233917356</v>
      </c>
      <c r="E95" s="274">
        <f>VLOOKUP($B95,'Reach 10'!$B$4:$O$131,4,FALSE)</f>
        <v>4863.5999072231407</v>
      </c>
      <c r="F95" s="274">
        <f>VLOOKUP($B95,'Reach 10'!$B$4:$O$131,5,FALSE)</f>
        <v>6777.0651309752056</v>
      </c>
      <c r="G95" s="274">
        <f>VLOOKUP($B95,'Reach 10'!$B$4:$O$131,6,FALSE)</f>
        <v>8246.7778850413215</v>
      </c>
      <c r="H95" s="274">
        <f>VLOOKUP($B95,'Reach 10'!$B$4:$O$131,7,FALSE)</f>
        <v>15259.394024445926</v>
      </c>
      <c r="I95" s="274">
        <f>VLOOKUP($B95,'Reach 10'!$B$4:$O$131,8,FALSE)</f>
        <v>14722.435157389406</v>
      </c>
      <c r="J95" s="274">
        <f>VLOOKUP($B95,'Reach 10'!$B$4:$O$131,9,FALSE)</f>
        <v>8403.6272342933098</v>
      </c>
      <c r="K95" s="274">
        <f>VLOOKUP($B95,'Reach 10'!$B$4:$O$131,10,FALSE)</f>
        <v>5303.6437716623068</v>
      </c>
      <c r="L95" s="274">
        <f>VLOOKUP($B95,'Reach 10'!$B$4:$O$131,11,FALSE)</f>
        <v>4138.3180527435425</v>
      </c>
      <c r="M95" s="274">
        <f>VLOOKUP($B95,'Reach 10'!$B$4:$O$131,12,FALSE)</f>
        <v>6096.4729538042666</v>
      </c>
      <c r="N95" s="274">
        <f>VLOOKUP($B95,'Reach 10'!$B$4:$O$131,13,FALSE)</f>
        <v>6127.8171304727402</v>
      </c>
      <c r="O95" s="275">
        <f>VLOOKUP($B95,'Reach 10'!$B$4:$O$131,14,FALSE)</f>
        <v>5618.8124075412197</v>
      </c>
    </row>
    <row r="96" spans="1:15" ht="14.25">
      <c r="B96" s="134" t="s">
        <v>374</v>
      </c>
      <c r="C96" s="273">
        <v>10</v>
      </c>
      <c r="D96" s="274">
        <f>VLOOKUP($B96,'Reach 10'!$B$4:$O$131,3,FALSE)</f>
        <v>5388.071233917356</v>
      </c>
      <c r="E96" s="274">
        <f>VLOOKUP($B96,'Reach 10'!$B$4:$O$131,4,FALSE)</f>
        <v>4863.5999072231407</v>
      </c>
      <c r="F96" s="274">
        <f>VLOOKUP($B96,'Reach 10'!$B$4:$O$131,5,FALSE)</f>
        <v>6777.0651309752056</v>
      </c>
      <c r="G96" s="274">
        <f>VLOOKUP($B96,'Reach 10'!$B$4:$O$131,6,FALSE)</f>
        <v>8246.7778850413215</v>
      </c>
      <c r="H96" s="274">
        <f>VLOOKUP($B96,'Reach 10'!$B$4:$O$131,7,FALSE)</f>
        <v>14966.846958330223</v>
      </c>
      <c r="I96" s="274">
        <f>VLOOKUP($B96,'Reach 10'!$B$4:$O$131,8,FALSE)</f>
        <v>14319.442543753043</v>
      </c>
      <c r="J96" s="274">
        <f>VLOOKUP($B96,'Reach 10'!$B$4:$O$131,9,FALSE)</f>
        <v>7981.4729161114919</v>
      </c>
      <c r="K96" s="274">
        <f>VLOOKUP($B96,'Reach 10'!$B$4:$O$131,10,FALSE)</f>
        <v>4916.3304762077614</v>
      </c>
      <c r="L96" s="274">
        <f>VLOOKUP($B96,'Reach 10'!$B$4:$O$131,11,FALSE)</f>
        <v>3771.9935899336251</v>
      </c>
      <c r="M96" s="274">
        <f>VLOOKUP($B96,'Reach 10'!$B$4:$O$131,12,FALSE)</f>
        <v>6096.4729538042666</v>
      </c>
      <c r="N96" s="274">
        <f>VLOOKUP($B96,'Reach 10'!$B$4:$O$131,13,FALSE)</f>
        <v>6127.8171304727402</v>
      </c>
      <c r="O96" s="275">
        <f>VLOOKUP($B96,'Reach 10'!$B$4:$O$131,14,FALSE)</f>
        <v>5618.8124075412197</v>
      </c>
    </row>
    <row r="97" spans="1:15" ht="14.25">
      <c r="B97" s="134" t="s">
        <v>376</v>
      </c>
      <c r="C97" s="273">
        <v>10</v>
      </c>
      <c r="D97" s="274">
        <f>VLOOKUP($B97,'Reach 10'!$B$4:$O$131,3,FALSE)</f>
        <v>5388.071233917356</v>
      </c>
      <c r="E97" s="274">
        <f>VLOOKUP($B97,'Reach 10'!$B$4:$O$131,4,FALSE)</f>
        <v>4863.5999072231407</v>
      </c>
      <c r="F97" s="274">
        <f>VLOOKUP($B97,'Reach 10'!$B$4:$O$131,5,FALSE)</f>
        <v>6777.0651309752056</v>
      </c>
      <c r="G97" s="274">
        <f>VLOOKUP($B97,'Reach 10'!$B$4:$O$131,6,FALSE)</f>
        <v>8246.7778850413215</v>
      </c>
      <c r="H97" s="274">
        <f>VLOOKUP($B97,'Reach 10'!$B$4:$O$131,7,FALSE)</f>
        <v>14332.558247431463</v>
      </c>
      <c r="I97" s="274">
        <f>VLOOKUP($B97,'Reach 10'!$B$4:$O$131,8,FALSE)</f>
        <v>13717.249729367712</v>
      </c>
      <c r="J97" s="274">
        <f>VLOOKUP($B97,'Reach 10'!$B$4:$O$131,9,FALSE)</f>
        <v>7532.6405921755413</v>
      </c>
      <c r="K97" s="274">
        <f>VLOOKUP($B97,'Reach 10'!$B$4:$O$131,10,FALSE)</f>
        <v>4976.4968368430918</v>
      </c>
      <c r="L97" s="274">
        <f>VLOOKUP($B97,'Reach 10'!$B$4:$O$131,11,FALSE)</f>
        <v>3970.135058823088</v>
      </c>
      <c r="M97" s="274">
        <f>VLOOKUP($B97,'Reach 10'!$B$4:$O$131,12,FALSE)</f>
        <v>6325.7695211183163</v>
      </c>
      <c r="N97" s="274">
        <f>VLOOKUP($B97,'Reach 10'!$B$4:$O$131,13,FALSE)</f>
        <v>6236.0491563766655</v>
      </c>
      <c r="O97" s="275">
        <f>VLOOKUP($B97,'Reach 10'!$B$4:$O$131,14,FALSE)</f>
        <v>5658.8521224482447</v>
      </c>
    </row>
    <row r="98" spans="1:15" ht="14.25">
      <c r="B98" s="134" t="s">
        <v>375</v>
      </c>
      <c r="C98" s="273">
        <v>10</v>
      </c>
      <c r="D98" s="274">
        <f>VLOOKUP($B98,'Reach 10'!$B$4:$O$131,3,FALSE)</f>
        <v>5388.071233917356</v>
      </c>
      <c r="E98" s="274">
        <f>VLOOKUP($B98,'Reach 10'!$B$4:$O$131,4,FALSE)</f>
        <v>4863.5999072231407</v>
      </c>
      <c r="F98" s="274">
        <f>VLOOKUP($B98,'Reach 10'!$B$4:$O$131,5,FALSE)</f>
        <v>6777.0651309752056</v>
      </c>
      <c r="G98" s="274">
        <f>VLOOKUP($B98,'Reach 10'!$B$4:$O$131,6,FALSE)</f>
        <v>8246.7778850413215</v>
      </c>
      <c r="H98" s="274">
        <f>VLOOKUP($B98,'Reach 10'!$B$4:$O$131,7,FALSE)</f>
        <v>13672.317193712455</v>
      </c>
      <c r="I98" s="274">
        <f>VLOOKUP($B98,'Reach 10'!$B$4:$O$131,8,FALSE)</f>
        <v>13161.174109533</v>
      </c>
      <c r="J98" s="274">
        <f>VLOOKUP($B98,'Reach 10'!$B$4:$O$131,9,FALSE)</f>
        <v>7221.617885563971</v>
      </c>
      <c r="K98" s="274">
        <f>VLOOKUP($B98,'Reach 10'!$B$4:$O$131,10,FALSE)</f>
        <v>4894.4019504794551</v>
      </c>
      <c r="L98" s="274">
        <f>VLOOKUP($B98,'Reach 10'!$B$4:$O$131,11,FALSE)</f>
        <v>3931.2276724594517</v>
      </c>
      <c r="M98" s="274">
        <f>VLOOKUP($B98,'Reach 10'!$B$4:$O$131,12,FALSE)</f>
        <v>6325.7695211183163</v>
      </c>
      <c r="N98" s="274">
        <f>VLOOKUP($B98,'Reach 10'!$B$4:$O$131,13,FALSE)</f>
        <v>6236.0491563766655</v>
      </c>
      <c r="O98" s="275">
        <f>VLOOKUP($B98,'Reach 10'!$B$4:$O$131,14,FALSE)</f>
        <v>5658.8521224482447</v>
      </c>
    </row>
    <row r="99" spans="1:15" ht="14.25">
      <c r="B99" s="134" t="s">
        <v>377</v>
      </c>
      <c r="C99" s="273">
        <v>10</v>
      </c>
      <c r="D99" s="274">
        <f>VLOOKUP($B99,'Reach 10'!$B$4:$O$131,3,FALSE)</f>
        <v>5388.071233917356</v>
      </c>
      <c r="E99" s="274">
        <f>VLOOKUP($B99,'Reach 10'!$B$4:$O$131,4,FALSE)</f>
        <v>4863.5999072231407</v>
      </c>
      <c r="F99" s="274">
        <f>VLOOKUP($B99,'Reach 10'!$B$4:$O$131,5,FALSE)</f>
        <v>6777.0651309752056</v>
      </c>
      <c r="G99" s="274">
        <f>VLOOKUP($B99,'Reach 10'!$B$4:$O$131,6,FALSE)</f>
        <v>8246.7778850413215</v>
      </c>
      <c r="H99" s="274">
        <f>VLOOKUP($B99,'Reach 10'!$B$4:$O$131,7,FALSE)</f>
        <v>12874.193443712455</v>
      </c>
      <c r="I99" s="274">
        <f>VLOOKUP($B99,'Reach 10'!$B$4:$O$131,8,FALSE)</f>
        <v>10410.914109533</v>
      </c>
      <c r="J99" s="274">
        <f>VLOOKUP($B99,'Reach 10'!$B$4:$O$131,9,FALSE)</f>
        <v>4816.234135563971</v>
      </c>
      <c r="K99" s="274">
        <f>VLOOKUP($B99,'Reach 10'!$B$4:$O$131,10,FALSE)</f>
        <v>3840.2244504794553</v>
      </c>
      <c r="L99" s="274">
        <f>VLOOKUP($B99,'Reach 10'!$B$4:$O$131,11,FALSE)</f>
        <v>3583.1176724594516</v>
      </c>
      <c r="M99" s="274">
        <f>VLOOKUP($B99,'Reach 10'!$B$4:$O$131,12,FALSE)</f>
        <v>6325.7695211183163</v>
      </c>
      <c r="N99" s="274">
        <f>VLOOKUP($B99,'Reach 10'!$B$4:$O$131,13,FALSE)</f>
        <v>6236.0491563766655</v>
      </c>
      <c r="O99" s="275">
        <f>VLOOKUP($B99,'Reach 10'!$B$4:$O$131,14,FALSE)</f>
        <v>5658.8521224482447</v>
      </c>
    </row>
    <row r="100" spans="1:15" ht="13.5" thickBot="1">
      <c r="B100" s="179"/>
      <c r="C100" s="180"/>
      <c r="D100" s="180"/>
      <c r="E100" s="180"/>
      <c r="F100" s="180"/>
      <c r="G100" s="180"/>
      <c r="H100" s="180"/>
      <c r="I100" s="180"/>
      <c r="J100" s="180"/>
      <c r="K100" s="180"/>
      <c r="L100" s="180"/>
      <c r="M100" s="180"/>
      <c r="N100" s="180"/>
      <c r="O100" s="280"/>
    </row>
    <row r="102" spans="1:15" ht="15">
      <c r="A102" s="8" t="s">
        <v>378</v>
      </c>
      <c r="B102" s="8"/>
      <c r="C102" s="4"/>
      <c r="D102" s="272"/>
      <c r="E102" s="272"/>
      <c r="F102" s="272"/>
      <c r="G102" s="272"/>
      <c r="H102" s="272"/>
      <c r="I102" s="272"/>
      <c r="J102" s="272"/>
      <c r="K102" s="272"/>
      <c r="L102" s="272"/>
      <c r="M102" s="272"/>
      <c r="N102" s="272"/>
      <c r="O102" s="272"/>
    </row>
    <row r="103" spans="1:15" ht="13.5" thickBot="1">
      <c r="B103" s="4"/>
      <c r="C103" s="4"/>
      <c r="D103" s="272"/>
      <c r="E103" s="272"/>
      <c r="F103" s="272"/>
      <c r="G103" s="272"/>
      <c r="H103" s="272"/>
      <c r="I103" s="272"/>
      <c r="J103" s="272"/>
      <c r="K103" s="272"/>
      <c r="L103" s="272"/>
      <c r="M103" s="272"/>
      <c r="N103" s="272"/>
      <c r="O103" s="272"/>
    </row>
    <row r="104" spans="1:15" ht="15">
      <c r="B104" s="281" t="s">
        <v>314</v>
      </c>
      <c r="C104" s="322" t="s">
        <v>80</v>
      </c>
      <c r="D104" s="11" t="s">
        <v>0</v>
      </c>
      <c r="E104" s="11" t="s">
        <v>1</v>
      </c>
      <c r="F104" s="11" t="s">
        <v>2</v>
      </c>
      <c r="G104" s="11" t="s">
        <v>3</v>
      </c>
      <c r="H104" s="11" t="s">
        <v>4</v>
      </c>
      <c r="I104" s="11" t="s">
        <v>5</v>
      </c>
      <c r="J104" s="11" t="s">
        <v>6</v>
      </c>
      <c r="K104" s="11" t="s">
        <v>7</v>
      </c>
      <c r="L104" s="11" t="s">
        <v>8</v>
      </c>
      <c r="M104" s="11" t="s">
        <v>9</v>
      </c>
      <c r="N104" s="11" t="s">
        <v>10</v>
      </c>
      <c r="O104" s="12" t="s">
        <v>11</v>
      </c>
    </row>
    <row r="105" spans="1:15" ht="14.25">
      <c r="B105" s="134" t="s">
        <v>379</v>
      </c>
      <c r="C105" s="273">
        <v>11</v>
      </c>
      <c r="D105" s="274">
        <f>VLOOKUP($B105,'Reach 11'!$B$3:$O$130,3,FALSE)</f>
        <v>7449.0338842975216</v>
      </c>
      <c r="E105" s="274">
        <f>VLOOKUP($B105,'Reach 11'!$B$3:$O$130,4,FALSE)</f>
        <v>6625.053128689493</v>
      </c>
      <c r="F105" s="274">
        <f>VLOOKUP($B105,'Reach 11'!$B$3:$O$130,5,FALSE)</f>
        <v>11588.964226682407</v>
      </c>
      <c r="G105" s="274">
        <f>VLOOKUP($B105,'Reach 11'!$B$3:$O$130,6,FALSE)</f>
        <v>12132.787012987013</v>
      </c>
      <c r="H105" s="274">
        <f>VLOOKUP($B105,'Reach 11'!$B$3:$O$130,7,FALSE)</f>
        <v>21099.593282213697</v>
      </c>
      <c r="I105" s="274">
        <f>VLOOKUP($B105,'Reach 11'!$B$3:$O$130,8,FALSE)</f>
        <v>22454.126263109494</v>
      </c>
      <c r="J105" s="274">
        <f>VLOOKUP($B105,'Reach 11'!$B$3:$O$130,9,FALSE)</f>
        <v>10631.076106010867</v>
      </c>
      <c r="K105" s="274">
        <f>VLOOKUP($B105,'Reach 11'!$B$3:$O$130,10,FALSE)</f>
        <v>7618.7900999322756</v>
      </c>
      <c r="L105" s="274">
        <f>VLOOKUP($B105,'Reach 11'!$B$3:$O$130,11,FALSE)</f>
        <v>6003.6344002384776</v>
      </c>
      <c r="M105" s="274">
        <f>VLOOKUP($B105,'Reach 11'!$B$3:$O$130,12,FALSE)</f>
        <v>8458.6969593727881</v>
      </c>
      <c r="N105" s="274">
        <f>VLOOKUP($B105,'Reach 11'!$B$3:$O$130,13,FALSE)</f>
        <v>8909.3070676534826</v>
      </c>
      <c r="O105" s="275">
        <f>VLOOKUP($B105,'Reach 11'!$B$3:$O$130,14,FALSE)</f>
        <v>7822.3766093034255</v>
      </c>
    </row>
    <row r="106" spans="1:15" ht="14.25">
      <c r="B106" s="134" t="s">
        <v>380</v>
      </c>
      <c r="C106" s="273">
        <v>11</v>
      </c>
      <c r="D106" s="274">
        <f>VLOOKUP($B106,'Reach 11'!$B$3:$O$130,3,FALSE)</f>
        <v>7449.0338842975216</v>
      </c>
      <c r="E106" s="274">
        <f>VLOOKUP($B106,'Reach 11'!$B$3:$O$130,4,FALSE)</f>
        <v>6625.053128689493</v>
      </c>
      <c r="F106" s="274">
        <f>VLOOKUP($B106,'Reach 11'!$B$3:$O$130,5,FALSE)</f>
        <v>11588.964226682407</v>
      </c>
      <c r="G106" s="274">
        <f>VLOOKUP($B106,'Reach 11'!$B$3:$O$130,6,FALSE)</f>
        <v>12132.787012987013</v>
      </c>
      <c r="H106" s="274">
        <f>VLOOKUP($B106,'Reach 11'!$B$3:$O$130,7,FALSE)</f>
        <v>20822.167466312872</v>
      </c>
      <c r="I106" s="274">
        <f>VLOOKUP($B106,'Reach 11'!$B$3:$O$130,8,FALSE)</f>
        <v>22373.090257035114</v>
      </c>
      <c r="J106" s="274">
        <f>VLOOKUP($B106,'Reach 11'!$B$3:$O$130,9,FALSE)</f>
        <v>10634.055088019131</v>
      </c>
      <c r="K106" s="274">
        <f>VLOOKUP($B106,'Reach 11'!$B$3:$O$130,10,FALSE)</f>
        <v>7758.6791176760771</v>
      </c>
      <c r="L106" s="274">
        <f>VLOOKUP($B106,'Reach 11'!$B$3:$O$130,11,FALSE)</f>
        <v>6125.6183989822784</v>
      </c>
      <c r="M106" s="274">
        <f>VLOOKUP($B106,'Reach 11'!$B$3:$O$130,12,FALSE)</f>
        <v>8493.0585373727881</v>
      </c>
      <c r="N106" s="274">
        <f>VLOOKUP($B106,'Reach 11'!$B$3:$O$130,13,FALSE)</f>
        <v>8915.7664406534823</v>
      </c>
      <c r="O106" s="275">
        <f>VLOOKUP($B106,'Reach 11'!$B$3:$O$130,14,FALSE)</f>
        <v>7822.3766093034255</v>
      </c>
    </row>
    <row r="107" spans="1:15" ht="14.25">
      <c r="B107" s="134" t="s">
        <v>381</v>
      </c>
      <c r="C107" s="273">
        <v>11</v>
      </c>
      <c r="D107" s="274">
        <f>VLOOKUP($B107,'Reach 11'!$B$3:$O$130,3,FALSE)</f>
        <v>7449.0338842975216</v>
      </c>
      <c r="E107" s="274">
        <f>VLOOKUP($B107,'Reach 11'!$B$3:$O$130,4,FALSE)</f>
        <v>6625.053128689493</v>
      </c>
      <c r="F107" s="274">
        <f>VLOOKUP($B107,'Reach 11'!$B$3:$O$130,5,FALSE)</f>
        <v>11588.964226682407</v>
      </c>
      <c r="G107" s="274">
        <f>VLOOKUP($B107,'Reach 11'!$B$3:$O$130,6,FALSE)</f>
        <v>12132.787012987013</v>
      </c>
      <c r="H107" s="274">
        <f>VLOOKUP($B107,'Reach 11'!$B$3:$O$130,7,FALSE)</f>
        <v>20587.84880743684</v>
      </c>
      <c r="I107" s="274">
        <f>VLOOKUP($B107,'Reach 11'!$B$3:$O$130,8,FALSE)</f>
        <v>22379.491991766517</v>
      </c>
      <c r="J107" s="274">
        <f>VLOOKUP($B107,'Reach 11'!$B$3:$O$130,9,FALSE)</f>
        <v>10777.880774056321</v>
      </c>
      <c r="K107" s="274">
        <f>VLOOKUP($B107,'Reach 11'!$B$3:$O$130,10,FALSE)</f>
        <v>7797.0754373826885</v>
      </c>
      <c r="L107" s="274">
        <f>VLOOKUP($B107,'Reach 11'!$B$3:$O$130,11,FALSE)</f>
        <v>6093.3381914244264</v>
      </c>
      <c r="M107" s="274">
        <f>VLOOKUP($B107,'Reach 11'!$B$3:$O$130,12,FALSE)</f>
        <v>8532.3255914058464</v>
      </c>
      <c r="N107" s="274">
        <f>VLOOKUP($B107,'Reach 11'!$B$3:$O$130,13,FALSE)</f>
        <v>8922.5307723311689</v>
      </c>
      <c r="O107" s="275">
        <f>VLOOKUP($B107,'Reach 11'!$B$3:$O$130,14,FALSE)</f>
        <v>7822.3766093034255</v>
      </c>
    </row>
    <row r="108" spans="1:15" ht="14.25">
      <c r="B108" s="134" t="s">
        <v>382</v>
      </c>
      <c r="C108" s="273">
        <v>11</v>
      </c>
      <c r="D108" s="274">
        <f>VLOOKUP($B108,'Reach 11'!$B$3:$O$130,3,FALSE)</f>
        <v>7420.5958677685958</v>
      </c>
      <c r="E108" s="274">
        <f>VLOOKUP($B108,'Reach 11'!$B$3:$O$130,4,FALSE)</f>
        <v>6467.4167650531308</v>
      </c>
      <c r="F108" s="274">
        <f>VLOOKUP($B108,'Reach 11'!$B$3:$O$130,5,FALSE)</f>
        <v>11588.964226682407</v>
      </c>
      <c r="G108" s="274">
        <f>VLOOKUP($B108,'Reach 11'!$B$3:$O$130,6,FALSE)</f>
        <v>11421.712632821725</v>
      </c>
      <c r="H108" s="274">
        <f>VLOOKUP($B108,'Reach 11'!$B$3:$O$130,7,FALSE)</f>
        <v>17396.858323494693</v>
      </c>
      <c r="I108" s="274">
        <f>VLOOKUP($B108,'Reach 11'!$B$3:$O$130,8,FALSE)</f>
        <v>19214.462809917342</v>
      </c>
      <c r="J108" s="274">
        <f>VLOOKUP($B108,'Reach 11'!$B$3:$O$130,9,FALSE)</f>
        <v>9356.5462624778083</v>
      </c>
      <c r="K108" s="274">
        <f>VLOOKUP($B108,'Reach 11'!$B$3:$O$130,10,FALSE)</f>
        <v>5474.5568214715331</v>
      </c>
      <c r="L108" s="274">
        <f>VLOOKUP($B108,'Reach 11'!$B$3:$O$130,11,FALSE)</f>
        <v>4159.7344711010792</v>
      </c>
      <c r="M108" s="274">
        <f>VLOOKUP($B108,'Reach 11'!$B$3:$O$130,12,FALSE)</f>
        <v>7408.9674144037799</v>
      </c>
      <c r="N108" s="274">
        <f>VLOOKUP($B108,'Reach 11'!$B$3:$O$130,13,FALSE)</f>
        <v>8520.046044864228</v>
      </c>
      <c r="O108" s="275">
        <f>VLOOKUP($B108,'Reach 11'!$B$3:$O$130,14,FALSE)</f>
        <v>7733.5340023612762</v>
      </c>
    </row>
    <row r="109" spans="1:15" ht="13.5" thickBot="1">
      <c r="B109" s="179"/>
      <c r="C109" s="180"/>
      <c r="D109" s="180"/>
      <c r="E109" s="180"/>
      <c r="F109" s="180"/>
      <c r="G109" s="180"/>
      <c r="H109" s="180"/>
      <c r="I109" s="180"/>
      <c r="J109" s="180"/>
      <c r="K109" s="180"/>
      <c r="L109" s="180"/>
      <c r="M109" s="180"/>
      <c r="N109" s="180"/>
      <c r="O109" s="280"/>
    </row>
    <row r="110" spans="1:15">
      <c r="B110" s="135"/>
      <c r="C110" s="135"/>
      <c r="D110" s="135"/>
      <c r="E110" s="135"/>
      <c r="F110" s="135"/>
      <c r="G110" s="135"/>
      <c r="H110" s="135"/>
      <c r="I110" s="135"/>
      <c r="J110" s="135"/>
      <c r="K110" s="135"/>
      <c r="L110" s="135"/>
      <c r="M110" s="135"/>
      <c r="N110" s="135"/>
      <c r="O110" s="135"/>
    </row>
    <row r="111" spans="1:15">
      <c r="B111" s="135"/>
      <c r="C111" s="135"/>
      <c r="D111" s="135"/>
      <c r="E111" s="135"/>
      <c r="F111" s="135"/>
      <c r="G111" s="135"/>
      <c r="H111" s="135"/>
      <c r="I111" s="135"/>
      <c r="J111" s="135"/>
      <c r="K111" s="135"/>
      <c r="L111" s="135"/>
      <c r="M111" s="135"/>
      <c r="N111" s="135"/>
      <c r="O111" s="135"/>
    </row>
    <row r="112" spans="1:15" ht="15">
      <c r="A112" s="8" t="s">
        <v>457</v>
      </c>
      <c r="B112" s="8"/>
      <c r="C112" s="4"/>
      <c r="D112" s="272"/>
      <c r="E112" s="272"/>
      <c r="F112" s="272"/>
      <c r="G112" s="272"/>
      <c r="H112" s="272"/>
      <c r="I112" s="272"/>
      <c r="J112" s="272"/>
      <c r="K112" s="272"/>
      <c r="L112" s="272"/>
      <c r="M112" s="272"/>
      <c r="N112" s="272"/>
      <c r="O112" s="272"/>
    </row>
    <row r="113" spans="2:16" ht="13.5" thickBot="1">
      <c r="B113" s="4"/>
      <c r="C113" s="4"/>
      <c r="D113" s="272"/>
      <c r="E113" s="272"/>
      <c r="F113" s="272"/>
      <c r="G113" s="272"/>
      <c r="H113" s="272"/>
      <c r="I113" s="272"/>
      <c r="J113" s="272"/>
      <c r="K113" s="272"/>
      <c r="L113" s="272"/>
      <c r="M113" s="272"/>
      <c r="N113" s="272"/>
      <c r="O113" s="272"/>
    </row>
    <row r="114" spans="2:16" ht="15">
      <c r="B114" s="281" t="s">
        <v>314</v>
      </c>
      <c r="C114" s="322" t="s">
        <v>80</v>
      </c>
      <c r="D114" s="11" t="s">
        <v>0</v>
      </c>
      <c r="E114" s="11" t="s">
        <v>1</v>
      </c>
      <c r="F114" s="11" t="s">
        <v>2</v>
      </c>
      <c r="G114" s="11" t="s">
        <v>3</v>
      </c>
      <c r="H114" s="11" t="s">
        <v>4</v>
      </c>
      <c r="I114" s="11" t="s">
        <v>5</v>
      </c>
      <c r="J114" s="11" t="s">
        <v>6</v>
      </c>
      <c r="K114" s="11" t="s">
        <v>7</v>
      </c>
      <c r="L114" s="11" t="s">
        <v>8</v>
      </c>
      <c r="M114" s="11" t="s">
        <v>9</v>
      </c>
      <c r="N114" s="11" t="s">
        <v>10</v>
      </c>
      <c r="O114" s="12" t="s">
        <v>11</v>
      </c>
    </row>
    <row r="115" spans="2:16" ht="14.25">
      <c r="B115" s="134" t="s">
        <v>459</v>
      </c>
      <c r="C115" s="273">
        <v>11</v>
      </c>
      <c r="D115" s="274">
        <f>VLOOKUP($B115,'Reach 12'!$B$3:$O$124,3,FALSE)</f>
        <v>7420.5958677685958</v>
      </c>
      <c r="E115" s="274">
        <f>VLOOKUP($B115,'Reach 12'!$B$3:$O$124,4,FALSE)</f>
        <v>6467.4167650531308</v>
      </c>
      <c r="F115" s="274">
        <f>VLOOKUP($B115,'Reach 12'!$B$3:$O$124,5,FALSE)</f>
        <v>11588.964226682407</v>
      </c>
      <c r="G115" s="274">
        <f>VLOOKUP($B115,'Reach 12'!$B$3:$O$124,6,FALSE)</f>
        <v>11421.712632821725</v>
      </c>
      <c r="H115" s="274">
        <f>VLOOKUP($B115,'Reach 12'!$B$3:$O$124,7,FALSE)</f>
        <v>18505.789729693039</v>
      </c>
      <c r="I115" s="274">
        <f>VLOOKUP($B115,'Reach 12'!$B$3:$O$124,8,FALSE)</f>
        <v>20645.449876756185</v>
      </c>
      <c r="J115" s="274">
        <f>VLOOKUP($B115,'Reach 12'!$B$3:$O$124,9,FALSE)</f>
        <v>10700.965182725742</v>
      </c>
      <c r="K115" s="274">
        <f>VLOOKUP($B115,'Reach 12'!$B$3:$O$124,10,FALSE)</f>
        <v>6724.826679426079</v>
      </c>
      <c r="L115" s="274">
        <f>VLOOKUP($B115,'Reach 12'!$B$3:$O$124,11,FALSE)</f>
        <v>5231.7230501300046</v>
      </c>
      <c r="M115" s="274">
        <f>VLOOKUP($B115,'Reach 12'!$B$3:$O$124,12,FALSE)</f>
        <v>7731.4591489079121</v>
      </c>
      <c r="N115" s="274">
        <f>VLOOKUP($B115,'Reach 12'!$B$3:$O$124,13,FALSE)</f>
        <v>8621.0633809179471</v>
      </c>
      <c r="O115" s="275">
        <f>VLOOKUP($B115,'Reach 12'!$B$3:$O$124,14,FALSE)</f>
        <v>7733.5340023612762</v>
      </c>
    </row>
    <row r="116" spans="2:16" ht="14.25">
      <c r="B116" s="134" t="s">
        <v>458</v>
      </c>
      <c r="C116" s="273">
        <v>11</v>
      </c>
      <c r="D116" s="274">
        <f>VLOOKUP($B116,'Reach 12'!$B$3:$O$124,3,FALSE)</f>
        <v>7420.5958677685958</v>
      </c>
      <c r="E116" s="274">
        <f>VLOOKUP($B116,'Reach 12'!$B$3:$O$124,4,FALSE)</f>
        <v>6467.4167650531308</v>
      </c>
      <c r="F116" s="274">
        <f>VLOOKUP($B116,'Reach 12'!$B$3:$O$124,5,FALSE)</f>
        <v>12639.108854781582</v>
      </c>
      <c r="G116" s="274">
        <f>VLOOKUP($B116,'Reach 12'!$B$3:$O$124,6,FALSE)</f>
        <v>11421.712632821725</v>
      </c>
      <c r="H116" s="274">
        <f>VLOOKUP($B116,'Reach 12'!$B$3:$O$124,7,FALSE)</f>
        <v>18505.789729693039</v>
      </c>
      <c r="I116" s="274">
        <f>VLOOKUP($B116,'Reach 12'!$B$3:$O$124,8,FALSE)</f>
        <v>20645.449876756185</v>
      </c>
      <c r="J116" s="274">
        <f>VLOOKUP($B116,'Reach 12'!$B$3:$O$124,9,FALSE)</f>
        <v>10700.965182725742</v>
      </c>
      <c r="K116" s="274">
        <f>VLOOKUP($B116,'Reach 12'!$B$3:$O$124,10,FALSE)</f>
        <v>6724.826679426079</v>
      </c>
      <c r="L116" s="274">
        <f>VLOOKUP($B116,'Reach 12'!$B$3:$O$124,11,FALSE)</f>
        <v>5231.7230501300046</v>
      </c>
      <c r="M116" s="274">
        <f>VLOOKUP($B116,'Reach 12'!$B$3:$O$124,12,FALSE)</f>
        <v>7731.4591489079121</v>
      </c>
      <c r="N116" s="274">
        <f>VLOOKUP($B116,'Reach 12'!$B$3:$O$124,13,FALSE)</f>
        <v>8621.0633809179471</v>
      </c>
      <c r="O116" s="275">
        <f>VLOOKUP($B116,'Reach 12'!$B$3:$O$124,14,FALSE)</f>
        <v>7733.5340023612762</v>
      </c>
    </row>
    <row r="117" spans="2:16" ht="14.25">
      <c r="B117" s="134" t="s">
        <v>460</v>
      </c>
      <c r="C117" s="273">
        <v>11</v>
      </c>
      <c r="D117" s="274">
        <f>VLOOKUP($B117,'Reach 12'!$B$3:$O$124,3,FALSE)</f>
        <v>7420.5958677685958</v>
      </c>
      <c r="E117" s="274">
        <f>VLOOKUP($B117,'Reach 12'!$B$3:$O$124,4,FALSE)</f>
        <v>6467.4167650531308</v>
      </c>
      <c r="F117" s="274">
        <f>VLOOKUP($B117,'Reach 12'!$B$3:$O$124,5,FALSE)</f>
        <v>12639.108854781582</v>
      </c>
      <c r="G117" s="274">
        <f>VLOOKUP($B117,'Reach 12'!$B$3:$O$124,6,FALSE)</f>
        <v>11421.712632821725</v>
      </c>
      <c r="H117" s="274">
        <f>VLOOKUP($B117,'Reach 12'!$B$3:$O$124,7,FALSE)</f>
        <v>4358.7102417275601</v>
      </c>
      <c r="I117" s="274">
        <f>VLOOKUP($B117,'Reach 12'!$B$3:$O$124,8,FALSE)</f>
        <v>5336.3063477966261</v>
      </c>
      <c r="J117" s="274">
        <f>VLOOKUP($B117,'Reach 12'!$B$3:$O$124,9,FALSE)</f>
        <v>2494.6169956008398</v>
      </c>
      <c r="K117" s="274">
        <f>VLOOKUP($B117,'Reach 12'!$B$3:$O$124,10,FALSE)</f>
        <v>1542.2755038766709</v>
      </c>
      <c r="L117" s="274">
        <f>VLOOKUP($B117,'Reach 12'!$B$3:$O$124,11,FALSE)</f>
        <v>847.76456350887656</v>
      </c>
      <c r="M117" s="274">
        <f>VLOOKUP($B117,'Reach 12'!$B$3:$O$124,12,FALSE)</f>
        <v>7731.4591489079121</v>
      </c>
      <c r="N117" s="274">
        <f>VLOOKUP($B117,'Reach 12'!$B$3:$O$124,13,FALSE)</f>
        <v>8621.0633809179471</v>
      </c>
      <c r="O117" s="275">
        <f>VLOOKUP($B117,'Reach 12'!$B$3:$O$124,14,FALSE)</f>
        <v>7733.5340023612762</v>
      </c>
    </row>
    <row r="118" spans="2:16" ht="14.25">
      <c r="B118" s="134" t="s">
        <v>461</v>
      </c>
      <c r="C118" s="273">
        <v>11</v>
      </c>
      <c r="D118" s="274">
        <f>VLOOKUP($B118,'Reach 12'!$B$3:$O$124,3,FALSE)</f>
        <v>1229.8314049586779</v>
      </c>
      <c r="E118" s="274">
        <f>VLOOKUP($B118,'Reach 12'!$B$3:$O$124,4,FALSE)</f>
        <v>616.63164108618912</v>
      </c>
      <c r="F118" s="274">
        <f>VLOOKUP($B118,'Reach 12'!$B$3:$O$124,5,FALSE)</f>
        <v>0</v>
      </c>
      <c r="G118" s="274">
        <f>VLOOKUP($B118,'Reach 12'!$B$3:$O$124,6,FALSE)</f>
        <v>3060.861393152305</v>
      </c>
      <c r="H118" s="274">
        <f>VLOOKUP($B118,'Reach 12'!$B$3:$O$124,7,FALSE)</f>
        <v>7266.380919781448</v>
      </c>
      <c r="I118" s="274">
        <f>VLOOKUP($B118,'Reach 12'!$B$3:$O$124,8,FALSE)</f>
        <v>9704.8135010551432</v>
      </c>
      <c r="J118" s="274">
        <f>VLOOKUP($B118,'Reach 12'!$B$3:$O$124,9,FALSE)</f>
        <v>4317.1228118466925</v>
      </c>
      <c r="K118" s="274">
        <f>VLOOKUP($B118,'Reach 12'!$B$3:$O$124,10,FALSE)</f>
        <v>3127.8198424801612</v>
      </c>
      <c r="L118" s="274">
        <f>VLOOKUP($B118,'Reach 12'!$B$3:$O$124,11,FALSE)</f>
        <v>1701.5877808805842</v>
      </c>
      <c r="M118" s="274">
        <f>VLOOKUP($B118,'Reach 12'!$B$3:$O$124,12,FALSE)</f>
        <v>5655.7216765124704</v>
      </c>
      <c r="N118" s="274">
        <f>VLOOKUP($B118,'Reach 12'!$B$3:$O$124,13,FALSE)</f>
        <v>4363.3845303001472</v>
      </c>
      <c r="O118" s="275">
        <f>VLOOKUP($B118,'Reach 12'!$B$3:$O$124,14,FALSE)</f>
        <v>3044.9802833530111</v>
      </c>
    </row>
    <row r="119" spans="2:16" ht="14.25">
      <c r="B119" s="520" t="s">
        <v>462</v>
      </c>
      <c r="C119" s="119">
        <v>11</v>
      </c>
      <c r="D119" s="573">
        <f>VLOOKUP($B119,'Reach 12'!$B$3:$O$124,3,FALSE)</f>
        <v>0</v>
      </c>
      <c r="E119" s="573">
        <f>VLOOKUP($B119,'Reach 12'!$B$3:$O$124,4,FALSE)</f>
        <v>0</v>
      </c>
      <c r="F119" s="573">
        <f>VLOOKUP($B119,'Reach 12'!$B$3:$O$124,5,FALSE)</f>
        <v>0</v>
      </c>
      <c r="G119" s="573">
        <f>VLOOKUP($B119,'Reach 12'!$B$3:$O$124,6,FALSE)</f>
        <v>0</v>
      </c>
      <c r="H119" s="573">
        <f>VLOOKUP($B119,'Reach 12'!$B$3:$O$124,7,FALSE)</f>
        <v>5823.4409943159708</v>
      </c>
      <c r="I119" s="573">
        <f>VLOOKUP($B119,'Reach 12'!$B$3:$O$124,8,FALSE)</f>
        <v>6718.408342654945</v>
      </c>
      <c r="J119" s="573">
        <f>VLOOKUP($B119,'Reach 12'!$B$3:$O$124,9,FALSE)</f>
        <v>688.58675754805699</v>
      </c>
      <c r="K119" s="573">
        <f>VLOOKUP($B119,'Reach 12'!$B$3:$O$124,10,FALSE)</f>
        <v>1025.0090957824832</v>
      </c>
      <c r="L119" s="573">
        <f>VLOOKUP($B119,'Reach 12'!$B$3:$O$124,11,FALSE)</f>
        <v>584.83380263413642</v>
      </c>
      <c r="M119" s="573">
        <f>VLOOKUP($B119,'Reach 12'!$B$3:$O$124,12,FALSE)</f>
        <v>0</v>
      </c>
      <c r="N119" s="573">
        <f>VLOOKUP($B119,'Reach 12'!$B$3:$O$124,13,FALSE)</f>
        <v>0</v>
      </c>
      <c r="O119" s="574">
        <f>VLOOKUP($B119,'Reach 12'!$B$3:$O$124,14,FALSE)</f>
        <v>0</v>
      </c>
      <c r="P119" s="515"/>
    </row>
    <row r="120" spans="2:16" ht="13.5" thickBot="1">
      <c r="B120" s="179"/>
      <c r="C120" s="180"/>
      <c r="D120" s="180"/>
      <c r="E120" s="180"/>
      <c r="F120" s="180"/>
      <c r="G120" s="180"/>
      <c r="H120" s="180"/>
      <c r="I120" s="180"/>
      <c r="J120" s="180"/>
      <c r="K120" s="180"/>
      <c r="L120" s="180"/>
      <c r="M120" s="180"/>
      <c r="N120" s="180"/>
      <c r="O120" s="280"/>
    </row>
    <row r="121" spans="2:16">
      <c r="B121" s="135"/>
      <c r="C121" s="135"/>
      <c r="D121" s="135"/>
      <c r="E121" s="135"/>
      <c r="F121" s="135"/>
      <c r="G121" s="135"/>
      <c r="H121" s="135"/>
      <c r="I121" s="135"/>
      <c r="J121" s="135"/>
      <c r="K121" s="135"/>
      <c r="L121" s="135"/>
      <c r="M121" s="135"/>
      <c r="N121" s="135"/>
      <c r="O121" s="135"/>
    </row>
    <row r="122" spans="2:16">
      <c r="B122" s="135"/>
      <c r="C122" s="135"/>
      <c r="D122" s="135"/>
      <c r="E122" s="135"/>
      <c r="F122" s="135"/>
      <c r="G122" s="135"/>
      <c r="H122" s="135"/>
      <c r="I122" s="135"/>
      <c r="J122" s="135"/>
      <c r="K122" s="135"/>
      <c r="L122" s="135"/>
      <c r="M122" s="135"/>
      <c r="N122" s="135"/>
      <c r="O122" s="135"/>
    </row>
    <row r="123" spans="2:16">
      <c r="B123" s="135"/>
      <c r="C123" s="135"/>
      <c r="D123" s="135"/>
      <c r="E123" s="135"/>
      <c r="F123" s="135"/>
      <c r="G123" s="135"/>
      <c r="H123" s="135"/>
      <c r="I123" s="135"/>
      <c r="J123" s="135"/>
      <c r="K123" s="135"/>
      <c r="L123" s="135"/>
      <c r="M123" s="135"/>
      <c r="N123" s="135"/>
      <c r="O123" s="135"/>
    </row>
    <row r="124" spans="2:16">
      <c r="B124" s="135"/>
      <c r="C124" s="135"/>
      <c r="D124" s="135"/>
      <c r="E124" s="135"/>
      <c r="F124" s="135"/>
      <c r="G124" s="135"/>
      <c r="H124" s="135"/>
      <c r="I124" s="135"/>
      <c r="J124" s="135"/>
      <c r="K124" s="135"/>
      <c r="L124" s="135"/>
      <c r="M124" s="135"/>
      <c r="N124" s="135"/>
      <c r="O124" s="135"/>
    </row>
    <row r="125" spans="2:16">
      <c r="B125" s="135"/>
      <c r="C125" s="135"/>
      <c r="D125" s="135"/>
      <c r="E125" s="135"/>
      <c r="F125" s="135"/>
      <c r="G125" s="135"/>
      <c r="H125" s="135"/>
      <c r="I125" s="135"/>
      <c r="J125" s="135"/>
      <c r="K125" s="135"/>
      <c r="L125" s="135"/>
      <c r="M125" s="135"/>
      <c r="N125" s="135"/>
      <c r="O125" s="135"/>
    </row>
    <row r="126" spans="2:16">
      <c r="B126" s="135"/>
      <c r="C126" s="135"/>
      <c r="D126" s="135"/>
      <c r="E126" s="135"/>
      <c r="F126" s="135"/>
      <c r="G126" s="135"/>
      <c r="H126" s="135"/>
      <c r="I126" s="135"/>
      <c r="J126" s="135"/>
      <c r="K126" s="135"/>
      <c r="L126" s="135"/>
      <c r="M126" s="135"/>
      <c r="N126" s="135"/>
      <c r="O126" s="135"/>
    </row>
    <row r="127" spans="2:16">
      <c r="B127" s="135"/>
      <c r="C127" s="135"/>
      <c r="D127" s="135"/>
      <c r="E127" s="135"/>
      <c r="F127" s="135"/>
      <c r="G127" s="135"/>
      <c r="H127" s="135"/>
      <c r="I127" s="135"/>
      <c r="J127" s="135"/>
      <c r="K127" s="135"/>
      <c r="L127" s="135"/>
      <c r="M127" s="135"/>
      <c r="N127" s="135"/>
      <c r="O127" s="135"/>
    </row>
    <row r="128" spans="2:16">
      <c r="B128" s="135"/>
      <c r="C128" s="135"/>
      <c r="D128" s="135"/>
      <c r="E128" s="135"/>
      <c r="F128" s="135"/>
      <c r="G128" s="135"/>
      <c r="H128" s="135"/>
      <c r="I128" s="135"/>
      <c r="J128" s="135"/>
      <c r="K128" s="135"/>
      <c r="L128" s="135"/>
      <c r="M128" s="135"/>
      <c r="N128" s="135"/>
      <c r="O128" s="135"/>
    </row>
    <row r="129" spans="2:15">
      <c r="B129" s="135"/>
      <c r="C129" s="135"/>
      <c r="D129" s="135"/>
      <c r="E129" s="135"/>
      <c r="F129" s="135"/>
      <c r="G129" s="135"/>
      <c r="H129" s="135"/>
      <c r="I129" s="135"/>
      <c r="J129" s="135"/>
      <c r="K129" s="135"/>
      <c r="L129" s="135"/>
      <c r="M129" s="135"/>
      <c r="N129" s="135"/>
      <c r="O129" s="135"/>
    </row>
    <row r="130" spans="2:15">
      <c r="B130" s="135"/>
      <c r="C130" s="135"/>
      <c r="D130" s="135"/>
      <c r="E130" s="135"/>
      <c r="F130" s="135"/>
      <c r="G130" s="135"/>
      <c r="H130" s="135"/>
      <c r="I130" s="135"/>
      <c r="J130" s="135"/>
      <c r="K130" s="135"/>
      <c r="L130" s="135"/>
      <c r="M130" s="135"/>
      <c r="N130" s="135"/>
      <c r="O130" s="135"/>
    </row>
    <row r="131" spans="2:15">
      <c r="B131" s="135"/>
      <c r="C131" s="135"/>
      <c r="D131" s="135"/>
      <c r="E131" s="135"/>
      <c r="F131" s="135"/>
      <c r="G131" s="135"/>
      <c r="H131" s="135"/>
      <c r="I131" s="135"/>
      <c r="J131" s="135"/>
      <c r="K131" s="135"/>
      <c r="L131" s="135"/>
      <c r="M131" s="135"/>
      <c r="N131" s="135"/>
      <c r="O131" s="135"/>
    </row>
    <row r="132" spans="2:15">
      <c r="B132" s="135"/>
      <c r="C132" s="135"/>
      <c r="D132" s="135"/>
      <c r="E132" s="135"/>
      <c r="F132" s="135"/>
      <c r="G132" s="135"/>
      <c r="H132" s="135"/>
      <c r="I132" s="135"/>
      <c r="J132" s="135"/>
      <c r="K132" s="135"/>
      <c r="L132" s="135"/>
      <c r="M132" s="135"/>
      <c r="N132" s="135"/>
      <c r="O132" s="135"/>
    </row>
    <row r="133" spans="2:15">
      <c r="B133" s="135"/>
      <c r="C133" s="135"/>
      <c r="D133" s="135"/>
      <c r="E133" s="135"/>
      <c r="F133" s="135"/>
      <c r="G133" s="135"/>
      <c r="H133" s="135"/>
      <c r="I133" s="135"/>
      <c r="J133" s="135"/>
      <c r="K133" s="135"/>
      <c r="L133" s="135"/>
      <c r="M133" s="135"/>
      <c r="N133" s="135"/>
      <c r="O133" s="135"/>
    </row>
    <row r="134" spans="2:15">
      <c r="B134" s="135"/>
      <c r="C134" s="135"/>
      <c r="D134" s="135"/>
      <c r="E134" s="135"/>
      <c r="F134" s="135"/>
      <c r="G134" s="135"/>
      <c r="H134" s="135"/>
      <c r="I134" s="135"/>
      <c r="J134" s="135"/>
      <c r="K134" s="135"/>
      <c r="L134" s="135"/>
      <c r="M134" s="135"/>
      <c r="N134" s="135"/>
      <c r="O134" s="135"/>
    </row>
    <row r="135" spans="2:15">
      <c r="B135" s="135"/>
      <c r="C135" s="135"/>
      <c r="D135" s="135"/>
      <c r="E135" s="135"/>
      <c r="F135" s="135"/>
      <c r="G135" s="135"/>
      <c r="H135" s="135"/>
      <c r="I135" s="135"/>
      <c r="J135" s="135"/>
      <c r="K135" s="135"/>
      <c r="L135" s="135"/>
      <c r="M135" s="135"/>
      <c r="N135" s="135"/>
      <c r="O135" s="135"/>
    </row>
    <row r="136" spans="2:15">
      <c r="B136" s="135"/>
      <c r="C136" s="135"/>
      <c r="D136" s="135"/>
      <c r="E136" s="135"/>
      <c r="F136" s="135"/>
      <c r="G136" s="135"/>
      <c r="H136" s="135"/>
      <c r="I136" s="135"/>
      <c r="J136" s="135"/>
      <c r="K136" s="135"/>
      <c r="L136" s="135"/>
      <c r="M136" s="135"/>
      <c r="N136" s="135"/>
      <c r="O136" s="135"/>
    </row>
    <row r="137" spans="2:15">
      <c r="B137" s="135"/>
      <c r="C137" s="135"/>
      <c r="D137" s="135"/>
      <c r="E137" s="135"/>
      <c r="F137" s="135"/>
      <c r="G137" s="135"/>
      <c r="H137" s="135"/>
      <c r="I137" s="135"/>
      <c r="J137" s="135"/>
      <c r="K137" s="135"/>
      <c r="L137" s="135"/>
      <c r="M137" s="135"/>
      <c r="N137" s="135"/>
      <c r="O137" s="135"/>
    </row>
    <row r="138" spans="2:15">
      <c r="B138" s="135"/>
      <c r="C138" s="135"/>
      <c r="D138" s="135"/>
      <c r="E138" s="135"/>
      <c r="F138" s="135"/>
      <c r="G138" s="135"/>
      <c r="H138" s="135"/>
      <c r="I138" s="135"/>
      <c r="J138" s="135"/>
      <c r="K138" s="135"/>
      <c r="L138" s="135"/>
      <c r="M138" s="135"/>
      <c r="N138" s="135"/>
      <c r="O138" s="135"/>
    </row>
    <row r="139" spans="2:15">
      <c r="B139" s="135"/>
      <c r="C139" s="135"/>
      <c r="D139" s="135"/>
      <c r="E139" s="135"/>
      <c r="F139" s="135"/>
      <c r="G139" s="135"/>
      <c r="H139" s="135"/>
      <c r="I139" s="135"/>
      <c r="J139" s="135"/>
      <c r="K139" s="135"/>
      <c r="L139" s="135"/>
      <c r="M139" s="135"/>
      <c r="N139" s="135"/>
      <c r="O139" s="135"/>
    </row>
    <row r="140" spans="2:15">
      <c r="B140" s="135"/>
      <c r="C140" s="135"/>
      <c r="D140" s="135"/>
      <c r="E140" s="135"/>
      <c r="F140" s="135"/>
      <c r="G140" s="135"/>
      <c r="H140" s="135"/>
      <c r="I140" s="135"/>
      <c r="J140" s="135"/>
      <c r="K140" s="135"/>
      <c r="L140" s="135"/>
      <c r="M140" s="135"/>
      <c r="N140" s="135"/>
      <c r="O140" s="135"/>
    </row>
    <row r="141" spans="2:15">
      <c r="B141" s="135"/>
      <c r="C141" s="135"/>
      <c r="D141" s="135"/>
      <c r="E141" s="135"/>
      <c r="F141" s="135"/>
      <c r="G141" s="135"/>
      <c r="H141" s="135"/>
      <c r="I141" s="135"/>
      <c r="J141" s="135"/>
      <c r="K141" s="135"/>
      <c r="L141" s="135"/>
      <c r="M141" s="135"/>
      <c r="N141" s="135"/>
      <c r="O141" s="135"/>
    </row>
    <row r="142" spans="2:15">
      <c r="B142" s="135"/>
      <c r="C142" s="135"/>
      <c r="D142" s="135"/>
      <c r="E142" s="135"/>
      <c r="F142" s="135"/>
      <c r="G142" s="135"/>
      <c r="H142" s="135"/>
      <c r="I142" s="135"/>
      <c r="J142" s="135"/>
      <c r="K142" s="135"/>
      <c r="L142" s="135"/>
      <c r="M142" s="135"/>
      <c r="N142" s="135"/>
      <c r="O142" s="135"/>
    </row>
    <row r="143" spans="2:15">
      <c r="B143" s="135"/>
      <c r="C143" s="135"/>
      <c r="D143" s="135"/>
      <c r="E143" s="135"/>
      <c r="F143" s="135"/>
      <c r="G143" s="135"/>
      <c r="H143" s="135"/>
      <c r="I143" s="135"/>
      <c r="J143" s="135"/>
      <c r="K143" s="135"/>
      <c r="L143" s="135"/>
      <c r="M143" s="135"/>
      <c r="N143" s="135"/>
      <c r="O143" s="135"/>
    </row>
    <row r="144" spans="2:15">
      <c r="B144" s="135"/>
      <c r="C144" s="135"/>
      <c r="D144" s="135"/>
      <c r="E144" s="135"/>
      <c r="F144" s="135"/>
      <c r="G144" s="135"/>
      <c r="H144" s="135"/>
      <c r="I144" s="135"/>
      <c r="J144" s="135"/>
      <c r="K144" s="135"/>
      <c r="L144" s="135"/>
      <c r="M144" s="135"/>
      <c r="N144" s="135"/>
      <c r="O144" s="135"/>
    </row>
    <row r="147" spans="1:15" ht="18">
      <c r="A147" s="658"/>
      <c r="B147" s="321" t="s">
        <v>384</v>
      </c>
    </row>
    <row r="148" spans="1:15">
      <c r="A148" s="658"/>
    </row>
    <row r="149" spans="1:15" ht="30.75" customHeight="1" thickBot="1">
      <c r="A149" s="658"/>
    </row>
    <row r="150" spans="1:15" ht="15">
      <c r="A150" s="658"/>
      <c r="B150" s="281" t="s">
        <v>80</v>
      </c>
      <c r="C150" s="322"/>
      <c r="D150" s="11" t="s">
        <v>0</v>
      </c>
      <c r="E150" s="11" t="s">
        <v>1</v>
      </c>
      <c r="F150" s="11" t="s">
        <v>2</v>
      </c>
      <c r="G150" s="11" t="s">
        <v>3</v>
      </c>
      <c r="H150" s="11" t="s">
        <v>4</v>
      </c>
      <c r="I150" s="11" t="s">
        <v>5</v>
      </c>
      <c r="J150" s="11" t="s">
        <v>6</v>
      </c>
      <c r="K150" s="11" t="s">
        <v>7</v>
      </c>
      <c r="L150" s="11" t="s">
        <v>8</v>
      </c>
      <c r="M150" s="11" t="s">
        <v>9</v>
      </c>
      <c r="N150" s="11" t="s">
        <v>10</v>
      </c>
      <c r="O150" s="12" t="s">
        <v>11</v>
      </c>
    </row>
    <row r="151" spans="1:15">
      <c r="A151" s="658"/>
      <c r="B151" s="323" t="s">
        <v>19</v>
      </c>
      <c r="C151" s="135"/>
      <c r="D151" s="292">
        <f>+D20</f>
        <v>2385.0605176118456</v>
      </c>
      <c r="E151" s="292">
        <f t="shared" ref="E151:O151" si="0">+E20</f>
        <v>2733.4425891352939</v>
      </c>
      <c r="F151" s="292">
        <f t="shared" si="0"/>
        <v>7596.7841295666813</v>
      </c>
      <c r="G151" s="292">
        <f t="shared" si="0"/>
        <v>10183.269175647018</v>
      </c>
      <c r="H151" s="292">
        <f t="shared" si="0"/>
        <v>26130.143073524658</v>
      </c>
      <c r="I151" s="292">
        <f t="shared" si="0"/>
        <v>13959.141005403633</v>
      </c>
      <c r="J151" s="292">
        <f t="shared" si="0"/>
        <v>2728.8671094750034</v>
      </c>
      <c r="K151" s="292">
        <f t="shared" si="0"/>
        <v>2049.7258394433975</v>
      </c>
      <c r="L151" s="292">
        <f t="shared" si="0"/>
        <v>1638.4464163925873</v>
      </c>
      <c r="M151" s="292">
        <f t="shared" si="0"/>
        <v>3347.6714793966953</v>
      </c>
      <c r="N151" s="292">
        <f t="shared" si="0"/>
        <v>2880.2506053301295</v>
      </c>
      <c r="O151" s="293">
        <f t="shared" si="0"/>
        <v>2515.2434878980216</v>
      </c>
    </row>
    <row r="152" spans="1:15">
      <c r="A152" s="658"/>
      <c r="B152" s="323" t="s">
        <v>20</v>
      </c>
      <c r="C152" s="135"/>
      <c r="D152" s="292">
        <f>+D29</f>
        <v>47.221060994555671</v>
      </c>
      <c r="E152" s="292">
        <f t="shared" ref="E152:O152" si="1">+E29</f>
        <v>44.15200092494775</v>
      </c>
      <c r="F152" s="292">
        <f t="shared" si="1"/>
        <v>794.27676484899939</v>
      </c>
      <c r="G152" s="292">
        <f t="shared" si="1"/>
        <v>1888.3379982755275</v>
      </c>
      <c r="H152" s="292">
        <f t="shared" si="1"/>
        <v>3182.5242559388757</v>
      </c>
      <c r="I152" s="292">
        <f t="shared" si="1"/>
        <v>2615.8601584700518</v>
      </c>
      <c r="J152" s="292">
        <f t="shared" si="1"/>
        <v>2353.399713786846</v>
      </c>
      <c r="K152" s="292">
        <f t="shared" si="1"/>
        <v>1788.559989783324</v>
      </c>
      <c r="L152" s="292">
        <f t="shared" si="1"/>
        <v>1338.9576172910315</v>
      </c>
      <c r="M152" s="292">
        <f t="shared" si="1"/>
        <v>310.84168507305247</v>
      </c>
      <c r="N152" s="292">
        <f t="shared" si="1"/>
        <v>167.32815640716296</v>
      </c>
      <c r="O152" s="293">
        <f t="shared" si="1"/>
        <v>163.27976705386178</v>
      </c>
    </row>
    <row r="153" spans="1:15">
      <c r="A153" s="658"/>
      <c r="B153" s="323" t="s">
        <v>21</v>
      </c>
      <c r="C153" s="135"/>
      <c r="D153" s="292">
        <f>+D36</f>
        <v>2432.2815786064011</v>
      </c>
      <c r="E153" s="292">
        <f t="shared" ref="E153:O153" si="2">+E36</f>
        <v>2776.5945900602419</v>
      </c>
      <c r="F153" s="292">
        <f t="shared" si="2"/>
        <v>8389.0608944156811</v>
      </c>
      <c r="G153" s="292">
        <f t="shared" si="2"/>
        <v>12068.607173922544</v>
      </c>
      <c r="H153" s="292">
        <f t="shared" si="2"/>
        <v>28821.33404156</v>
      </c>
      <c r="I153" s="292">
        <f t="shared" si="2"/>
        <v>16304.137807868316</v>
      </c>
      <c r="J153" s="292">
        <f t="shared" si="2"/>
        <v>4231.8520128381942</v>
      </c>
      <c r="K153" s="292">
        <f t="shared" si="2"/>
        <v>2031.1662327383378</v>
      </c>
      <c r="L153" s="292">
        <f t="shared" si="2"/>
        <v>1409.2499312710886</v>
      </c>
      <c r="M153" s="292">
        <f t="shared" si="2"/>
        <v>1842.5320540929499</v>
      </c>
      <c r="N153" s="292">
        <f t="shared" si="2"/>
        <v>2645.6056948834093</v>
      </c>
      <c r="O153" s="293">
        <f t="shared" si="2"/>
        <v>2383.8663127583577</v>
      </c>
    </row>
    <row r="154" spans="1:15">
      <c r="A154" s="658"/>
      <c r="B154" s="323" t="s">
        <v>22</v>
      </c>
      <c r="C154" s="135"/>
      <c r="D154" s="292">
        <f>+D44</f>
        <v>2432.2815786064011</v>
      </c>
      <c r="E154" s="292">
        <f t="shared" ref="E154:O154" si="3">+E44</f>
        <v>2776.5945900602419</v>
      </c>
      <c r="F154" s="292">
        <f t="shared" si="3"/>
        <v>8389.0608944156811</v>
      </c>
      <c r="G154" s="292">
        <f t="shared" si="3"/>
        <v>12068.607173922544</v>
      </c>
      <c r="H154" s="292">
        <f t="shared" si="3"/>
        <v>27776.124152339933</v>
      </c>
      <c r="I154" s="292">
        <f t="shared" si="3"/>
        <v>15564.364423445566</v>
      </c>
      <c r="J154" s="292">
        <f t="shared" si="3"/>
        <v>4043.1715256667385</v>
      </c>
      <c r="K154" s="292">
        <f t="shared" si="3"/>
        <v>1899.5002473723716</v>
      </c>
      <c r="L154" s="292">
        <f t="shared" si="3"/>
        <v>1308.6833791565628</v>
      </c>
      <c r="M154" s="292">
        <f t="shared" si="3"/>
        <v>1904.2252498124187</v>
      </c>
      <c r="N154" s="292">
        <f t="shared" si="3"/>
        <v>2663.2998441688705</v>
      </c>
      <c r="O154" s="293">
        <f t="shared" si="3"/>
        <v>2383.8663127583577</v>
      </c>
    </row>
    <row r="155" spans="1:15">
      <c r="A155" s="658"/>
      <c r="B155" s="323" t="s">
        <v>23</v>
      </c>
      <c r="C155" s="135"/>
      <c r="D155" s="292">
        <f>+D54</f>
        <v>2432.2815786064011</v>
      </c>
      <c r="E155" s="292">
        <f t="shared" ref="E155:O155" si="4">+E54</f>
        <v>2776.5945900602419</v>
      </c>
      <c r="F155" s="292">
        <f t="shared" si="4"/>
        <v>8389.0608944156811</v>
      </c>
      <c r="G155" s="292">
        <f t="shared" si="4"/>
        <v>12068.607173922544</v>
      </c>
      <c r="H155" s="292">
        <f t="shared" si="4"/>
        <v>26402.340043473498</v>
      </c>
      <c r="I155" s="292">
        <f t="shared" si="4"/>
        <v>14438.335994800846</v>
      </c>
      <c r="J155" s="292">
        <f t="shared" si="4"/>
        <v>3835.9229088206275</v>
      </c>
      <c r="K155" s="292">
        <f t="shared" si="4"/>
        <v>2449.3209833875776</v>
      </c>
      <c r="L155" s="292">
        <f t="shared" si="4"/>
        <v>1553.0571620592095</v>
      </c>
      <c r="M155" s="292">
        <f t="shared" si="4"/>
        <v>2074.0830480951195</v>
      </c>
      <c r="N155" s="292">
        <f t="shared" si="4"/>
        <v>2712.2939496725521</v>
      </c>
      <c r="O155" s="293">
        <f t="shared" si="4"/>
        <v>2383.8663127583577</v>
      </c>
    </row>
    <row r="156" spans="1:15">
      <c r="A156" s="658"/>
      <c r="B156" s="323" t="s">
        <v>24</v>
      </c>
      <c r="C156" s="135"/>
      <c r="D156" s="292">
        <f>+D61</f>
        <v>1073</v>
      </c>
      <c r="E156" s="292">
        <f t="shared" ref="E156:O156" si="5">+E61</f>
        <v>1019.7142857142857</v>
      </c>
      <c r="F156" s="292">
        <f t="shared" si="5"/>
        <v>1156.2857142857142</v>
      </c>
      <c r="G156" s="292">
        <f t="shared" si="5"/>
        <v>3145.7142857142858</v>
      </c>
      <c r="H156" s="292">
        <f t="shared" si="5"/>
        <v>24891.428571428572</v>
      </c>
      <c r="I156" s="292">
        <f t="shared" si="5"/>
        <v>38200</v>
      </c>
      <c r="J156" s="292">
        <f t="shared" si="5"/>
        <v>3296.1620830850188</v>
      </c>
      <c r="K156" s="292">
        <f t="shared" si="5"/>
        <v>436.56218561390688</v>
      </c>
      <c r="L156" s="292">
        <f t="shared" si="5"/>
        <v>296.59081496045565</v>
      </c>
      <c r="M156" s="292">
        <f t="shared" si="5"/>
        <v>713.42857142857144</v>
      </c>
      <c r="N156" s="292">
        <f t="shared" si="5"/>
        <v>685.28571428571433</v>
      </c>
      <c r="O156" s="293">
        <f t="shared" si="5"/>
        <v>832.85714285714289</v>
      </c>
    </row>
    <row r="157" spans="1:15">
      <c r="A157" s="658"/>
      <c r="B157" s="323" t="s">
        <v>25</v>
      </c>
      <c r="C157" s="135"/>
      <c r="D157" s="292">
        <f>+D70</f>
        <v>1490.3873818181817</v>
      </c>
      <c r="E157" s="292">
        <f t="shared" ref="E157:O157" si="6">+E70</f>
        <v>1035.2837617473433</v>
      </c>
      <c r="F157" s="292">
        <f t="shared" si="6"/>
        <v>3147.5702531286897</v>
      </c>
      <c r="G157" s="292">
        <f t="shared" si="6"/>
        <v>3928.4707443919719</v>
      </c>
      <c r="H157" s="292">
        <f t="shared" si="6"/>
        <v>10838.767254389364</v>
      </c>
      <c r="I157" s="292">
        <f t="shared" si="6"/>
        <v>13171.004215095309</v>
      </c>
      <c r="J157" s="292">
        <f t="shared" si="6"/>
        <v>1362.4682181071475</v>
      </c>
      <c r="K157" s="292">
        <f t="shared" si="6"/>
        <v>0</v>
      </c>
      <c r="L157" s="292">
        <f t="shared" si="6"/>
        <v>0</v>
      </c>
      <c r="M157" s="292">
        <f t="shared" si="6"/>
        <v>1259.9743710104185</v>
      </c>
      <c r="N157" s="292">
        <f t="shared" si="6"/>
        <v>1656.1633257768017</v>
      </c>
      <c r="O157" s="293">
        <f t="shared" si="6"/>
        <v>1500.7758155844156</v>
      </c>
    </row>
    <row r="158" spans="1:15">
      <c r="A158" s="658"/>
      <c r="B158" s="323" t="s">
        <v>26</v>
      </c>
      <c r="C158" s="135"/>
      <c r="D158" s="292">
        <f>+D77</f>
        <v>1057.6656925619836</v>
      </c>
      <c r="E158" s="292">
        <f t="shared" ref="E158:O158" si="7">+E77</f>
        <v>834.62178819362464</v>
      </c>
      <c r="F158" s="292">
        <f t="shared" si="7"/>
        <v>3049.9859258559627</v>
      </c>
      <c r="G158" s="292">
        <f t="shared" si="7"/>
        <v>3458.7223270365998</v>
      </c>
      <c r="H158" s="292">
        <f t="shared" si="7"/>
        <v>5816.206257378979</v>
      </c>
      <c r="I158" s="292">
        <f t="shared" si="7"/>
        <v>7578.876033057848</v>
      </c>
      <c r="J158" s="292">
        <f t="shared" si="7"/>
        <v>2852.0032872711981</v>
      </c>
      <c r="K158" s="292">
        <f t="shared" si="7"/>
        <v>1808.8119454384778</v>
      </c>
      <c r="L158" s="292">
        <f t="shared" si="7"/>
        <v>1055.7981074647159</v>
      </c>
      <c r="M158" s="292">
        <f t="shared" si="7"/>
        <v>1139.3769259740266</v>
      </c>
      <c r="N158" s="292">
        <f t="shared" si="7"/>
        <v>1563.7354663518304</v>
      </c>
      <c r="O158" s="293">
        <f t="shared" si="7"/>
        <v>1181.3744982290441</v>
      </c>
    </row>
    <row r="159" spans="1:15">
      <c r="A159" s="658"/>
      <c r="B159" s="323" t="s">
        <v>27</v>
      </c>
      <c r="C159" s="135"/>
      <c r="D159" s="292">
        <f>+D84</f>
        <v>7449.0338842975216</v>
      </c>
      <c r="E159" s="292">
        <f t="shared" ref="E159:O159" si="8">+E84</f>
        <v>6625.053128689493</v>
      </c>
      <c r="F159" s="292">
        <f t="shared" si="8"/>
        <v>11341.476623376622</v>
      </c>
      <c r="G159" s="292">
        <f t="shared" si="8"/>
        <v>12132.787012987013</v>
      </c>
      <c r="H159" s="292">
        <f t="shared" si="8"/>
        <v>20377.469893742622</v>
      </c>
      <c r="I159" s="292">
        <f t="shared" si="8"/>
        <v>22280.413223140487</v>
      </c>
      <c r="J159" s="292">
        <f t="shared" si="8"/>
        <v>10474.083452560451</v>
      </c>
      <c r="K159" s="292">
        <f t="shared" si="8"/>
        <v>7233.8708710583096</v>
      </c>
      <c r="L159" s="292">
        <f t="shared" si="8"/>
        <v>5497.8336446548001</v>
      </c>
      <c r="M159" s="292">
        <f t="shared" si="8"/>
        <v>8192.1657615112181</v>
      </c>
      <c r="N159" s="292">
        <f t="shared" si="8"/>
        <v>8825.0047225501767</v>
      </c>
      <c r="O159" s="293">
        <f t="shared" si="8"/>
        <v>7803.4761511216075</v>
      </c>
    </row>
    <row r="160" spans="1:15">
      <c r="A160" s="658"/>
      <c r="B160" s="323" t="s">
        <v>28</v>
      </c>
      <c r="C160" s="135"/>
      <c r="D160" s="292">
        <f>+D99</f>
        <v>5388.071233917356</v>
      </c>
      <c r="E160" s="292">
        <f t="shared" ref="E160:O160" si="9">+E99</f>
        <v>4863.5999072231407</v>
      </c>
      <c r="F160" s="292">
        <f t="shared" si="9"/>
        <v>6777.0651309752056</v>
      </c>
      <c r="G160" s="292">
        <f t="shared" si="9"/>
        <v>8246.7778850413215</v>
      </c>
      <c r="H160" s="292">
        <f t="shared" si="9"/>
        <v>12874.193443712455</v>
      </c>
      <c r="I160" s="292">
        <f t="shared" si="9"/>
        <v>10410.914109533</v>
      </c>
      <c r="J160" s="292">
        <f t="shared" si="9"/>
        <v>4816.234135563971</v>
      </c>
      <c r="K160" s="292">
        <f t="shared" si="9"/>
        <v>3840.2244504794553</v>
      </c>
      <c r="L160" s="292">
        <f t="shared" si="9"/>
        <v>3583.1176724594516</v>
      </c>
      <c r="M160" s="292">
        <f t="shared" si="9"/>
        <v>6325.7695211183163</v>
      </c>
      <c r="N160" s="292">
        <f t="shared" si="9"/>
        <v>6236.0491563766655</v>
      </c>
      <c r="O160" s="293">
        <f t="shared" si="9"/>
        <v>5658.8521224482447</v>
      </c>
    </row>
    <row r="161" spans="1:15">
      <c r="A161" s="658"/>
      <c r="B161" s="323" t="s">
        <v>29</v>
      </c>
      <c r="C161" s="135"/>
      <c r="D161" s="292">
        <f>+D108</f>
        <v>7420.5958677685958</v>
      </c>
      <c r="E161" s="292">
        <f t="shared" ref="E161:O161" si="10">+E108</f>
        <v>6467.4167650531308</v>
      </c>
      <c r="F161" s="292">
        <f t="shared" si="10"/>
        <v>11588.964226682407</v>
      </c>
      <c r="G161" s="292">
        <f t="shared" si="10"/>
        <v>11421.712632821725</v>
      </c>
      <c r="H161" s="292">
        <f t="shared" si="10"/>
        <v>17396.858323494693</v>
      </c>
      <c r="I161" s="292">
        <f t="shared" si="10"/>
        <v>19214.462809917342</v>
      </c>
      <c r="J161" s="292">
        <f t="shared" si="10"/>
        <v>9356.5462624778083</v>
      </c>
      <c r="K161" s="292">
        <f t="shared" si="10"/>
        <v>5474.5568214715331</v>
      </c>
      <c r="L161" s="292">
        <f t="shared" si="10"/>
        <v>4159.7344711010792</v>
      </c>
      <c r="M161" s="292">
        <f t="shared" si="10"/>
        <v>7408.9674144037799</v>
      </c>
      <c r="N161" s="292">
        <f t="shared" si="10"/>
        <v>8520.046044864228</v>
      </c>
      <c r="O161" s="293">
        <f t="shared" si="10"/>
        <v>7733.5340023612762</v>
      </c>
    </row>
    <row r="162" spans="1:15">
      <c r="A162" s="658"/>
      <c r="B162" s="323" t="s">
        <v>30</v>
      </c>
      <c r="C162" s="135"/>
      <c r="D162" s="292">
        <f>+D119</f>
        <v>0</v>
      </c>
      <c r="E162" s="292">
        <f t="shared" ref="E162:O162" si="11">+E119</f>
        <v>0</v>
      </c>
      <c r="F162" s="292">
        <f t="shared" si="11"/>
        <v>0</v>
      </c>
      <c r="G162" s="292">
        <f t="shared" si="11"/>
        <v>0</v>
      </c>
      <c r="H162" s="292">
        <f t="shared" si="11"/>
        <v>5823.4409943159708</v>
      </c>
      <c r="I162" s="292">
        <f t="shared" si="11"/>
        <v>6718.408342654945</v>
      </c>
      <c r="J162" s="292">
        <f t="shared" si="11"/>
        <v>688.58675754805699</v>
      </c>
      <c r="K162" s="292">
        <f t="shared" si="11"/>
        <v>1025.0090957824832</v>
      </c>
      <c r="L162" s="292">
        <f t="shared" si="11"/>
        <v>584.83380263413642</v>
      </c>
      <c r="M162" s="292">
        <f t="shared" si="11"/>
        <v>0</v>
      </c>
      <c r="N162" s="292">
        <f t="shared" si="11"/>
        <v>0</v>
      </c>
      <c r="O162" s="293">
        <f t="shared" si="11"/>
        <v>0</v>
      </c>
    </row>
    <row r="163" spans="1:15" ht="13.5" thickBot="1">
      <c r="A163" s="658"/>
      <c r="B163" s="324"/>
      <c r="C163" s="180"/>
      <c r="D163" s="180"/>
      <c r="E163" s="180"/>
      <c r="F163" s="180"/>
      <c r="G163" s="180"/>
      <c r="H163" s="180"/>
      <c r="I163" s="180"/>
      <c r="J163" s="180"/>
      <c r="K163" s="180"/>
      <c r="L163" s="180"/>
      <c r="M163" s="180"/>
      <c r="N163" s="180"/>
      <c r="O163" s="280"/>
    </row>
    <row r="164" spans="1:15">
      <c r="A164" s="658"/>
    </row>
    <row r="165" spans="1:15">
      <c r="A165" s="658"/>
    </row>
    <row r="166" spans="1:15">
      <c r="A166" s="658"/>
    </row>
    <row r="167" spans="1:15">
      <c r="A167" s="658"/>
    </row>
  </sheetData>
  <sheetProtection objects="1" scenarios="1"/>
  <mergeCells count="2">
    <mergeCell ref="A147:A167"/>
    <mergeCell ref="N1:R1"/>
  </mergeCells>
  <phoneticPr fontId="0" type="noConversion"/>
  <pageMargins left="0.75" right="0.75" top="1" bottom="1" header="0.5" footer="0.5"/>
  <pageSetup scale="65" fitToHeight="0" orientation="landscape" horizontalDpi="4294967292" verticalDpi="0" r:id="rId1"/>
  <headerFooter alignWithMargins="0">
    <oddHeader>&amp;C&amp;"Arial,Bold"&amp;12Bear River Spreadsheet Model
Dry Year Conditions</oddHeader>
    <oddFooter>&amp;L&amp;F &amp;A&amp;RAPPENDIX A (Page &amp;P of &amp;N)</oddFooter>
  </headerFooter>
  <rowBreaks count="2" manualBreakCount="2">
    <brk id="38" max="16" man="1"/>
    <brk id="86" max="16" man="1"/>
  </rowBreaks>
  <legacyDrawing r:id="rId2"/>
</worksheet>
</file>

<file path=xl/worksheets/sheet26.xml><?xml version="1.0" encoding="utf-8"?>
<worksheet xmlns="http://schemas.openxmlformats.org/spreadsheetml/2006/main" xmlns:r="http://schemas.openxmlformats.org/officeDocument/2006/relationships">
  <sheetPr codeName="Sheet26">
    <pageSetUpPr autoPageBreaks="0"/>
  </sheetPr>
  <dimension ref="A1:S217"/>
  <sheetViews>
    <sheetView showGridLines="0" zoomScale="75" zoomScaleNormal="75" workbookViewId="0">
      <pane ySplit="1" topLeftCell="A122" activePane="bottomLeft" state="frozen"/>
      <selection activeCell="B26" sqref="B26"/>
      <selection pane="bottomLeft" activeCell="R162" sqref="R162"/>
    </sheetView>
  </sheetViews>
  <sheetFormatPr defaultRowHeight="12.75"/>
  <cols>
    <col min="2" max="3" width="32.7109375" customWidth="1"/>
    <col min="7" max="8" width="13.28515625" bestFit="1" customWidth="1"/>
    <col min="9" max="9" width="12" bestFit="1" customWidth="1"/>
    <col min="10" max="10" width="9.28515625" bestFit="1" customWidth="1"/>
    <col min="17" max="17" width="9.140625" style="237"/>
    <col min="18" max="18" width="11" bestFit="1" customWidth="1"/>
  </cols>
  <sheetData>
    <row r="1" spans="2:19" ht="81" customHeight="1">
      <c r="B1" s="321"/>
      <c r="C1" s="321"/>
      <c r="D1" s="321" t="s">
        <v>487</v>
      </c>
      <c r="J1" s="674" t="s">
        <v>541</v>
      </c>
      <c r="K1" s="674"/>
      <c r="L1" s="674"/>
      <c r="M1" s="674"/>
      <c r="N1" s="674"/>
    </row>
    <row r="2" spans="2:19" ht="18">
      <c r="B2" s="321" t="s">
        <v>486</v>
      </c>
      <c r="C2" s="8"/>
      <c r="D2" s="4"/>
      <c r="E2" s="272"/>
      <c r="F2" s="272"/>
      <c r="G2" s="664"/>
      <c r="H2" s="664"/>
      <c r="I2" s="664"/>
      <c r="J2" s="664"/>
      <c r="K2" s="664"/>
      <c r="L2" s="664"/>
      <c r="M2" s="664"/>
      <c r="N2" s="664"/>
      <c r="O2" s="664"/>
      <c r="P2" s="664"/>
      <c r="Q2" s="664"/>
      <c r="R2" s="664"/>
    </row>
    <row r="3" spans="2:19" ht="18">
      <c r="B3" s="8"/>
      <c r="C3" s="8"/>
      <c r="D3" s="4"/>
      <c r="E3" s="272"/>
      <c r="F3" s="272"/>
      <c r="G3" s="360"/>
      <c r="H3" s="360"/>
      <c r="I3" s="360"/>
      <c r="J3" s="360"/>
      <c r="K3" s="360"/>
      <c r="L3" s="360"/>
      <c r="M3" s="360"/>
      <c r="N3" s="360"/>
      <c r="O3" s="360"/>
      <c r="P3" s="360"/>
      <c r="Q3" s="360"/>
      <c r="R3" s="360"/>
      <c r="S3" s="420"/>
    </row>
    <row r="4" spans="2:19" ht="18">
      <c r="B4" s="8" t="s">
        <v>446</v>
      </c>
      <c r="C4" s="8"/>
      <c r="D4" s="4"/>
      <c r="E4" s="272"/>
      <c r="F4" s="272"/>
      <c r="G4" s="360"/>
      <c r="H4" s="360"/>
      <c r="I4" s="360"/>
      <c r="J4" s="360"/>
      <c r="K4" s="360"/>
      <c r="L4" s="360"/>
      <c r="M4" s="360"/>
      <c r="N4" s="360"/>
      <c r="O4" s="360"/>
      <c r="P4" s="360"/>
      <c r="Q4" s="360"/>
      <c r="R4" s="360"/>
    </row>
    <row r="5" spans="2:19" ht="13.5" thickBot="1">
      <c r="B5" s="4"/>
      <c r="C5" s="4"/>
      <c r="D5" s="4"/>
      <c r="E5" s="272"/>
      <c r="F5" s="272"/>
      <c r="G5" s="272"/>
      <c r="H5" s="272"/>
      <c r="I5" s="272"/>
      <c r="J5" s="272"/>
      <c r="K5" s="272"/>
      <c r="L5" s="272"/>
      <c r="M5" s="272"/>
      <c r="N5" s="272"/>
      <c r="O5" s="272"/>
      <c r="P5" s="272"/>
      <c r="Q5" s="341"/>
    </row>
    <row r="6" spans="2:19" ht="15.75" thickBot="1">
      <c r="B6" s="281" t="s">
        <v>314</v>
      </c>
      <c r="C6" s="11"/>
      <c r="D6" s="322" t="s">
        <v>80</v>
      </c>
      <c r="E6" s="11" t="s">
        <v>0</v>
      </c>
      <c r="F6" s="11" t="s">
        <v>1</v>
      </c>
      <c r="G6" s="11" t="s">
        <v>2</v>
      </c>
      <c r="H6" s="11" t="s">
        <v>3</v>
      </c>
      <c r="I6" s="11" t="s">
        <v>4</v>
      </c>
      <c r="J6" s="11" t="s">
        <v>5</v>
      </c>
      <c r="K6" s="11" t="s">
        <v>6</v>
      </c>
      <c r="L6" s="11" t="s">
        <v>7</v>
      </c>
      <c r="M6" s="11" t="s">
        <v>8</v>
      </c>
      <c r="N6" s="11" t="s">
        <v>9</v>
      </c>
      <c r="O6" s="11" t="s">
        <v>10</v>
      </c>
      <c r="P6" s="12" t="s">
        <v>11</v>
      </c>
      <c r="Q6" s="337" t="s">
        <v>18</v>
      </c>
    </row>
    <row r="7" spans="2:19" ht="15">
      <c r="B7" s="298" t="s">
        <v>388</v>
      </c>
      <c r="C7" s="172" t="str">
        <f>VLOOKUP(LEFT(B7,9),NodeList!$D$5:$E$73,2,FALSE)</f>
        <v>USGS 10011500:  Bear River near UT-WY State Line</v>
      </c>
      <c r="D7" s="338">
        <v>1</v>
      </c>
      <c r="E7" s="339">
        <f>VLOOKUP($B7,'Reach 1'!$B$3:$O$210,3,FALSE)</f>
        <v>0</v>
      </c>
      <c r="F7" s="339">
        <f>VLOOKUP($B7,'Reach 1'!$B$3:$O$210,4,FALSE)</f>
        <v>0</v>
      </c>
      <c r="G7" s="339">
        <f>VLOOKUP($B7,'Reach 1'!$B$3:$O$210,5,FALSE)</f>
        <v>0</v>
      </c>
      <c r="H7" s="339">
        <f>VLOOKUP($B7,'Reach 1'!$B$3:$O$210,6,FALSE)</f>
        <v>0</v>
      </c>
      <c r="I7" s="339">
        <f>VLOOKUP($B7,'Reach 1'!$B$3:$O$210,7,FALSE)</f>
        <v>0</v>
      </c>
      <c r="J7" s="339">
        <f>VLOOKUP($B7,'Reach 1'!$B$3:$O$210,8,FALSE)</f>
        <v>0</v>
      </c>
      <c r="K7" s="339">
        <f>VLOOKUP($B7,'Reach 1'!$B$3:$O$210,9,FALSE)</f>
        <v>0</v>
      </c>
      <c r="L7" s="339">
        <f>VLOOKUP($B7,'Reach 1'!$B$3:$O$210,10,FALSE)</f>
        <v>0</v>
      </c>
      <c r="M7" s="339">
        <f>VLOOKUP($B7,'Reach 1'!$B$3:$O$210,11,FALSE)</f>
        <v>0</v>
      </c>
      <c r="N7" s="339">
        <f>VLOOKUP($B7,'Reach 1'!$B$3:$O$210,12,FALSE)</f>
        <v>0</v>
      </c>
      <c r="O7" s="339">
        <f>VLOOKUP($B7,'Reach 1'!$B$3:$O$210,13,FALSE)</f>
        <v>0</v>
      </c>
      <c r="P7" s="340">
        <f>VLOOKUP($B7,'Reach 1'!$B$3:$O$210,14,FALSE)</f>
        <v>0</v>
      </c>
      <c r="Q7" s="342">
        <f>SUM(E7:P7)</f>
        <v>0</v>
      </c>
      <c r="R7" s="96"/>
    </row>
    <row r="8" spans="2:19" ht="15">
      <c r="B8" s="298" t="s">
        <v>389</v>
      </c>
      <c r="C8" s="172" t="str">
        <f>VLOOKUP(LEFT(B8,9),NodeList!$D$5:$E$73,2,FALSE)</f>
        <v>Lannon &amp; Lone Mountain</v>
      </c>
      <c r="D8" s="273">
        <v>1</v>
      </c>
      <c r="E8" s="274">
        <f>VLOOKUP($B8,'Reach 1'!$B$3:$O$210,3,FALSE)</f>
        <v>0</v>
      </c>
      <c r="F8" s="274">
        <f>VLOOKUP($B8,'Reach 1'!$B$3:$O$210,4,FALSE)</f>
        <v>0</v>
      </c>
      <c r="G8" s="274">
        <f>VLOOKUP($B8,'Reach 1'!$B$3:$O$210,5,FALSE)</f>
        <v>0</v>
      </c>
      <c r="H8" s="274">
        <f>VLOOKUP($B8,'Reach 1'!$B$3:$O$210,6,FALSE)</f>
        <v>0</v>
      </c>
      <c r="I8" s="274">
        <f>VLOOKUP($B8,'Reach 1'!$B$3:$O$210,7,FALSE)</f>
        <v>783.79691711146677</v>
      </c>
      <c r="J8" s="274">
        <f>VLOOKUP($B8,'Reach 1'!$B$3:$O$210,8,FALSE)</f>
        <v>940.39186782582658</v>
      </c>
      <c r="K8" s="274">
        <f>VLOOKUP($B8,'Reach 1'!$B$3:$O$210,9,FALSE)</f>
        <v>530.45671204824384</v>
      </c>
      <c r="L8" s="274">
        <f>VLOOKUP($B8,'Reach 1'!$B$3:$O$210,10,FALSE)</f>
        <v>139.23067744886362</v>
      </c>
      <c r="M8" s="274">
        <f>VLOOKUP($B8,'Reach 1'!$B$3:$O$210,11,FALSE)</f>
        <v>56.579838640289253</v>
      </c>
      <c r="N8" s="274">
        <f>VLOOKUP($B8,'Reach 1'!$B$3:$O$210,12,FALSE)</f>
        <v>0</v>
      </c>
      <c r="O8" s="274">
        <f>VLOOKUP($B8,'Reach 1'!$B$3:$O$210,13,FALSE)</f>
        <v>0</v>
      </c>
      <c r="P8" s="275">
        <f>VLOOKUP($B8,'Reach 1'!$B$3:$O$210,14,FALSE)</f>
        <v>0</v>
      </c>
      <c r="Q8" s="343">
        <f t="shared" ref="Q8:Q21" si="0">SUM(E8:P8)</f>
        <v>2450.4560130746904</v>
      </c>
    </row>
    <row r="9" spans="2:19" ht="15">
      <c r="B9" s="298" t="s">
        <v>390</v>
      </c>
      <c r="C9" s="172" t="str">
        <f>VLOOKUP(LEFT(B9,9),NodeList!$D$5:$E$73,2,FALSE)</f>
        <v>Hilliard West Side</v>
      </c>
      <c r="D9" s="273">
        <v>1</v>
      </c>
      <c r="E9" s="274">
        <f>VLOOKUP($B9,'Reach 1'!$B$3:$O$210,3,FALSE)</f>
        <v>0</v>
      </c>
      <c r="F9" s="274">
        <f>VLOOKUP($B9,'Reach 1'!$B$3:$O$210,4,FALSE)</f>
        <v>0</v>
      </c>
      <c r="G9" s="274">
        <f>VLOOKUP($B9,'Reach 1'!$B$3:$O$210,5,FALSE)</f>
        <v>0</v>
      </c>
      <c r="H9" s="274">
        <f>VLOOKUP($B9,'Reach 1'!$B$3:$O$210,6,FALSE)</f>
        <v>0</v>
      </c>
      <c r="I9" s="274">
        <f>VLOOKUP($B9,'Reach 1'!$B$3:$O$210,7,FALSE)</f>
        <v>1110.2200528911158</v>
      </c>
      <c r="J9" s="274">
        <f>VLOOKUP($B9,'Reach 1'!$B$3:$O$210,8,FALSE)</f>
        <v>1762.9816121342976</v>
      </c>
      <c r="K9" s="274">
        <f>VLOOKUP($B9,'Reach 1'!$B$3:$O$210,9,FALSE)</f>
        <v>759.68810638553737</v>
      </c>
      <c r="L9" s="274">
        <f>VLOOKUP($B9,'Reach 1'!$B$3:$O$210,10,FALSE)</f>
        <v>156.40355244752067</v>
      </c>
      <c r="M9" s="274">
        <f>VLOOKUP($B9,'Reach 1'!$B$3:$O$210,11,FALSE)</f>
        <v>167.44052331477275</v>
      </c>
      <c r="N9" s="274">
        <f>VLOOKUP($B9,'Reach 1'!$B$3:$O$210,12,FALSE)</f>
        <v>0</v>
      </c>
      <c r="O9" s="274">
        <f>VLOOKUP($B9,'Reach 1'!$B$3:$O$210,13,FALSE)</f>
        <v>0</v>
      </c>
      <c r="P9" s="275">
        <f>VLOOKUP($B9,'Reach 1'!$B$3:$O$210,14,FALSE)</f>
        <v>0</v>
      </c>
      <c r="Q9" s="343">
        <f t="shared" si="0"/>
        <v>3956.7338471732442</v>
      </c>
      <c r="S9" s="96"/>
    </row>
    <row r="10" spans="2:19" ht="15">
      <c r="B10" s="298" t="s">
        <v>391</v>
      </c>
      <c r="C10" s="172" t="str">
        <f>VLOOKUP(LEFT(B10,9),NodeList!$D$5:$E$73,2,FALSE)</f>
        <v>Bear Canal</v>
      </c>
      <c r="D10" s="273">
        <v>1</v>
      </c>
      <c r="E10" s="274">
        <f>VLOOKUP($B10,'Reach 1'!$B$3:$O$210,3,FALSE)</f>
        <v>0</v>
      </c>
      <c r="F10" s="274">
        <f>VLOOKUP($B10,'Reach 1'!$B$3:$O$210,4,FALSE)</f>
        <v>0</v>
      </c>
      <c r="G10" s="274">
        <f>VLOOKUP($B10,'Reach 1'!$B$3:$O$210,5,FALSE)</f>
        <v>0</v>
      </c>
      <c r="H10" s="274">
        <f>VLOOKUP($B10,'Reach 1'!$B$3:$O$210,6,FALSE)</f>
        <v>0</v>
      </c>
      <c r="I10" s="274">
        <f>VLOOKUP($B10,'Reach 1'!$B$3:$O$210,7,FALSE)</f>
        <v>1965.6305462113635</v>
      </c>
      <c r="J10" s="274">
        <f>VLOOKUP($B10,'Reach 1'!$B$3:$O$210,8,FALSE)</f>
        <v>3298.0788354802685</v>
      </c>
      <c r="K10" s="274">
        <f>VLOOKUP($B10,'Reach 1'!$B$3:$O$210,9,FALSE)</f>
        <v>1684.1485608552687</v>
      </c>
      <c r="L10" s="274">
        <f>VLOOKUP($B10,'Reach 1'!$B$3:$O$210,10,FALSE)</f>
        <v>532.35795900309915</v>
      </c>
      <c r="M10" s="274">
        <f>VLOOKUP($B10,'Reach 1'!$B$3:$O$210,11,FALSE)</f>
        <v>409.02576384132237</v>
      </c>
      <c r="N10" s="274">
        <f>VLOOKUP($B10,'Reach 1'!$B$3:$O$210,12,FALSE)</f>
        <v>0</v>
      </c>
      <c r="O10" s="274">
        <f>VLOOKUP($B10,'Reach 1'!$B$3:$O$210,13,FALSE)</f>
        <v>0</v>
      </c>
      <c r="P10" s="275">
        <f>VLOOKUP($B10,'Reach 1'!$B$3:$O$210,14,FALSE)</f>
        <v>0</v>
      </c>
      <c r="Q10" s="343">
        <f t="shared" si="0"/>
        <v>7889.2416653913224</v>
      </c>
    </row>
    <row r="11" spans="2:19" ht="15">
      <c r="B11" s="298" t="s">
        <v>392</v>
      </c>
      <c r="C11" s="172" t="str">
        <f>VLOOKUP(LEFT(B11,9),NodeList!$D$5:$E$73,2,FALSE)</f>
        <v>Crown &amp; Pine Grove</v>
      </c>
      <c r="D11" s="273">
        <v>1</v>
      </c>
      <c r="E11" s="274">
        <f>VLOOKUP($B11,'Reach 1'!$B$3:$O$210,3,FALSE)</f>
        <v>0</v>
      </c>
      <c r="F11" s="274">
        <f>VLOOKUP($B11,'Reach 1'!$B$3:$O$210,4,FALSE)</f>
        <v>0</v>
      </c>
      <c r="G11" s="274">
        <f>VLOOKUP($B11,'Reach 1'!$B$3:$O$210,5,FALSE)</f>
        <v>0</v>
      </c>
      <c r="H11" s="274">
        <f>VLOOKUP($B11,'Reach 1'!$B$3:$O$210,6,FALSE)</f>
        <v>0</v>
      </c>
      <c r="I11" s="274">
        <f>VLOOKUP($B11,'Reach 1'!$B$3:$O$210,7,FALSE)</f>
        <v>688.77645359721078</v>
      </c>
      <c r="J11" s="274">
        <f>VLOOKUP($B11,'Reach 1'!$B$3:$O$210,8,FALSE)</f>
        <v>1474.1965535522727</v>
      </c>
      <c r="K11" s="274">
        <f>VLOOKUP($B11,'Reach 1'!$B$3:$O$210,9,FALSE)</f>
        <v>660.88451192014452</v>
      </c>
      <c r="L11" s="274">
        <f>VLOOKUP($B11,'Reach 1'!$B$3:$O$210,10,FALSE)</f>
        <v>167.19384398522726</v>
      </c>
      <c r="M11" s="274">
        <f>VLOOKUP($B11,'Reach 1'!$B$3:$O$210,11,FALSE)</f>
        <v>142.57387187086778</v>
      </c>
      <c r="N11" s="274">
        <f>VLOOKUP($B11,'Reach 1'!$B$3:$O$210,12,FALSE)</f>
        <v>0</v>
      </c>
      <c r="O11" s="274">
        <f>VLOOKUP($B11,'Reach 1'!$B$3:$O$210,13,FALSE)</f>
        <v>0</v>
      </c>
      <c r="P11" s="275">
        <f>VLOOKUP($B11,'Reach 1'!$B$3:$O$210,14,FALSE)</f>
        <v>0</v>
      </c>
      <c r="Q11" s="343">
        <f t="shared" si="0"/>
        <v>3133.6252349257229</v>
      </c>
    </row>
    <row r="12" spans="2:19" ht="15">
      <c r="B12" s="298" t="s">
        <v>393</v>
      </c>
      <c r="C12" s="172" t="str">
        <f>VLOOKUP(LEFT(B12,9),NodeList!$D$5:$E$73,2,FALSE)</f>
        <v>McGraw &amp; Big Bend</v>
      </c>
      <c r="D12" s="273">
        <v>1</v>
      </c>
      <c r="E12" s="274">
        <f>VLOOKUP($B12,'Reach 1'!$B$3:$O$210,3,FALSE)</f>
        <v>0</v>
      </c>
      <c r="F12" s="274">
        <f>VLOOKUP($B12,'Reach 1'!$B$3:$O$210,4,FALSE)</f>
        <v>0</v>
      </c>
      <c r="G12" s="274">
        <f>VLOOKUP($B12,'Reach 1'!$B$3:$O$210,5,FALSE)</f>
        <v>0</v>
      </c>
      <c r="H12" s="274">
        <f>VLOOKUP($B12,'Reach 1'!$B$3:$O$210,6,FALSE)</f>
        <v>0</v>
      </c>
      <c r="I12" s="274">
        <f>VLOOKUP($B12,'Reach 1'!$B$3:$O$210,7,FALSE)</f>
        <v>1066.3551253000001</v>
      </c>
      <c r="J12" s="274">
        <f>VLOOKUP($B12,'Reach 1'!$B$3:$O$210,8,FALSE)</f>
        <v>930.54365335960745</v>
      </c>
      <c r="K12" s="274">
        <f>VLOOKUP($B12,'Reach 1'!$B$3:$O$210,9,FALSE)</f>
        <v>321.34674799690083</v>
      </c>
      <c r="L12" s="274">
        <f>VLOOKUP($B12,'Reach 1'!$B$3:$O$210,10,FALSE)</f>
        <v>132.03061810692148</v>
      </c>
      <c r="M12" s="274">
        <f>VLOOKUP($B12,'Reach 1'!$B$3:$O$210,11,FALSE)</f>
        <v>69.622272131404969</v>
      </c>
      <c r="N12" s="274">
        <f>VLOOKUP($B12,'Reach 1'!$B$3:$O$210,12,FALSE)</f>
        <v>0</v>
      </c>
      <c r="O12" s="274">
        <f>VLOOKUP($B12,'Reach 1'!$B$3:$O$210,13,FALSE)</f>
        <v>0</v>
      </c>
      <c r="P12" s="275">
        <f>VLOOKUP($B12,'Reach 1'!$B$3:$O$210,14,FALSE)</f>
        <v>0</v>
      </c>
      <c r="Q12" s="343">
        <f t="shared" si="0"/>
        <v>2519.8984168948346</v>
      </c>
    </row>
    <row r="13" spans="2:19" ht="15">
      <c r="B13" s="298" t="s">
        <v>394</v>
      </c>
      <c r="C13" s="172" t="str">
        <f>VLOOKUP(LEFT(B13,9),NodeList!$D$5:$E$73,2,FALSE)</f>
        <v>Lewis</v>
      </c>
      <c r="D13" s="273">
        <v>1</v>
      </c>
      <c r="E13" s="274">
        <f>VLOOKUP($B13,'Reach 1'!$B$3:$O$210,3,FALSE)</f>
        <v>0</v>
      </c>
      <c r="F13" s="274">
        <f>VLOOKUP($B13,'Reach 1'!$B$3:$O$210,4,FALSE)</f>
        <v>0</v>
      </c>
      <c r="G13" s="274">
        <f>VLOOKUP($B13,'Reach 1'!$B$3:$O$210,5,FALSE)</f>
        <v>0</v>
      </c>
      <c r="H13" s="274">
        <f>VLOOKUP($B13,'Reach 1'!$B$3:$O$210,6,FALSE)</f>
        <v>0</v>
      </c>
      <c r="I13" s="274">
        <f>VLOOKUP($B13,'Reach 1'!$B$3:$O$210,7,FALSE)</f>
        <v>145.79468247933883</v>
      </c>
      <c r="J13" s="274">
        <f>VLOOKUP($B13,'Reach 1'!$B$3:$O$210,8,FALSE)</f>
        <v>275.63793846725207</v>
      </c>
      <c r="K13" s="274">
        <f>VLOOKUP($B13,'Reach 1'!$B$3:$O$210,9,FALSE)</f>
        <v>279.33674740330582</v>
      </c>
      <c r="L13" s="274">
        <f>VLOOKUP($B13,'Reach 1'!$B$3:$O$210,10,FALSE)</f>
        <v>83.236883181095038</v>
      </c>
      <c r="M13" s="274">
        <f>VLOOKUP($B13,'Reach 1'!$B$3:$O$210,11,FALSE)</f>
        <v>37.193667086776856</v>
      </c>
      <c r="N13" s="274">
        <f>VLOOKUP($B13,'Reach 1'!$B$3:$O$210,12,FALSE)</f>
        <v>0</v>
      </c>
      <c r="O13" s="274">
        <f>VLOOKUP($B13,'Reach 1'!$B$3:$O$210,13,FALSE)</f>
        <v>0</v>
      </c>
      <c r="P13" s="275">
        <f>VLOOKUP($B13,'Reach 1'!$B$3:$O$210,14,FALSE)</f>
        <v>0</v>
      </c>
      <c r="Q13" s="343">
        <f t="shared" si="0"/>
        <v>821.1999186177685</v>
      </c>
    </row>
    <row r="14" spans="2:19" ht="15">
      <c r="B14" s="298" t="s">
        <v>395</v>
      </c>
      <c r="C14" s="172" t="str">
        <f>VLOOKUP(LEFT(B14,9),NodeList!$D$5:$E$73,2,FALSE)</f>
        <v>Meyers No. 2</v>
      </c>
      <c r="D14" s="273">
        <v>1</v>
      </c>
      <c r="E14" s="274">
        <f>VLOOKUP($B14,'Reach 1'!$B$3:$O$210,3,FALSE)</f>
        <v>0</v>
      </c>
      <c r="F14" s="274">
        <f>VLOOKUP($B14,'Reach 1'!$B$3:$O$210,4,FALSE)</f>
        <v>0</v>
      </c>
      <c r="G14" s="274">
        <f>VLOOKUP($B14,'Reach 1'!$B$3:$O$210,5,FALSE)</f>
        <v>0</v>
      </c>
      <c r="H14" s="274">
        <f>VLOOKUP($B14,'Reach 1'!$B$3:$O$210,6,FALSE)</f>
        <v>0</v>
      </c>
      <c r="I14" s="274">
        <f>VLOOKUP($B14,'Reach 1'!$B$3:$O$210,7,FALSE)</f>
        <v>97.599716695661172</v>
      </c>
      <c r="J14" s="274">
        <f>VLOOKUP($B14,'Reach 1'!$B$3:$O$210,8,FALSE)</f>
        <v>299.55910064865702</v>
      </c>
      <c r="K14" s="274">
        <f>VLOOKUP($B14,'Reach 1'!$B$3:$O$210,9,FALSE)</f>
        <v>293.64884711952482</v>
      </c>
      <c r="L14" s="274">
        <f>VLOOKUP($B14,'Reach 1'!$B$3:$O$210,10,FALSE)</f>
        <v>125.18575509411157</v>
      </c>
      <c r="M14" s="274">
        <f>VLOOKUP($B14,'Reach 1'!$B$3:$O$210,11,FALSE)</f>
        <v>81.671416827066125</v>
      </c>
      <c r="N14" s="274">
        <f>VLOOKUP($B14,'Reach 1'!$B$3:$O$210,12,FALSE)</f>
        <v>0</v>
      </c>
      <c r="O14" s="274">
        <f>VLOOKUP($B14,'Reach 1'!$B$3:$O$210,13,FALSE)</f>
        <v>0</v>
      </c>
      <c r="P14" s="275">
        <f>VLOOKUP($B14,'Reach 1'!$B$3:$O$210,14,FALSE)</f>
        <v>0</v>
      </c>
      <c r="Q14" s="343">
        <f t="shared" si="0"/>
        <v>897.66483638502064</v>
      </c>
    </row>
    <row r="15" spans="2:19" ht="15">
      <c r="B15" s="298" t="s">
        <v>396</v>
      </c>
      <c r="C15" s="172" t="str">
        <f>VLOOKUP(LEFT(B15,9),NodeList!$D$5:$E$73,2,FALSE)</f>
        <v>Meyers No. 1</v>
      </c>
      <c r="D15" s="273">
        <v>1</v>
      </c>
      <c r="E15" s="274">
        <f>VLOOKUP($B15,'Reach 1'!$B$3:$O$210,3,FALSE)</f>
        <v>0</v>
      </c>
      <c r="F15" s="274">
        <f>VLOOKUP($B15,'Reach 1'!$B$3:$O$210,4,FALSE)</f>
        <v>0</v>
      </c>
      <c r="G15" s="274">
        <f>VLOOKUP($B15,'Reach 1'!$B$3:$O$210,5,FALSE)</f>
        <v>0</v>
      </c>
      <c r="H15" s="274">
        <f>VLOOKUP($B15,'Reach 1'!$B$3:$O$210,6,FALSE)</f>
        <v>0</v>
      </c>
      <c r="I15" s="274">
        <f>VLOOKUP($B15,'Reach 1'!$B$3:$O$210,7,FALSE)</f>
        <v>142.0278677109504</v>
      </c>
      <c r="J15" s="274">
        <f>VLOOKUP($B15,'Reach 1'!$B$3:$O$210,8,FALSE)</f>
        <v>238.92985677727273</v>
      </c>
      <c r="K15" s="274">
        <f>VLOOKUP($B15,'Reach 1'!$B$3:$O$210,9,FALSE)</f>
        <v>273.69856300227275</v>
      </c>
      <c r="L15" s="274">
        <f>VLOOKUP($B15,'Reach 1'!$B$3:$O$210,10,FALSE)</f>
        <v>180.11688069793385</v>
      </c>
      <c r="M15" s="274">
        <f>VLOOKUP($B15,'Reach 1'!$B$3:$O$210,11,FALSE)</f>
        <v>52.911683655578514</v>
      </c>
      <c r="N15" s="274">
        <f>VLOOKUP($B15,'Reach 1'!$B$3:$O$210,12,FALSE)</f>
        <v>0</v>
      </c>
      <c r="O15" s="274">
        <f>VLOOKUP($B15,'Reach 1'!$B$3:$O$210,13,FALSE)</f>
        <v>0</v>
      </c>
      <c r="P15" s="275">
        <f>VLOOKUP($B15,'Reach 1'!$B$3:$O$210,14,FALSE)</f>
        <v>0</v>
      </c>
      <c r="Q15" s="343">
        <f t="shared" si="0"/>
        <v>887.68485184400822</v>
      </c>
    </row>
    <row r="16" spans="2:19" ht="15">
      <c r="B16" s="298" t="s">
        <v>397</v>
      </c>
      <c r="C16" s="172" t="str">
        <f>VLOOKUP(LEFT(B16,9),NodeList!$D$5:$E$73,2,FALSE)</f>
        <v>Meyers Irrigation</v>
      </c>
      <c r="D16" s="273">
        <v>1</v>
      </c>
      <c r="E16" s="274">
        <f>VLOOKUP($B16,'Reach 1'!$B$3:$O$210,3,FALSE)</f>
        <v>0</v>
      </c>
      <c r="F16" s="274">
        <f>VLOOKUP($B16,'Reach 1'!$B$3:$O$210,4,FALSE)</f>
        <v>0</v>
      </c>
      <c r="G16" s="274">
        <f>VLOOKUP($B16,'Reach 1'!$B$3:$O$210,5,FALSE)</f>
        <v>0</v>
      </c>
      <c r="H16" s="274">
        <f>VLOOKUP($B16,'Reach 1'!$B$3:$O$210,6,FALSE)</f>
        <v>0</v>
      </c>
      <c r="I16" s="274">
        <f>VLOOKUP($B16,'Reach 1'!$B$3:$O$210,7,FALSE)</f>
        <v>214.6277360820248</v>
      </c>
      <c r="J16" s="274">
        <f>VLOOKUP($B16,'Reach 1'!$B$3:$O$210,8,FALSE)</f>
        <v>247.11370614297519</v>
      </c>
      <c r="K16" s="274">
        <f>VLOOKUP($B16,'Reach 1'!$B$3:$O$210,9,FALSE)</f>
        <v>228.76809222252064</v>
      </c>
      <c r="L16" s="274">
        <f>VLOOKUP($B16,'Reach 1'!$B$3:$O$210,10,FALSE)</f>
        <v>112.81941612706611</v>
      </c>
      <c r="M16" s="274">
        <f>VLOOKUP($B16,'Reach 1'!$B$3:$O$210,11,FALSE)</f>
        <v>100.28145306570249</v>
      </c>
      <c r="N16" s="274">
        <f>VLOOKUP($B16,'Reach 1'!$B$3:$O$210,12,FALSE)</f>
        <v>0</v>
      </c>
      <c r="O16" s="274">
        <f>VLOOKUP($B16,'Reach 1'!$B$3:$O$210,13,FALSE)</f>
        <v>0</v>
      </c>
      <c r="P16" s="275">
        <f>VLOOKUP($B16,'Reach 1'!$B$3:$O$210,14,FALSE)</f>
        <v>0</v>
      </c>
      <c r="Q16" s="343">
        <f t="shared" si="0"/>
        <v>903.61040364028929</v>
      </c>
    </row>
    <row r="17" spans="2:17" ht="15">
      <c r="B17" s="298" t="s">
        <v>398</v>
      </c>
      <c r="C17" s="172" t="str">
        <f>VLOOKUP(LEFT(B17,9),NodeList!$D$5:$E$73,2,FALSE)</f>
        <v>Evanston Pipeline</v>
      </c>
      <c r="D17" s="273">
        <v>1</v>
      </c>
      <c r="E17" s="274">
        <f>VLOOKUP($B17,'Reach 1'!$B$3:$O$210,3,FALSE)</f>
        <v>0</v>
      </c>
      <c r="F17" s="274">
        <f>VLOOKUP($B17,'Reach 1'!$B$3:$O$210,4,FALSE)</f>
        <v>0</v>
      </c>
      <c r="G17" s="274">
        <f>VLOOKUP($B17,'Reach 1'!$B$3:$O$210,5,FALSE)</f>
        <v>0</v>
      </c>
      <c r="H17" s="274">
        <f>VLOOKUP($B17,'Reach 1'!$B$3:$O$210,6,FALSE)</f>
        <v>0</v>
      </c>
      <c r="I17" s="274">
        <f>VLOOKUP($B17,'Reach 1'!$B$3:$O$210,7,FALSE)</f>
        <v>275.75893700592286</v>
      </c>
      <c r="J17" s="274">
        <f>VLOOKUP($B17,'Reach 1'!$B$3:$O$210,8,FALSE)</f>
        <v>468.8110969685261</v>
      </c>
      <c r="K17" s="274">
        <f>VLOOKUP($B17,'Reach 1'!$B$3:$O$210,9,FALSE)</f>
        <v>651.2470224885675</v>
      </c>
      <c r="L17" s="274">
        <f>VLOOKUP($B17,'Reach 1'!$B$3:$O$210,10,FALSE)</f>
        <v>556.31488941033058</v>
      </c>
      <c r="M17" s="274">
        <f>VLOOKUP($B17,'Reach 1'!$B$3:$O$210,11,FALSE)</f>
        <v>399.4480644179751</v>
      </c>
      <c r="N17" s="274">
        <f>VLOOKUP($B17,'Reach 1'!$B$3:$O$210,12,FALSE)</f>
        <v>0</v>
      </c>
      <c r="O17" s="274">
        <f>VLOOKUP($B17,'Reach 1'!$B$3:$O$210,13,FALSE)</f>
        <v>0</v>
      </c>
      <c r="P17" s="275">
        <f>VLOOKUP($B17,'Reach 1'!$B$3:$O$210,14,FALSE)</f>
        <v>0</v>
      </c>
      <c r="Q17" s="343">
        <f t="shared" si="0"/>
        <v>2351.5800102913222</v>
      </c>
    </row>
    <row r="18" spans="2:17" ht="15">
      <c r="B18" s="298" t="s">
        <v>399</v>
      </c>
      <c r="C18" s="172" t="str">
        <f>VLOOKUP(LEFT(B18,9),NodeList!$D$5:$E$73,2,FALSE)</f>
        <v>Booth</v>
      </c>
      <c r="D18" s="273">
        <v>1</v>
      </c>
      <c r="E18" s="274">
        <f>VLOOKUP($B18,'Reach 1'!$B$3:$O$210,3,FALSE)</f>
        <v>0</v>
      </c>
      <c r="F18" s="274">
        <f>VLOOKUP($B18,'Reach 1'!$B$3:$O$210,4,FALSE)</f>
        <v>0</v>
      </c>
      <c r="G18" s="274">
        <f>VLOOKUP($B18,'Reach 1'!$B$3:$O$210,5,FALSE)</f>
        <v>0</v>
      </c>
      <c r="H18" s="274">
        <f>VLOOKUP($B18,'Reach 1'!$B$3:$O$210,6,FALSE)</f>
        <v>0</v>
      </c>
      <c r="I18" s="274">
        <f>VLOOKUP($B18,'Reach 1'!$B$3:$O$210,7,FALSE)</f>
        <v>404.51120453367764</v>
      </c>
      <c r="J18" s="274">
        <f>VLOOKUP($B18,'Reach 1'!$B$3:$O$210,8,FALSE)</f>
        <v>679.45942062572317</v>
      </c>
      <c r="K18" s="274">
        <f>VLOOKUP($B18,'Reach 1'!$B$3:$O$210,9,FALSE)</f>
        <v>457.62821301074382</v>
      </c>
      <c r="L18" s="274">
        <f>VLOOKUP($B18,'Reach 1'!$B$3:$O$210,10,FALSE)</f>
        <v>250.82871178037192</v>
      </c>
      <c r="M18" s="274">
        <f>VLOOKUP($B18,'Reach 1'!$B$3:$O$210,11,FALSE)</f>
        <v>202.24233285991738</v>
      </c>
      <c r="N18" s="274">
        <f>VLOOKUP($B18,'Reach 1'!$B$3:$O$210,12,FALSE)</f>
        <v>0</v>
      </c>
      <c r="O18" s="274">
        <f>VLOOKUP($B18,'Reach 1'!$B$3:$O$210,13,FALSE)</f>
        <v>0</v>
      </c>
      <c r="P18" s="275">
        <f>VLOOKUP($B18,'Reach 1'!$B$3:$O$210,14,FALSE)</f>
        <v>0</v>
      </c>
      <c r="Q18" s="343">
        <f t="shared" si="0"/>
        <v>1994.669882810434</v>
      </c>
    </row>
    <row r="19" spans="2:17" ht="15">
      <c r="B19" s="298" t="s">
        <v>400</v>
      </c>
      <c r="C19" s="172" t="str">
        <f>VLOOKUP(LEFT(B19,9),NodeList!$D$5:$E$73,2,FALSE)</f>
        <v>Anel</v>
      </c>
      <c r="D19" s="273">
        <v>1</v>
      </c>
      <c r="E19" s="274">
        <f>VLOOKUP($B19,'Reach 1'!$B$3:$O$210,3,FALSE)</f>
        <v>0</v>
      </c>
      <c r="F19" s="274">
        <f>VLOOKUP($B19,'Reach 1'!$B$3:$O$210,4,FALSE)</f>
        <v>0</v>
      </c>
      <c r="G19" s="274">
        <f>VLOOKUP($B19,'Reach 1'!$B$3:$O$210,5,FALSE)</f>
        <v>0</v>
      </c>
      <c r="H19" s="274">
        <f>VLOOKUP($B19,'Reach 1'!$B$3:$O$210,6,FALSE)</f>
        <v>0</v>
      </c>
      <c r="I19" s="274">
        <f>VLOOKUP($B19,'Reach 1'!$B$3:$O$210,7,FALSE)</f>
        <v>211.33139231270664</v>
      </c>
      <c r="J19" s="274">
        <f>VLOOKUP($B19,'Reach 1'!$B$3:$O$210,8,FALSE)</f>
        <v>346.46868143150829</v>
      </c>
      <c r="K19" s="274">
        <f>VLOOKUP($B19,'Reach 1'!$B$3:$O$210,9,FALSE)</f>
        <v>196.28271956859504</v>
      </c>
      <c r="L19" s="274">
        <f>VLOOKUP($B19,'Reach 1'!$B$3:$O$210,10,FALSE)</f>
        <v>31.785912544214877</v>
      </c>
      <c r="M19" s="274">
        <f>VLOOKUP($B19,'Reach 1'!$B$3:$O$210,11,FALSE)</f>
        <v>17.479786898243805</v>
      </c>
      <c r="N19" s="274">
        <f>VLOOKUP($B19,'Reach 1'!$B$3:$O$210,12,FALSE)</f>
        <v>0</v>
      </c>
      <c r="O19" s="274">
        <f>VLOOKUP($B19,'Reach 1'!$B$3:$O$210,13,FALSE)</f>
        <v>0</v>
      </c>
      <c r="P19" s="275">
        <f>VLOOKUP($B19,'Reach 1'!$B$3:$O$210,14,FALSE)</f>
        <v>0</v>
      </c>
      <c r="Q19" s="343">
        <f t="shared" si="0"/>
        <v>803.34849275526869</v>
      </c>
    </row>
    <row r="20" spans="2:17" ht="15">
      <c r="B20" s="298" t="s">
        <v>401</v>
      </c>
      <c r="C20" s="172" t="str">
        <f>VLOOKUP(LEFT(B20,9),NodeList!$D$5:$E$73,2,FALSE)</f>
        <v>Evanston Water Supply</v>
      </c>
      <c r="D20" s="273">
        <v>1</v>
      </c>
      <c r="E20" s="274">
        <f>VLOOKUP($B20,'Reach 1'!$B$3:$O$210,3,FALSE)</f>
        <v>0</v>
      </c>
      <c r="F20" s="274">
        <f>VLOOKUP($B20,'Reach 1'!$B$3:$O$210,4,FALSE)</f>
        <v>0</v>
      </c>
      <c r="G20" s="274">
        <f>VLOOKUP($B20,'Reach 1'!$B$3:$O$210,5,FALSE)</f>
        <v>0</v>
      </c>
      <c r="H20" s="274">
        <f>VLOOKUP($B20,'Reach 1'!$B$3:$O$210,6,FALSE)</f>
        <v>0</v>
      </c>
      <c r="I20" s="274">
        <f>VLOOKUP($B20,'Reach 1'!$B$3:$O$210,7,FALSE)</f>
        <v>117.74779830588845</v>
      </c>
      <c r="J20" s="274">
        <f>VLOOKUP($B20,'Reach 1'!$B$3:$O$210,8,FALSE)</f>
        <v>255.06277154989669</v>
      </c>
      <c r="K20" s="274">
        <f>VLOOKUP($B20,'Reach 1'!$B$3:$O$210,9,FALSE)</f>
        <v>213.1787392119835</v>
      </c>
      <c r="L20" s="274">
        <f>VLOOKUP($B20,'Reach 1'!$B$3:$O$210,10,FALSE)</f>
        <v>136.76054564504133</v>
      </c>
      <c r="M20" s="274">
        <f>VLOOKUP($B20,'Reach 1'!$B$3:$O$210,11,FALSE)</f>
        <v>42.892561983471076</v>
      </c>
      <c r="N20" s="274">
        <f>VLOOKUP($B20,'Reach 1'!$B$3:$O$210,12,FALSE)</f>
        <v>0</v>
      </c>
      <c r="O20" s="274">
        <f>VLOOKUP($B20,'Reach 1'!$B$3:$O$210,13,FALSE)</f>
        <v>0</v>
      </c>
      <c r="P20" s="275">
        <f>VLOOKUP($B20,'Reach 1'!$B$3:$O$210,14,FALSE)</f>
        <v>0</v>
      </c>
      <c r="Q20" s="343">
        <f t="shared" si="0"/>
        <v>765.64241669628109</v>
      </c>
    </row>
    <row r="21" spans="2:17" ht="15">
      <c r="B21" s="298" t="s">
        <v>402</v>
      </c>
      <c r="C21" s="172" t="str">
        <f>VLOOKUP(LEFT(B21,9),NodeList!$D$5:$E$73,2,FALSE)</f>
        <v>AggDiv BR-1</v>
      </c>
      <c r="D21" s="273">
        <v>1</v>
      </c>
      <c r="E21" s="274">
        <f>VLOOKUP($B21,'Reach 1'!$B$3:$O$210,3,FALSE)</f>
        <v>0</v>
      </c>
      <c r="F21" s="274">
        <f>VLOOKUP($B21,'Reach 1'!$B$3:$O$210,4,FALSE)</f>
        <v>0</v>
      </c>
      <c r="G21" s="274">
        <f>VLOOKUP($B21,'Reach 1'!$B$3:$O$210,5,FALSE)</f>
        <v>0</v>
      </c>
      <c r="H21" s="274">
        <f>VLOOKUP($B21,'Reach 1'!$B$3:$O$210,6,FALSE)</f>
        <v>0</v>
      </c>
      <c r="I21" s="274">
        <f>VLOOKUP($B21,'Reach 1'!$B$3:$O$210,7,FALSE)</f>
        <v>183.24374999999998</v>
      </c>
      <c r="J21" s="274">
        <f>VLOOKUP($B21,'Reach 1'!$B$3:$O$210,8,FALSE)</f>
        <v>418.04500000000007</v>
      </c>
      <c r="K21" s="274">
        <f>VLOOKUP($B21,'Reach 1'!$B$3:$O$210,9,FALSE)</f>
        <v>337.14875000000001</v>
      </c>
      <c r="L21" s="274">
        <f>VLOOKUP($B21,'Reach 1'!$B$3:$O$210,10,FALSE)</f>
        <v>116.71</v>
      </c>
      <c r="M21" s="274">
        <f>VLOOKUP($B21,'Reach 1'!$B$3:$O$210,11,FALSE)</f>
        <v>50.767499999999998</v>
      </c>
      <c r="N21" s="274">
        <f>VLOOKUP($B21,'Reach 1'!$B$3:$O$210,12,FALSE)</f>
        <v>0</v>
      </c>
      <c r="O21" s="274">
        <f>VLOOKUP($B21,'Reach 1'!$B$3:$O$210,13,FALSE)</f>
        <v>0</v>
      </c>
      <c r="P21" s="275">
        <f>VLOOKUP($B21,'Reach 1'!$B$3:$O$210,14,FALSE)</f>
        <v>0</v>
      </c>
      <c r="Q21" s="343">
        <f t="shared" si="0"/>
        <v>1105.915</v>
      </c>
    </row>
    <row r="22" spans="2:17" ht="15" thickBot="1">
      <c r="B22" s="299"/>
      <c r="C22" s="325"/>
      <c r="D22" s="276"/>
      <c r="E22" s="277"/>
      <c r="F22" s="277"/>
      <c r="G22" s="277"/>
      <c r="H22" s="277"/>
      <c r="I22" s="277"/>
      <c r="J22" s="277"/>
      <c r="K22" s="277"/>
      <c r="L22" s="277"/>
      <c r="M22" s="277"/>
      <c r="N22" s="277"/>
      <c r="O22" s="277"/>
      <c r="P22" s="278"/>
      <c r="Q22" s="344"/>
    </row>
    <row r="23" spans="2:17" ht="14.25">
      <c r="B23" s="187"/>
      <c r="C23" s="187"/>
      <c r="D23" s="4"/>
      <c r="E23" s="4"/>
      <c r="F23" s="4"/>
      <c r="G23" s="4"/>
      <c r="H23" s="4"/>
      <c r="I23" s="4"/>
      <c r="J23" s="4"/>
      <c r="K23" s="4"/>
      <c r="L23" s="4"/>
      <c r="M23" s="4"/>
      <c r="N23" s="4"/>
      <c r="O23" s="4"/>
      <c r="P23" s="4"/>
      <c r="Q23" s="341"/>
    </row>
    <row r="24" spans="2:17" ht="15">
      <c r="B24" s="8" t="s">
        <v>403</v>
      </c>
      <c r="C24" s="8"/>
      <c r="D24" s="4"/>
      <c r="E24" s="272"/>
      <c r="F24" s="272"/>
      <c r="G24" s="272"/>
      <c r="H24" s="272"/>
      <c r="I24" s="272"/>
      <c r="J24" s="272"/>
      <c r="K24" s="272"/>
      <c r="L24" s="272"/>
      <c r="M24" s="272"/>
      <c r="N24" s="272"/>
      <c r="O24" s="272"/>
      <c r="P24" s="272"/>
    </row>
    <row r="25" spans="2:17" ht="13.5" thickBot="1">
      <c r="B25" s="4"/>
      <c r="C25" s="4"/>
      <c r="D25" s="4"/>
      <c r="E25" s="272"/>
      <c r="F25" s="272"/>
      <c r="G25" s="272"/>
      <c r="H25" s="272"/>
      <c r="I25" s="272"/>
      <c r="J25" s="272"/>
      <c r="K25" s="272"/>
      <c r="L25" s="272"/>
      <c r="M25" s="272"/>
      <c r="N25" s="272"/>
      <c r="O25" s="272"/>
      <c r="P25" s="272"/>
    </row>
    <row r="26" spans="2:17" ht="15.75" thickBot="1">
      <c r="B26" s="281" t="s">
        <v>314</v>
      </c>
      <c r="C26" s="11"/>
      <c r="D26" s="322" t="s">
        <v>80</v>
      </c>
      <c r="E26" s="11" t="s">
        <v>0</v>
      </c>
      <c r="F26" s="11" t="s">
        <v>1</v>
      </c>
      <c r="G26" s="11" t="s">
        <v>2</v>
      </c>
      <c r="H26" s="11" t="s">
        <v>3</v>
      </c>
      <c r="I26" s="11" t="s">
        <v>4</v>
      </c>
      <c r="J26" s="11" t="s">
        <v>5</v>
      </c>
      <c r="K26" s="11" t="s">
        <v>6</v>
      </c>
      <c r="L26" s="11" t="s">
        <v>7</v>
      </c>
      <c r="M26" s="11" t="s">
        <v>8</v>
      </c>
      <c r="N26" s="11" t="s">
        <v>9</v>
      </c>
      <c r="O26" s="11" t="s">
        <v>10</v>
      </c>
      <c r="P26" s="12" t="s">
        <v>11</v>
      </c>
      <c r="Q26" s="337" t="s">
        <v>18</v>
      </c>
    </row>
    <row r="27" spans="2:17" ht="15">
      <c r="B27" s="298" t="s">
        <v>404</v>
      </c>
      <c r="C27" s="353" t="str">
        <f>VLOOKUP(LEFT(B27,9),NodeList!$D$5:$E$73,2,FALSE)</f>
        <v>USGS 10015700:  Sulphur Cr. ab Res.Bl.La Chapelle Cr.Nr.Evanston,WY</v>
      </c>
      <c r="D27" s="273">
        <v>2</v>
      </c>
      <c r="E27" s="274">
        <f>VLOOKUP($B27,'Reach 2'!$B$3:$O$63,3,FALSE)</f>
        <v>0</v>
      </c>
      <c r="F27" s="274">
        <f>VLOOKUP($B27,'Reach 2'!$B$3:$O$63,4,FALSE)</f>
        <v>0</v>
      </c>
      <c r="G27" s="274">
        <f>VLOOKUP($B27,'Reach 2'!$B$3:$O$63,5,FALSE)</f>
        <v>0</v>
      </c>
      <c r="H27" s="274">
        <f>VLOOKUP($B27,'Reach 2'!$B$3:$O$63,6,FALSE)</f>
        <v>0</v>
      </c>
      <c r="I27" s="274">
        <f>VLOOKUP($B27,'Reach 2'!$B$3:$O$63,7,FALSE)</f>
        <v>0</v>
      </c>
      <c r="J27" s="274">
        <f>VLOOKUP($B27,'Reach 2'!$B$3:$O$63,8,FALSE)</f>
        <v>0</v>
      </c>
      <c r="K27" s="274">
        <f>VLOOKUP($B27,'Reach 2'!$B$3:$O$63,9,FALSE)</f>
        <v>0</v>
      </c>
      <c r="L27" s="274">
        <f>VLOOKUP($B27,'Reach 2'!$B$3:$O$63,10,FALSE)</f>
        <v>0</v>
      </c>
      <c r="M27" s="274">
        <f>VLOOKUP($B27,'Reach 2'!$B$3:$O$63,11,FALSE)</f>
        <v>0</v>
      </c>
      <c r="N27" s="274">
        <f>VLOOKUP($B27,'Reach 2'!$B$3:$O$63,12,FALSE)</f>
        <v>0</v>
      </c>
      <c r="O27" s="274">
        <f>VLOOKUP($B27,'Reach 2'!$B$3:$O$63,13,FALSE)</f>
        <v>0</v>
      </c>
      <c r="P27" s="275">
        <f>VLOOKUP($B27,'Reach 2'!$B$3:$O$63,14,FALSE)</f>
        <v>0</v>
      </c>
      <c r="Q27" s="342">
        <f>SUM(E27:P27)</f>
        <v>0</v>
      </c>
    </row>
    <row r="28" spans="2:17" ht="15">
      <c r="B28" s="298" t="s">
        <v>405</v>
      </c>
      <c r="C28" s="353" t="str">
        <f>VLOOKUP(LEFT(B28,9),NodeList!$D$5:$E$73,2,FALSE)</f>
        <v>AggDiv SC-1/Broadbent</v>
      </c>
      <c r="D28" s="135">
        <v>2</v>
      </c>
      <c r="E28" s="274">
        <f>VLOOKUP($B28,'Reach 2'!$B$3:$O$63,3,FALSE)</f>
        <v>0</v>
      </c>
      <c r="F28" s="274">
        <f>VLOOKUP($B28,'Reach 2'!$B$3:$O$63,4,FALSE)</f>
        <v>0</v>
      </c>
      <c r="G28" s="274">
        <f>VLOOKUP($B28,'Reach 2'!$B$3:$O$63,5,FALSE)</f>
        <v>0</v>
      </c>
      <c r="H28" s="274">
        <f>VLOOKUP($B28,'Reach 2'!$B$3:$O$63,6,FALSE)</f>
        <v>0</v>
      </c>
      <c r="I28" s="274">
        <f>VLOOKUP($B28,'Reach 2'!$B$3:$O$63,7,FALSE)</f>
        <v>0</v>
      </c>
      <c r="J28" s="274">
        <f>VLOOKUP($B28,'Reach 2'!$B$3:$O$63,8,FALSE)</f>
        <v>0</v>
      </c>
      <c r="K28" s="274">
        <f>VLOOKUP($B28,'Reach 2'!$B$3:$O$63,9,FALSE)</f>
        <v>0</v>
      </c>
      <c r="L28" s="274">
        <f>VLOOKUP($B28,'Reach 2'!$B$3:$O$63,10,FALSE)</f>
        <v>0</v>
      </c>
      <c r="M28" s="274">
        <f>VLOOKUP($B28,'Reach 2'!$B$3:$O$63,11,FALSE)</f>
        <v>0</v>
      </c>
      <c r="N28" s="274">
        <f>VLOOKUP($B28,'Reach 2'!$B$3:$O$63,12,FALSE)</f>
        <v>0</v>
      </c>
      <c r="O28" s="274">
        <f>VLOOKUP($B28,'Reach 2'!$B$3:$O$63,13,FALSE)</f>
        <v>0</v>
      </c>
      <c r="P28" s="275">
        <f>VLOOKUP($B28,'Reach 2'!$B$3:$O$63,14,FALSE)</f>
        <v>0</v>
      </c>
      <c r="Q28" s="343">
        <f>SUM(E28:P28)</f>
        <v>0</v>
      </c>
    </row>
    <row r="29" spans="2:17" ht="15">
      <c r="B29" s="298" t="s">
        <v>406</v>
      </c>
      <c r="C29" s="353" t="str">
        <f>VLOOKUP(LEFT(B29,9),NodeList!$D$5:$E$73,2,FALSE)</f>
        <v>Sulphur Creek Reservoir</v>
      </c>
      <c r="D29" s="135">
        <v>2</v>
      </c>
      <c r="E29" s="274">
        <f>VLOOKUP($B29,'Reach 2'!$B$3:$O$63,3,FALSE)</f>
        <v>0</v>
      </c>
      <c r="F29" s="274">
        <f>VLOOKUP($B29,'Reach 2'!$B$3:$O$63,4,FALSE)</f>
        <v>0</v>
      </c>
      <c r="G29" s="274">
        <f>VLOOKUP($B29,'Reach 2'!$B$3:$O$63,5,FALSE)</f>
        <v>0</v>
      </c>
      <c r="H29" s="274">
        <f>VLOOKUP($B29,'Reach 2'!$B$3:$O$63,6,FALSE)</f>
        <v>0</v>
      </c>
      <c r="I29" s="274">
        <f>VLOOKUP($B29,'Reach 2'!$B$3:$O$63,7,FALSE)</f>
        <v>0</v>
      </c>
      <c r="J29" s="274">
        <f>VLOOKUP($B29,'Reach 2'!$B$3:$O$63,8,FALSE)</f>
        <v>0</v>
      </c>
      <c r="K29" s="274">
        <f>VLOOKUP($B29,'Reach 2'!$B$3:$O$63,9,FALSE)</f>
        <v>0</v>
      </c>
      <c r="L29" s="274">
        <f>VLOOKUP($B29,'Reach 2'!$B$3:$O$63,10,FALSE)</f>
        <v>0</v>
      </c>
      <c r="M29" s="274">
        <f>VLOOKUP($B29,'Reach 2'!$B$3:$O$63,11,FALSE)</f>
        <v>0</v>
      </c>
      <c r="N29" s="274">
        <f>VLOOKUP($B29,'Reach 2'!$B$3:$O$63,12,FALSE)</f>
        <v>0</v>
      </c>
      <c r="O29" s="274">
        <f>VLOOKUP($B29,'Reach 2'!$B$3:$O$63,13,FALSE)</f>
        <v>0</v>
      </c>
      <c r="P29" s="275">
        <f>VLOOKUP($B29,'Reach 2'!$B$3:$O$63,14,FALSE)</f>
        <v>0</v>
      </c>
      <c r="Q29" s="343">
        <f>SUM(E29:P29)</f>
        <v>0</v>
      </c>
    </row>
    <row r="30" spans="2:17" ht="15.75" thickBot="1">
      <c r="B30" s="299" t="s">
        <v>407</v>
      </c>
      <c r="C30" s="356" t="str">
        <f>VLOOKUP(LEFT(B30,9),NodeList!$D$5:$E$73,2,FALSE)</f>
        <v>AggDiv SC-2</v>
      </c>
      <c r="D30" s="180">
        <v>2</v>
      </c>
      <c r="E30" s="277">
        <f>VLOOKUP($B30,'Reach 2'!$B$3:$O$63,3,FALSE)</f>
        <v>0</v>
      </c>
      <c r="F30" s="277">
        <f>VLOOKUP($B30,'Reach 2'!$B$3:$O$63,4,FALSE)</f>
        <v>0</v>
      </c>
      <c r="G30" s="277">
        <f>VLOOKUP($B30,'Reach 2'!$B$3:$O$63,5,FALSE)</f>
        <v>0</v>
      </c>
      <c r="H30" s="277">
        <f>VLOOKUP($B30,'Reach 2'!$B$3:$O$63,6,FALSE)</f>
        <v>0</v>
      </c>
      <c r="I30" s="277">
        <f>VLOOKUP($B30,'Reach 2'!$B$3:$O$63,7,FALSE)</f>
        <v>40.125</v>
      </c>
      <c r="J30" s="277">
        <f>VLOOKUP($B30,'Reach 2'!$B$3:$O$63,8,FALSE)</f>
        <v>154.125</v>
      </c>
      <c r="K30" s="277">
        <f>VLOOKUP($B30,'Reach 2'!$B$3:$O$63,9,FALSE)</f>
        <v>269.375</v>
      </c>
      <c r="L30" s="277">
        <f>VLOOKUP($B30,'Reach 2'!$B$3:$O$63,10,FALSE)</f>
        <v>125.875</v>
      </c>
      <c r="M30" s="277">
        <f>VLOOKUP($B30,'Reach 2'!$B$3:$O$63,11,FALSE)</f>
        <v>34.125</v>
      </c>
      <c r="N30" s="277">
        <f>VLOOKUP($B30,'Reach 2'!$B$3:$O$63,12,FALSE)</f>
        <v>0</v>
      </c>
      <c r="O30" s="277">
        <f>VLOOKUP($B30,'Reach 2'!$B$3:$O$63,13,FALSE)</f>
        <v>0</v>
      </c>
      <c r="P30" s="278">
        <f>VLOOKUP($B30,'Reach 2'!$B$3:$O$63,14,FALSE)</f>
        <v>0</v>
      </c>
      <c r="Q30" s="345">
        <f>SUM(E30:P30)</f>
        <v>623.625</v>
      </c>
    </row>
    <row r="32" spans="2:17" ht="15">
      <c r="B32" s="8" t="s">
        <v>408</v>
      </c>
      <c r="C32" s="8"/>
      <c r="D32" s="4"/>
      <c r="E32" s="272"/>
      <c r="F32" s="272"/>
      <c r="G32" s="272"/>
      <c r="H32" s="272"/>
      <c r="I32" s="272"/>
      <c r="J32" s="272"/>
      <c r="K32" s="272"/>
      <c r="L32" s="272"/>
      <c r="M32" s="272"/>
      <c r="N32" s="272"/>
      <c r="O32" s="272"/>
      <c r="P32" s="272"/>
    </row>
    <row r="33" spans="2:17" ht="13.5" thickBot="1">
      <c r="B33" s="4"/>
      <c r="C33" s="4"/>
      <c r="D33" s="4"/>
      <c r="E33" s="272"/>
      <c r="F33" s="272"/>
      <c r="G33" s="272"/>
      <c r="H33" s="272"/>
      <c r="I33" s="272"/>
      <c r="J33" s="272"/>
      <c r="K33" s="272"/>
      <c r="L33" s="272"/>
      <c r="M33" s="272"/>
      <c r="N33" s="272"/>
      <c r="O33" s="272"/>
      <c r="P33" s="272"/>
    </row>
    <row r="34" spans="2:17" ht="15.75" thickBot="1">
      <c r="B34" s="281" t="s">
        <v>314</v>
      </c>
      <c r="C34" s="11"/>
      <c r="D34" s="322" t="s">
        <v>80</v>
      </c>
      <c r="E34" s="11" t="s">
        <v>0</v>
      </c>
      <c r="F34" s="11" t="s">
        <v>1</v>
      </c>
      <c r="G34" s="11" t="s">
        <v>2</v>
      </c>
      <c r="H34" s="11" t="s">
        <v>3</v>
      </c>
      <c r="I34" s="11" t="s">
        <v>4</v>
      </c>
      <c r="J34" s="11" t="s">
        <v>5</v>
      </c>
      <c r="K34" s="11" t="s">
        <v>6</v>
      </c>
      <c r="L34" s="11" t="s">
        <v>7</v>
      </c>
      <c r="M34" s="11" t="s">
        <v>8</v>
      </c>
      <c r="N34" s="11" t="s">
        <v>9</v>
      </c>
      <c r="O34" s="11" t="s">
        <v>10</v>
      </c>
      <c r="P34" s="12" t="s">
        <v>11</v>
      </c>
      <c r="Q34" s="337" t="s">
        <v>18</v>
      </c>
    </row>
    <row r="35" spans="2:17" ht="15">
      <c r="B35" s="134" t="s">
        <v>409</v>
      </c>
      <c r="C35" s="172" t="str">
        <f>VLOOKUP(LEFT(B35,9),NodeList!$D$5:$E$73,2,FALSE)</f>
        <v>Confluence Sulphur Creek / Bear River</v>
      </c>
      <c r="D35" s="273">
        <v>3</v>
      </c>
      <c r="E35" s="274">
        <f>VLOOKUP($B35,'Reach 3'!$B$3:$O$66,3,FALSE)</f>
        <v>0</v>
      </c>
      <c r="F35" s="274">
        <f>VLOOKUP($B35,'Reach 3'!$B$3:$O$66,4,FALSE)</f>
        <v>1</v>
      </c>
      <c r="G35" s="274">
        <f>VLOOKUP($B35,'Reach 3'!$B$3:$O$66,5,FALSE)</f>
        <v>2</v>
      </c>
      <c r="H35" s="274">
        <f>VLOOKUP($B35,'Reach 3'!$B$3:$O$66,6,FALSE)</f>
        <v>3</v>
      </c>
      <c r="I35" s="274">
        <f>VLOOKUP($B35,'Reach 3'!$B$3:$O$66,7,FALSE)</f>
        <v>4</v>
      </c>
      <c r="J35" s="274">
        <f>VLOOKUP($B35,'Reach 3'!$B$3:$O$66,8,FALSE)</f>
        <v>5</v>
      </c>
      <c r="K35" s="274">
        <f>VLOOKUP($B35,'Reach 3'!$B$3:$O$66,9,FALSE)</f>
        <v>6</v>
      </c>
      <c r="L35" s="274">
        <f>VLOOKUP($B35,'Reach 3'!$B$3:$O$66,10,FALSE)</f>
        <v>7</v>
      </c>
      <c r="M35" s="274">
        <f>VLOOKUP($B35,'Reach 3'!$B$3:$O$66,11,FALSE)</f>
        <v>8</v>
      </c>
      <c r="N35" s="274">
        <f>VLOOKUP($B35,'Reach 3'!$B$3:$O$66,12,FALSE)</f>
        <v>9</v>
      </c>
      <c r="O35" s="274">
        <f>VLOOKUP($B35,'Reach 3'!$B$3:$O$66,13,FALSE)</f>
        <v>10</v>
      </c>
      <c r="P35" s="275">
        <f>VLOOKUP($B35,'Reach 3'!$B$3:$O$66,14,FALSE)</f>
        <v>11</v>
      </c>
      <c r="Q35" s="342">
        <f>SUM(E35:P35)</f>
        <v>66</v>
      </c>
    </row>
    <row r="36" spans="2:17" ht="15">
      <c r="B36" s="134" t="s">
        <v>410</v>
      </c>
      <c r="C36" s="172" t="str">
        <f>VLOOKUP(LEFT(B36,9),NodeList!$D$5:$E$73,2,FALSE)</f>
        <v>Evanston Water Ditch</v>
      </c>
      <c r="D36" s="273">
        <v>3</v>
      </c>
      <c r="E36" s="274">
        <f>VLOOKUP($B36,'Reach 3'!$B$3:$O$66,3,FALSE)</f>
        <v>0</v>
      </c>
      <c r="F36" s="274">
        <f>VLOOKUP($B36,'Reach 3'!$B$3:$O$66,4,FALSE)</f>
        <v>0</v>
      </c>
      <c r="G36" s="274">
        <f>VLOOKUP($B36,'Reach 3'!$B$3:$O$66,5,FALSE)</f>
        <v>0</v>
      </c>
      <c r="H36" s="274">
        <f>VLOOKUP($B36,'Reach 3'!$B$3:$O$66,6,FALSE)</f>
        <v>0</v>
      </c>
      <c r="I36" s="274">
        <f>VLOOKUP($B36,'Reach 3'!$B$3:$O$66,7,FALSE)</f>
        <v>526.24882231404956</v>
      </c>
      <c r="J36" s="274">
        <f>VLOOKUP($B36,'Reach 3'!$B$3:$O$66,8,FALSE)</f>
        <v>1046.7743595041325</v>
      </c>
      <c r="K36" s="274">
        <f>VLOOKUP($B36,'Reach 3'!$B$3:$O$66,9,FALSE)</f>
        <v>821.79398760330571</v>
      </c>
      <c r="L36" s="274">
        <f>VLOOKUP($B36,'Reach 3'!$B$3:$O$66,10,FALSE)</f>
        <v>549.62001033057845</v>
      </c>
      <c r="M36" s="274">
        <f>VLOOKUP($B36,'Reach 3'!$B$3:$O$66,11,FALSE)</f>
        <v>239.99172520661156</v>
      </c>
      <c r="N36" s="274">
        <f>VLOOKUP($B36,'Reach 3'!$B$3:$O$66,12,FALSE)</f>
        <v>0</v>
      </c>
      <c r="O36" s="274">
        <f>VLOOKUP($B36,'Reach 3'!$B$3:$O$66,13,FALSE)</f>
        <v>0</v>
      </c>
      <c r="P36" s="275">
        <f>VLOOKUP($B36,'Reach 3'!$B$3:$O$66,14,FALSE)</f>
        <v>0</v>
      </c>
      <c r="Q36" s="343">
        <f>SUM(E36:P36)</f>
        <v>3184.4289049586778</v>
      </c>
    </row>
    <row r="37" spans="2:17" ht="15">
      <c r="B37" s="134" t="s">
        <v>411</v>
      </c>
      <c r="C37" s="172" t="str">
        <f>VLOOKUP(LEFT(B37,9),NodeList!$D$5:$E$73,2,FALSE)</f>
        <v>Rocky Mtn &amp; Blyth</v>
      </c>
      <c r="D37" s="273">
        <v>3</v>
      </c>
      <c r="E37" s="274">
        <f>VLOOKUP($B37,'Reach 3'!$B$3:$O$66,3,FALSE)</f>
        <v>0</v>
      </c>
      <c r="F37" s="274">
        <f>VLOOKUP($B37,'Reach 3'!$B$3:$O$66,4,FALSE)</f>
        <v>0</v>
      </c>
      <c r="G37" s="274">
        <f>VLOOKUP($B37,'Reach 3'!$B$3:$O$66,5,FALSE)</f>
        <v>0</v>
      </c>
      <c r="H37" s="274">
        <f>VLOOKUP($B37,'Reach 3'!$B$3:$O$66,6,FALSE)</f>
        <v>0</v>
      </c>
      <c r="I37" s="274">
        <f>VLOOKUP($B37,'Reach 3'!$B$3:$O$66,7,FALSE)</f>
        <v>536.83008847004135</v>
      </c>
      <c r="J37" s="274">
        <f>VLOOKUP($B37,'Reach 3'!$B$3:$O$66,8,FALSE)</f>
        <v>529.25750102427685</v>
      </c>
      <c r="K37" s="274">
        <f>VLOOKUP($B37,'Reach 3'!$B$3:$O$66,9,FALSE)</f>
        <v>346.37503986683879</v>
      </c>
      <c r="L37" s="274">
        <f>VLOOKUP($B37,'Reach 3'!$B$3:$O$66,10,FALSE)</f>
        <v>185.31715975371901</v>
      </c>
      <c r="M37" s="274">
        <f>VLOOKUP($B37,'Reach 3'!$B$3:$O$66,11,FALSE)</f>
        <v>147.87729126301653</v>
      </c>
      <c r="N37" s="274">
        <f>VLOOKUP($B37,'Reach 3'!$B$3:$O$66,12,FALSE)</f>
        <v>0</v>
      </c>
      <c r="O37" s="274">
        <f>VLOOKUP($B37,'Reach 3'!$B$3:$O$66,13,FALSE)</f>
        <v>0</v>
      </c>
      <c r="P37" s="275">
        <f>VLOOKUP($B37,'Reach 3'!$B$3:$O$66,14,FALSE)</f>
        <v>0</v>
      </c>
      <c r="Q37" s="343">
        <f>SUM(E37:P37)</f>
        <v>1745.6570803778927</v>
      </c>
    </row>
    <row r="38" spans="2:17" ht="15.75" thickBot="1">
      <c r="B38" s="24"/>
      <c r="C38" s="326"/>
      <c r="D38" s="276"/>
      <c r="E38" s="277"/>
      <c r="F38" s="277"/>
      <c r="G38" s="277"/>
      <c r="H38" s="277"/>
      <c r="I38" s="277"/>
      <c r="J38" s="277"/>
      <c r="K38" s="277"/>
      <c r="L38" s="277"/>
      <c r="M38" s="277"/>
      <c r="N38" s="277"/>
      <c r="O38" s="277"/>
      <c r="P38" s="278"/>
      <c r="Q38" s="345">
        <f>SUM(E38:P38)</f>
        <v>0</v>
      </c>
    </row>
    <row r="40" spans="2:17" ht="15">
      <c r="B40" s="8" t="s">
        <v>412</v>
      </c>
      <c r="C40" s="8"/>
      <c r="D40" s="4"/>
      <c r="E40" s="272"/>
      <c r="F40" s="272"/>
      <c r="G40" s="272"/>
      <c r="H40" s="272"/>
      <c r="I40" s="272"/>
      <c r="J40" s="272"/>
      <c r="K40" s="272"/>
      <c r="L40" s="272"/>
      <c r="M40" s="272"/>
      <c r="N40" s="272"/>
      <c r="O40" s="272"/>
      <c r="P40" s="272"/>
    </row>
    <row r="41" spans="2:17" ht="13.5" thickBot="1">
      <c r="B41" s="4"/>
      <c r="C41" s="4"/>
      <c r="D41" s="4"/>
      <c r="E41" s="272"/>
      <c r="F41" s="272"/>
      <c r="G41" s="272"/>
      <c r="H41" s="272"/>
      <c r="I41" s="272"/>
      <c r="J41" s="272"/>
      <c r="K41" s="272"/>
      <c r="L41" s="272"/>
      <c r="M41" s="272"/>
      <c r="N41" s="272"/>
      <c r="O41" s="272"/>
      <c r="P41" s="272"/>
    </row>
    <row r="42" spans="2:17" ht="15.75" thickBot="1">
      <c r="B42" s="281" t="s">
        <v>314</v>
      </c>
      <c r="C42" s="11"/>
      <c r="D42" s="322" t="s">
        <v>80</v>
      </c>
      <c r="E42" s="11" t="s">
        <v>0</v>
      </c>
      <c r="F42" s="11" t="s">
        <v>1</v>
      </c>
      <c r="G42" s="11" t="s">
        <v>2</v>
      </c>
      <c r="H42" s="11" t="s">
        <v>3</v>
      </c>
      <c r="I42" s="11" t="s">
        <v>4</v>
      </c>
      <c r="J42" s="11" t="s">
        <v>5</v>
      </c>
      <c r="K42" s="11" t="s">
        <v>6</v>
      </c>
      <c r="L42" s="11" t="s">
        <v>7</v>
      </c>
      <c r="M42" s="11" t="s">
        <v>8</v>
      </c>
      <c r="N42" s="11" t="s">
        <v>9</v>
      </c>
      <c r="O42" s="11" t="s">
        <v>10</v>
      </c>
      <c r="P42" s="12" t="s">
        <v>11</v>
      </c>
      <c r="Q42" s="337" t="s">
        <v>18</v>
      </c>
    </row>
    <row r="43" spans="2:17" ht="15">
      <c r="B43" s="134" t="s">
        <v>413</v>
      </c>
      <c r="C43" s="172" t="str">
        <f>VLOOKUP(LEFT(B43,9),NodeList!$D$5:$E$73,2,FALSE)</f>
        <v>USGS 10016900: Bear R. at Evanston, WY</v>
      </c>
      <c r="D43" s="273">
        <v>4</v>
      </c>
      <c r="E43" s="274">
        <f>VLOOKUP($B43,'Reach 4'!$B$3:$O$100,3,FALSE)</f>
        <v>0</v>
      </c>
      <c r="F43" s="274">
        <f>VLOOKUP($B43,'Reach 4'!$B$3:$O$100,4,FALSE)</f>
        <v>0</v>
      </c>
      <c r="G43" s="274">
        <f>VLOOKUP($B43,'Reach 4'!$B$3:$O$100,5,FALSE)</f>
        <v>0</v>
      </c>
      <c r="H43" s="274">
        <f>VLOOKUP($B43,'Reach 4'!$B$3:$O$100,6,FALSE)</f>
        <v>0</v>
      </c>
      <c r="I43" s="274">
        <f>VLOOKUP($B43,'Reach 4'!$B$3:$O$100,7,FALSE)</f>
        <v>0</v>
      </c>
      <c r="J43" s="274">
        <f>VLOOKUP($B43,'Reach 4'!$B$3:$O$100,8,FALSE)</f>
        <v>0</v>
      </c>
      <c r="K43" s="274">
        <f>VLOOKUP($B43,'Reach 4'!$B$3:$O$100,9,FALSE)</f>
        <v>0</v>
      </c>
      <c r="L43" s="274">
        <f>VLOOKUP($B43,'Reach 4'!$B$3:$O$100,10,FALSE)</f>
        <v>0</v>
      </c>
      <c r="M43" s="274">
        <f>VLOOKUP($B43,'Reach 4'!$B$3:$O$100,11,FALSE)</f>
        <v>0</v>
      </c>
      <c r="N43" s="274">
        <f>VLOOKUP($B43,'Reach 4'!$B$3:$O$100,12,FALSE)</f>
        <v>0</v>
      </c>
      <c r="O43" s="274">
        <f>VLOOKUP($B43,'Reach 4'!$B$3:$O$100,13,FALSE)</f>
        <v>0</v>
      </c>
      <c r="P43" s="275">
        <f>VLOOKUP($B43,'Reach 4'!$B$3:$O$100,14,FALSE)</f>
        <v>0</v>
      </c>
      <c r="Q43" s="342">
        <f>SUM(E43:P43)</f>
        <v>0</v>
      </c>
    </row>
    <row r="44" spans="2:17" ht="15">
      <c r="B44" s="134" t="s">
        <v>331</v>
      </c>
      <c r="C44" s="172" t="str">
        <f>VLOOKUP(LEFT(B44,9),NodeList!$D$5:$E$73,2,FALSE)</f>
        <v>John Simms</v>
      </c>
      <c r="D44" s="273">
        <v>4</v>
      </c>
      <c r="E44" s="274">
        <f>VLOOKUP($B44,'Reach 4'!$B$3:$O$100,3,FALSE)</f>
        <v>0</v>
      </c>
      <c r="F44" s="274">
        <f>VLOOKUP($B44,'Reach 4'!$B$3:$O$100,4,FALSE)</f>
        <v>0</v>
      </c>
      <c r="G44" s="274">
        <f>VLOOKUP($B44,'Reach 4'!$B$3:$O$100,5,FALSE)</f>
        <v>0</v>
      </c>
      <c r="H44" s="274">
        <f>VLOOKUP($B44,'Reach 4'!$B$3:$O$100,6,FALSE)</f>
        <v>0</v>
      </c>
      <c r="I44" s="274">
        <f>VLOOKUP($B44,'Reach 4'!$B$3:$O$100,7,FALSE)</f>
        <v>695.28376033057839</v>
      </c>
      <c r="J44" s="274">
        <f>VLOOKUP($B44,'Reach 4'!$B$3:$O$100,8,FALSE)</f>
        <v>659.28276859504126</v>
      </c>
      <c r="K44" s="274">
        <f>VLOOKUP($B44,'Reach 4'!$B$3:$O$100,9,FALSE)</f>
        <v>383.27413223140491</v>
      </c>
      <c r="L44" s="274">
        <f>VLOOKUP($B44,'Reach 4'!$B$3:$O$100,10,FALSE)</f>
        <v>295.40121900826449</v>
      </c>
      <c r="M44" s="274">
        <f>VLOOKUP($B44,'Reach 4'!$B$3:$O$100,11,FALSE)</f>
        <v>208.26325413223142</v>
      </c>
      <c r="N44" s="274">
        <f>VLOOKUP($B44,'Reach 4'!$B$3:$O$100,12,FALSE)</f>
        <v>0</v>
      </c>
      <c r="O44" s="274">
        <f>VLOOKUP($B44,'Reach 4'!$B$3:$O$100,13,FALSE)</f>
        <v>0</v>
      </c>
      <c r="P44" s="275">
        <f>VLOOKUP($B44,'Reach 4'!$B$3:$O$100,14,FALSE)</f>
        <v>0</v>
      </c>
      <c r="Q44" s="343">
        <f>SUM(E44:P44)</f>
        <v>2241.5051342975203</v>
      </c>
    </row>
    <row r="45" spans="2:17" ht="15">
      <c r="B45" s="134" t="s">
        <v>332</v>
      </c>
      <c r="C45" s="172" t="str">
        <f>VLOOKUP(LEFT(B45,9),NodeList!$D$5:$E$73,2,FALSE)</f>
        <v>S P Ramsey</v>
      </c>
      <c r="D45" s="273">
        <v>4</v>
      </c>
      <c r="E45" s="274">
        <f>VLOOKUP($B45,'Reach 4'!$B$3:$O$100,3,FALSE)</f>
        <v>0</v>
      </c>
      <c r="F45" s="274">
        <f>VLOOKUP($B45,'Reach 4'!$B$3:$O$100,4,FALSE)</f>
        <v>0</v>
      </c>
      <c r="G45" s="274">
        <f>VLOOKUP($B45,'Reach 4'!$B$3:$O$100,5,FALSE)</f>
        <v>0</v>
      </c>
      <c r="H45" s="274">
        <f>VLOOKUP($B45,'Reach 4'!$B$3:$O$100,6,FALSE)</f>
        <v>0</v>
      </c>
      <c r="I45" s="274">
        <f>VLOOKUP($B45,'Reach 4'!$B$3:$O$100,7,FALSE)</f>
        <v>776.25413330526862</v>
      </c>
      <c r="J45" s="274">
        <f>VLOOKUP($B45,'Reach 4'!$B$3:$O$100,8,FALSE)</f>
        <v>652.25385584452488</v>
      </c>
      <c r="K45" s="274">
        <f>VLOOKUP($B45,'Reach 4'!$B$3:$O$100,9,FALSE)</f>
        <v>290.36558656404958</v>
      </c>
      <c r="L45" s="274">
        <f>VLOOKUP($B45,'Reach 4'!$B$3:$O$100,10,FALSE)</f>
        <v>169.10596374793388</v>
      </c>
      <c r="M45" s="274">
        <f>VLOOKUP($B45,'Reach 4'!$B$3:$O$100,11,FALSE)</f>
        <v>110.98593604173554</v>
      </c>
      <c r="N45" s="274">
        <f>VLOOKUP($B45,'Reach 4'!$B$3:$O$100,12,FALSE)</f>
        <v>0</v>
      </c>
      <c r="O45" s="274">
        <f>VLOOKUP($B45,'Reach 4'!$B$3:$O$100,13,FALSE)</f>
        <v>0</v>
      </c>
      <c r="P45" s="275">
        <f>VLOOKUP($B45,'Reach 4'!$B$3:$O$100,14,FALSE)</f>
        <v>0</v>
      </c>
      <c r="Q45" s="343">
        <f>SUM(E45:P45)</f>
        <v>1998.9654755035126</v>
      </c>
    </row>
    <row r="46" spans="2:17" ht="15">
      <c r="B46" s="134" t="s">
        <v>453</v>
      </c>
      <c r="C46" s="172" t="str">
        <f>VLOOKUP(LEFT(B46,9),NodeList!$D$5:$E$73,2,FALSE)</f>
        <v>AggDiv BR-2</v>
      </c>
      <c r="D46" s="273">
        <v>4</v>
      </c>
      <c r="E46" s="274">
        <f>VLOOKUP($B46,'Reach 4'!$B$3:$O$100,3,FALSE)</f>
        <v>0</v>
      </c>
      <c r="F46" s="274">
        <f>VLOOKUP($B46,'Reach 4'!$B$3:$O$100,4,FALSE)</f>
        <v>0</v>
      </c>
      <c r="G46" s="274">
        <f>VLOOKUP($B46,'Reach 4'!$B$3:$O$100,5,FALSE)</f>
        <v>0</v>
      </c>
      <c r="H46" s="274">
        <f>VLOOKUP($B46,'Reach 4'!$B$3:$O$100,6,FALSE)</f>
        <v>0</v>
      </c>
      <c r="I46" s="274">
        <f>VLOOKUP($B46,'Reach 4'!$B$3:$O$100,7,FALSE)</f>
        <v>338.005</v>
      </c>
      <c r="J46" s="274">
        <f>VLOOKUP($B46,'Reach 4'!$B$3:$O$100,8,FALSE)</f>
        <v>897.68125000000009</v>
      </c>
      <c r="K46" s="274">
        <f>VLOOKUP($B46,'Reach 4'!$B$3:$O$100,9,FALSE)</f>
        <v>844.00750000000005</v>
      </c>
      <c r="L46" s="274">
        <f>VLOOKUP($B46,'Reach 4'!$B$3:$O$100,10,FALSE)</f>
        <v>328.33375000000001</v>
      </c>
      <c r="M46" s="274">
        <f>VLOOKUP($B46,'Reach 4'!$B$3:$O$100,11,FALSE)</f>
        <v>134.25</v>
      </c>
      <c r="N46" s="274">
        <f>VLOOKUP($B46,'Reach 4'!$B$3:$O$100,12,FALSE)</f>
        <v>0</v>
      </c>
      <c r="O46" s="274">
        <f>VLOOKUP($B46,'Reach 4'!$B$3:$O$100,13,FALSE)</f>
        <v>0</v>
      </c>
      <c r="P46" s="275">
        <f>VLOOKUP($B46,'Reach 4'!$B$3:$O$100,14,FALSE)</f>
        <v>0</v>
      </c>
      <c r="Q46" s="343">
        <f>SUM(E46:P46)</f>
        <v>2542.2775000000001</v>
      </c>
    </row>
    <row r="47" spans="2:17" ht="15.75" thickBot="1">
      <c r="B47" s="24"/>
      <c r="C47" s="326"/>
      <c r="D47" s="276"/>
      <c r="E47" s="277"/>
      <c r="F47" s="277"/>
      <c r="G47" s="277"/>
      <c r="H47" s="277"/>
      <c r="I47" s="277"/>
      <c r="J47" s="277"/>
      <c r="K47" s="277"/>
      <c r="L47" s="277"/>
      <c r="M47" s="277"/>
      <c r="N47" s="277"/>
      <c r="O47" s="277"/>
      <c r="P47" s="278"/>
      <c r="Q47" s="345"/>
    </row>
    <row r="49" spans="2:17" ht="15">
      <c r="B49" s="8" t="s">
        <v>414</v>
      </c>
      <c r="C49" s="8"/>
      <c r="D49" s="4"/>
      <c r="E49" s="272"/>
      <c r="F49" s="272"/>
      <c r="G49" s="272"/>
      <c r="H49" s="272"/>
      <c r="I49" s="272"/>
      <c r="J49" s="272"/>
      <c r="K49" s="272"/>
      <c r="L49" s="272"/>
      <c r="M49" s="272"/>
      <c r="N49" s="272"/>
      <c r="O49" s="272"/>
      <c r="P49" s="272"/>
    </row>
    <row r="50" spans="2:17" ht="13.5" thickBot="1">
      <c r="B50" s="4"/>
      <c r="C50" s="4"/>
      <c r="D50" s="4"/>
      <c r="E50" s="272"/>
      <c r="F50" s="272"/>
      <c r="G50" s="272"/>
      <c r="H50" s="272"/>
      <c r="I50" s="272"/>
      <c r="J50" s="272"/>
      <c r="K50" s="272"/>
      <c r="L50" s="272"/>
      <c r="M50" s="272"/>
      <c r="N50" s="272"/>
      <c r="O50" s="272"/>
      <c r="P50" s="272"/>
    </row>
    <row r="51" spans="2:17" ht="15.75" thickBot="1">
      <c r="B51" s="281" t="s">
        <v>314</v>
      </c>
      <c r="C51" s="11"/>
      <c r="D51" s="322" t="s">
        <v>80</v>
      </c>
      <c r="E51" s="11" t="s">
        <v>0</v>
      </c>
      <c r="F51" s="11" t="s">
        <v>1</v>
      </c>
      <c r="G51" s="11" t="s">
        <v>2</v>
      </c>
      <c r="H51" s="11" t="s">
        <v>3</v>
      </c>
      <c r="I51" s="11" t="s">
        <v>4</v>
      </c>
      <c r="J51" s="11" t="s">
        <v>5</v>
      </c>
      <c r="K51" s="11" t="s">
        <v>6</v>
      </c>
      <c r="L51" s="11" t="s">
        <v>7</v>
      </c>
      <c r="M51" s="11" t="s">
        <v>8</v>
      </c>
      <c r="N51" s="11" t="s">
        <v>9</v>
      </c>
      <c r="O51" s="11" t="s">
        <v>10</v>
      </c>
      <c r="P51" s="12" t="s">
        <v>11</v>
      </c>
      <c r="Q51" s="337" t="s">
        <v>18</v>
      </c>
    </row>
    <row r="52" spans="2:17" ht="15">
      <c r="B52" s="134" t="s">
        <v>415</v>
      </c>
      <c r="C52" s="172" t="str">
        <f>VLOOKUP(LEFT(B52,9),NodeList!$D$5:$E$73,2,FALSE)</f>
        <v>Confluence Yellow Creek / Bear River</v>
      </c>
      <c r="D52" s="273">
        <v>5</v>
      </c>
      <c r="E52" s="274">
        <f>VLOOKUP($B52,'Reach 5'!$B$3:$O$68,3,FALSE)</f>
        <v>0</v>
      </c>
      <c r="F52" s="274">
        <f>VLOOKUP($B52,'Reach 5'!$B$3:$O$68,4,FALSE)</f>
        <v>0</v>
      </c>
      <c r="G52" s="274">
        <f>VLOOKUP($B52,'Reach 5'!$B$3:$O$68,5,FALSE)</f>
        <v>0</v>
      </c>
      <c r="H52" s="274">
        <f>VLOOKUP($B52,'Reach 5'!$B$3:$O$68,6,FALSE)</f>
        <v>0</v>
      </c>
      <c r="I52" s="274">
        <f>VLOOKUP($B52,'Reach 5'!$B$3:$O$68,7,FALSE)</f>
        <v>0</v>
      </c>
      <c r="J52" s="274">
        <f>VLOOKUP($B52,'Reach 5'!$B$3:$O$68,8,FALSE)</f>
        <v>0</v>
      </c>
      <c r="K52" s="274">
        <f>VLOOKUP($B52,'Reach 5'!$B$3:$O$68,9,FALSE)</f>
        <v>0</v>
      </c>
      <c r="L52" s="274">
        <f>VLOOKUP($B52,'Reach 5'!$B$3:$O$68,10,FALSE)</f>
        <v>0</v>
      </c>
      <c r="M52" s="274">
        <f>VLOOKUP($B52,'Reach 5'!$B$3:$O$68,11,FALSE)</f>
        <v>0</v>
      </c>
      <c r="N52" s="274">
        <f>VLOOKUP($B52,'Reach 5'!$B$3:$O$68,12,FALSE)</f>
        <v>0</v>
      </c>
      <c r="O52" s="274">
        <f>VLOOKUP($B52,'Reach 5'!$B$3:$O$68,13,FALSE)</f>
        <v>0</v>
      </c>
      <c r="P52" s="275">
        <f>VLOOKUP($B52,'Reach 5'!$B$3:$O$68,14,FALSE)</f>
        <v>0</v>
      </c>
      <c r="Q52" s="342">
        <f t="shared" ref="Q52:Q57" si="1">SUM(E52:P52)</f>
        <v>0</v>
      </c>
    </row>
    <row r="53" spans="2:17" ht="15">
      <c r="B53" s="134" t="s">
        <v>333</v>
      </c>
      <c r="C53" s="172" t="str">
        <f>VLOOKUP(LEFT(B53,9),NodeList!$D$5:$E$73,2,FALSE)</f>
        <v>Chapman Canal</v>
      </c>
      <c r="D53" s="273">
        <v>5</v>
      </c>
      <c r="E53" s="274">
        <f>VLOOKUP($B53,'Reach 5'!$B$3:$O$68,3,FALSE)</f>
        <v>0</v>
      </c>
      <c r="F53" s="274">
        <f>VLOOKUP($B53,'Reach 5'!$B$3:$O$68,4,FALSE)</f>
        <v>0</v>
      </c>
      <c r="G53" s="274">
        <f>VLOOKUP($B53,'Reach 5'!$B$3:$O$68,5,FALSE)</f>
        <v>0</v>
      </c>
      <c r="H53" s="274">
        <f>VLOOKUP($B53,'Reach 5'!$B$3:$O$68,6,FALSE)</f>
        <v>0</v>
      </c>
      <c r="I53" s="274">
        <f>VLOOKUP($B53,'Reach 5'!$B$3:$O$68,7,FALSE)</f>
        <v>3022.4831058057848</v>
      </c>
      <c r="J53" s="274">
        <f>VLOOKUP($B53,'Reach 5'!$B$3:$O$68,8,FALSE)</f>
        <v>2823.6777423558883</v>
      </c>
      <c r="K53" s="274">
        <f>VLOOKUP($B53,'Reach 5'!$B$3:$O$68,9,FALSE)</f>
        <v>1468.0009072193698</v>
      </c>
      <c r="L53" s="274">
        <f>VLOOKUP($B53,'Reach 5'!$B$3:$O$68,10,FALSE)</f>
        <v>392.50756632489669</v>
      </c>
      <c r="M53" s="274">
        <f>VLOOKUP($B53,'Reach 5'!$B$3:$O$68,11,FALSE)</f>
        <v>338.32462634462809</v>
      </c>
      <c r="N53" s="274">
        <f>VLOOKUP($B53,'Reach 5'!$B$3:$O$68,12,FALSE)</f>
        <v>0</v>
      </c>
      <c r="O53" s="274">
        <f>VLOOKUP($B53,'Reach 5'!$B$3:$O$68,13,FALSE)</f>
        <v>0</v>
      </c>
      <c r="P53" s="275">
        <f>VLOOKUP($B53,'Reach 5'!$B$3:$O$68,14,FALSE)</f>
        <v>0</v>
      </c>
      <c r="Q53" s="343">
        <f t="shared" si="1"/>
        <v>8044.9939480505673</v>
      </c>
    </row>
    <row r="54" spans="2:17" ht="15">
      <c r="B54" s="134" t="s">
        <v>334</v>
      </c>
      <c r="C54" s="172" t="str">
        <f>VLOOKUP(LEFT(B54,9),NodeList!$D$5:$E$73,2,FALSE)</f>
        <v>Morris Bros (Lower)</v>
      </c>
      <c r="D54" s="273">
        <v>5</v>
      </c>
      <c r="E54" s="274">
        <f>VLOOKUP($B54,'Reach 5'!$B$3:$O$68,3,FALSE)</f>
        <v>0</v>
      </c>
      <c r="F54" s="274">
        <f>VLOOKUP($B54,'Reach 5'!$B$3:$O$68,4,FALSE)</f>
        <v>0</v>
      </c>
      <c r="G54" s="274">
        <f>VLOOKUP($B54,'Reach 5'!$B$3:$O$68,5,FALSE)</f>
        <v>0</v>
      </c>
      <c r="H54" s="274">
        <f>VLOOKUP($B54,'Reach 5'!$B$3:$O$68,6,FALSE)</f>
        <v>0</v>
      </c>
      <c r="I54" s="274">
        <f>VLOOKUP($B54,'Reach 5'!$B$3:$O$68,7,FALSE)</f>
        <v>228.96947415764464</v>
      </c>
      <c r="J54" s="274">
        <f>VLOOKUP($B54,'Reach 5'!$B$3:$O$68,8,FALSE)</f>
        <v>194.68043899989669</v>
      </c>
      <c r="K54" s="274">
        <f>VLOOKUP($B54,'Reach 5'!$B$3:$O$68,9,FALSE)</f>
        <v>139.33644637613637</v>
      </c>
      <c r="L54" s="274">
        <f>VLOOKUP($B54,'Reach 5'!$B$3:$O$68,10,FALSE)</f>
        <v>48.576813437086784</v>
      </c>
      <c r="M54" s="274">
        <f>VLOOKUP($B54,'Reach 5'!$B$3:$O$68,11,FALSE)</f>
        <v>75.333951538429744</v>
      </c>
      <c r="N54" s="274">
        <f>VLOOKUP($B54,'Reach 5'!$B$3:$O$68,12,FALSE)</f>
        <v>0</v>
      </c>
      <c r="O54" s="274">
        <f>VLOOKUP($B54,'Reach 5'!$B$3:$O$68,13,FALSE)</f>
        <v>0</v>
      </c>
      <c r="P54" s="275">
        <f>VLOOKUP($B54,'Reach 5'!$B$3:$O$68,14,FALSE)</f>
        <v>0</v>
      </c>
      <c r="Q54" s="343">
        <f t="shared" si="1"/>
        <v>686.89712450919433</v>
      </c>
    </row>
    <row r="55" spans="2:17" ht="15">
      <c r="B55" s="134" t="s">
        <v>335</v>
      </c>
      <c r="C55" s="172" t="str">
        <f>VLOOKUP(LEFT(B55,9),NodeList!$D$5:$E$73,2,FALSE)</f>
        <v>AggDiv BR-3</v>
      </c>
      <c r="D55" s="273">
        <v>5</v>
      </c>
      <c r="E55" s="274">
        <f>VLOOKUP($B55,'Reach 5'!$B$3:$O$68,3,FALSE)</f>
        <v>0</v>
      </c>
      <c r="F55" s="274">
        <f>VLOOKUP($B55,'Reach 5'!$B$3:$O$68,4,FALSE)</f>
        <v>0</v>
      </c>
      <c r="G55" s="274">
        <f>VLOOKUP($B55,'Reach 5'!$B$3:$O$68,5,FALSE)</f>
        <v>0</v>
      </c>
      <c r="H55" s="274">
        <f>VLOOKUP($B55,'Reach 5'!$B$3:$O$68,6,FALSE)</f>
        <v>0</v>
      </c>
      <c r="I55" s="274">
        <f>VLOOKUP($B55,'Reach 5'!$B$3:$O$68,7,FALSE)</f>
        <v>140.42375000000001</v>
      </c>
      <c r="J55" s="274">
        <f>VLOOKUP($B55,'Reach 5'!$B$3:$O$68,8,FALSE)</f>
        <v>371.98249999999996</v>
      </c>
      <c r="K55" s="274">
        <f>VLOOKUP($B55,'Reach 5'!$B$3:$O$68,9,FALSE)</f>
        <v>382.5575</v>
      </c>
      <c r="L55" s="274">
        <f>VLOOKUP($B55,'Reach 5'!$B$3:$O$68,10,FALSE)</f>
        <v>133.57874999999999</v>
      </c>
      <c r="M55" s="274">
        <f>VLOOKUP($B55,'Reach 5'!$B$3:$O$68,11,FALSE)</f>
        <v>51.167500000000004</v>
      </c>
      <c r="N55" s="274">
        <f>VLOOKUP($B55,'Reach 5'!$B$3:$O$68,12,FALSE)</f>
        <v>0</v>
      </c>
      <c r="O55" s="274">
        <f>VLOOKUP($B55,'Reach 5'!$B$3:$O$68,13,FALSE)</f>
        <v>0</v>
      </c>
      <c r="P55" s="275">
        <f>VLOOKUP($B55,'Reach 5'!$B$3:$O$68,14,FALSE)</f>
        <v>0</v>
      </c>
      <c r="Q55" s="343">
        <f t="shared" si="1"/>
        <v>1079.71</v>
      </c>
    </row>
    <row r="56" spans="2:17" ht="15">
      <c r="B56" s="134" t="s">
        <v>517</v>
      </c>
      <c r="C56" s="172" t="str">
        <f>VLOOKUP(LEFT(B56,9),NodeList!$D$5:$E$73,2,FALSE)</f>
        <v>Tunnel</v>
      </c>
      <c r="D56" s="273">
        <v>5</v>
      </c>
      <c r="E56" s="274">
        <f>VLOOKUP($B56,'Reach 5'!$B$3:$O$68,3,FALSE)</f>
        <v>0</v>
      </c>
      <c r="F56" s="274">
        <f>VLOOKUP($B56,'Reach 5'!$B$3:$O$68,4,FALSE)</f>
        <v>0</v>
      </c>
      <c r="G56" s="274">
        <f>VLOOKUP($B56,'Reach 5'!$B$3:$O$68,5,FALSE)</f>
        <v>0</v>
      </c>
      <c r="H56" s="274">
        <f>VLOOKUP($B56,'Reach 5'!$B$3:$O$68,6,FALSE)</f>
        <v>0</v>
      </c>
      <c r="I56" s="274">
        <f>VLOOKUP($B56,'Reach 5'!$B$3:$O$68,7,FALSE)</f>
        <v>979.77975327045453</v>
      </c>
      <c r="J56" s="274">
        <f>VLOOKUP($B56,'Reach 5'!$B$3:$O$68,8,FALSE)</f>
        <v>952.82728098688006</v>
      </c>
      <c r="K56" s="274">
        <f>VLOOKUP($B56,'Reach 5'!$B$3:$O$68,9,FALSE)</f>
        <v>310.46096293274798</v>
      </c>
      <c r="L56" s="274">
        <f>VLOOKUP($B56,'Reach 5'!$B$3:$O$68,10,FALSE)</f>
        <v>103.27184078667358</v>
      </c>
      <c r="M56" s="274">
        <f>VLOOKUP($B56,'Reach 5'!$B$3:$O$68,11,FALSE)</f>
        <v>63.103624236053719</v>
      </c>
      <c r="N56" s="274">
        <f>VLOOKUP($B56,'Reach 5'!$B$3:$O$68,12,FALSE)</f>
        <v>0</v>
      </c>
      <c r="O56" s="274">
        <f>VLOOKUP($B56,'Reach 5'!$B$3:$O$68,13,FALSE)</f>
        <v>0</v>
      </c>
      <c r="P56" s="275">
        <f>VLOOKUP($B56,'Reach 5'!$B$3:$O$68,14,FALSE)</f>
        <v>0</v>
      </c>
      <c r="Q56" s="343">
        <f t="shared" si="1"/>
        <v>2409.4434622128101</v>
      </c>
    </row>
    <row r="57" spans="2:17" ht="15.75" thickBot="1">
      <c r="B57" s="24"/>
      <c r="C57" s="326"/>
      <c r="D57" s="276"/>
      <c r="E57" s="277"/>
      <c r="F57" s="277"/>
      <c r="G57" s="277"/>
      <c r="H57" s="277"/>
      <c r="I57" s="277"/>
      <c r="J57" s="277"/>
      <c r="K57" s="277"/>
      <c r="L57" s="277"/>
      <c r="M57" s="277"/>
      <c r="N57" s="277"/>
      <c r="O57" s="277"/>
      <c r="P57" s="278"/>
      <c r="Q57" s="345">
        <f t="shared" si="1"/>
        <v>0</v>
      </c>
    </row>
    <row r="59" spans="2:17" ht="15">
      <c r="B59" s="8" t="s">
        <v>416</v>
      </c>
      <c r="C59" s="8"/>
      <c r="D59" s="4"/>
      <c r="E59" s="272"/>
      <c r="F59" s="272"/>
      <c r="G59" s="272"/>
      <c r="H59" s="272"/>
      <c r="I59" s="272"/>
      <c r="J59" s="272"/>
      <c r="K59" s="272"/>
      <c r="L59" s="272"/>
      <c r="M59" s="272"/>
      <c r="N59" s="272"/>
      <c r="O59" s="272"/>
      <c r="P59" s="272"/>
    </row>
    <row r="60" spans="2:17" ht="13.5" thickBot="1">
      <c r="B60" s="4"/>
      <c r="C60" s="4"/>
      <c r="D60" s="4"/>
      <c r="E60" s="272"/>
      <c r="F60" s="272"/>
      <c r="G60" s="272"/>
      <c r="H60" s="272"/>
      <c r="I60" s="272"/>
      <c r="J60" s="272"/>
      <c r="K60" s="272"/>
      <c r="L60" s="272"/>
      <c r="M60" s="272"/>
      <c r="N60" s="272"/>
      <c r="O60" s="272"/>
      <c r="P60" s="272"/>
    </row>
    <row r="61" spans="2:17" ht="15.75" thickBot="1">
      <c r="B61" s="281" t="s">
        <v>314</v>
      </c>
      <c r="C61" s="11"/>
      <c r="D61" s="322" t="s">
        <v>80</v>
      </c>
      <c r="E61" s="11" t="s">
        <v>0</v>
      </c>
      <c r="F61" s="11" t="s">
        <v>1</v>
      </c>
      <c r="G61" s="11" t="s">
        <v>2</v>
      </c>
      <c r="H61" s="11" t="s">
        <v>3</v>
      </c>
      <c r="I61" s="11" t="s">
        <v>4</v>
      </c>
      <c r="J61" s="11" t="s">
        <v>5</v>
      </c>
      <c r="K61" s="11" t="s">
        <v>6</v>
      </c>
      <c r="L61" s="11" t="s">
        <v>7</v>
      </c>
      <c r="M61" s="11" t="s">
        <v>8</v>
      </c>
      <c r="N61" s="11" t="s">
        <v>9</v>
      </c>
      <c r="O61" s="11" t="s">
        <v>10</v>
      </c>
      <c r="P61" s="12" t="s">
        <v>11</v>
      </c>
      <c r="Q61" s="337" t="s">
        <v>18</v>
      </c>
    </row>
    <row r="62" spans="2:17" ht="15">
      <c r="B62" s="134" t="s">
        <v>417</v>
      </c>
      <c r="C62" s="172" t="str">
        <f>VLOOKUP(LEFT(B62,9),NodeList!$D$5:$E$73,2,FALSE)</f>
        <v>USGS 10020100:  Bear R. ab res. nr Woodruff, UT</v>
      </c>
      <c r="D62" s="273">
        <v>6</v>
      </c>
      <c r="E62" s="274">
        <f>VLOOKUP($B62,'Reach 6'!$B$3:$O$61,3,FALSE)</f>
        <v>0</v>
      </c>
      <c r="F62" s="274">
        <f>VLOOKUP($B62,'Reach 6'!$B$3:$O$61,4,FALSE)</f>
        <v>0</v>
      </c>
      <c r="G62" s="274">
        <f>VLOOKUP($B62,'Reach 6'!$B$3:$O$61,5,FALSE)</f>
        <v>0</v>
      </c>
      <c r="H62" s="274">
        <f>VLOOKUP($B62,'Reach 6'!$B$3:$O$61,6,FALSE)</f>
        <v>0</v>
      </c>
      <c r="I62" s="274">
        <f>VLOOKUP($B62,'Reach 6'!$B$3:$O$61,7,FALSE)</f>
        <v>0</v>
      </c>
      <c r="J62" s="274">
        <f>VLOOKUP($B62,'Reach 6'!$B$3:$O$61,8,FALSE)</f>
        <v>0</v>
      </c>
      <c r="K62" s="274">
        <f>VLOOKUP($B62,'Reach 6'!$B$3:$O$61,9,FALSE)</f>
        <v>0</v>
      </c>
      <c r="L62" s="274">
        <f>VLOOKUP($B62,'Reach 6'!$B$3:$O$61,10,FALSE)</f>
        <v>0</v>
      </c>
      <c r="M62" s="274">
        <f>VLOOKUP($B62,'Reach 6'!$B$3:$O$61,11,FALSE)</f>
        <v>0</v>
      </c>
      <c r="N62" s="274">
        <f>VLOOKUP($B62,'Reach 6'!$B$3:$O$61,12,FALSE)</f>
        <v>0</v>
      </c>
      <c r="O62" s="274">
        <f>VLOOKUP($B62,'Reach 6'!$B$3:$O$61,13,FALSE)</f>
        <v>0</v>
      </c>
      <c r="P62" s="275">
        <f>VLOOKUP($B62,'Reach 6'!$B$3:$O$61,14,FALSE)</f>
        <v>0</v>
      </c>
      <c r="Q62" s="342">
        <f>SUM(E62:P62)</f>
        <v>0</v>
      </c>
    </row>
    <row r="63" spans="2:17" ht="15">
      <c r="B63" s="134" t="s">
        <v>418</v>
      </c>
      <c r="C63" s="172" t="str">
        <f>VLOOKUP(LEFT(B63,9),NodeList!$D$5:$E$73,2,FALSE)</f>
        <v>Woodruff Narrows Reservoir</v>
      </c>
      <c r="D63" s="273">
        <v>6</v>
      </c>
      <c r="E63" s="274">
        <f>VLOOKUP($B63,'Reach 6'!$B$3:$O$61,3,FALSE)</f>
        <v>0</v>
      </c>
      <c r="F63" s="274">
        <f>VLOOKUP($B63,'Reach 6'!$B$3:$O$61,4,FALSE)</f>
        <v>0</v>
      </c>
      <c r="G63" s="274">
        <f>VLOOKUP($B63,'Reach 6'!$B$3:$O$61,5,FALSE)</f>
        <v>0</v>
      </c>
      <c r="H63" s="274">
        <f>VLOOKUP($B63,'Reach 6'!$B$3:$O$61,6,FALSE)</f>
        <v>0</v>
      </c>
      <c r="I63" s="274">
        <f>VLOOKUP($B63,'Reach 6'!$B$3:$O$61,7,FALSE)</f>
        <v>0</v>
      </c>
      <c r="J63" s="274">
        <f>VLOOKUP($B63,'Reach 6'!$B$3:$O$61,8,FALSE)</f>
        <v>0</v>
      </c>
      <c r="K63" s="274">
        <f>VLOOKUP($B63,'Reach 6'!$B$3:$O$61,9,FALSE)</f>
        <v>0</v>
      </c>
      <c r="L63" s="274">
        <f>VLOOKUP($B63,'Reach 6'!$B$3:$O$61,10,FALSE)</f>
        <v>0</v>
      </c>
      <c r="M63" s="274">
        <f>VLOOKUP($B63,'Reach 6'!$B$3:$O$61,11,FALSE)</f>
        <v>0</v>
      </c>
      <c r="N63" s="274">
        <f>VLOOKUP($B63,'Reach 6'!$B$3:$O$61,12,FALSE)</f>
        <v>0</v>
      </c>
      <c r="O63" s="274">
        <f>VLOOKUP($B63,'Reach 6'!$B$3:$O$61,13,FALSE)</f>
        <v>0</v>
      </c>
      <c r="P63" s="275">
        <f>VLOOKUP($B63,'Reach 6'!$B$3:$O$61,14,FALSE)</f>
        <v>0</v>
      </c>
      <c r="Q63" s="343">
        <f>SUM(E63:P63)</f>
        <v>0</v>
      </c>
    </row>
    <row r="64" spans="2:17" ht="13.5" thickBot="1">
      <c r="B64" s="179"/>
      <c r="C64" s="180"/>
      <c r="D64" s="180"/>
      <c r="E64" s="180"/>
      <c r="F64" s="180"/>
      <c r="G64" s="180"/>
      <c r="H64" s="180"/>
      <c r="I64" s="180"/>
      <c r="J64" s="180"/>
      <c r="K64" s="180"/>
      <c r="L64" s="180"/>
      <c r="M64" s="180"/>
      <c r="N64" s="180"/>
      <c r="O64" s="180"/>
      <c r="P64" s="280"/>
      <c r="Q64" s="346"/>
    </row>
    <row r="66" spans="2:17" ht="15">
      <c r="B66" s="8" t="s">
        <v>419</v>
      </c>
      <c r="C66" s="8"/>
      <c r="D66" s="4"/>
      <c r="E66" s="272"/>
      <c r="F66" s="272"/>
      <c r="G66" s="272"/>
      <c r="H66" s="272"/>
      <c r="I66" s="272"/>
      <c r="J66" s="272"/>
      <c r="K66" s="272"/>
      <c r="L66" s="272"/>
      <c r="M66" s="272"/>
      <c r="N66" s="272"/>
      <c r="O66" s="272"/>
      <c r="P66" s="272"/>
    </row>
    <row r="67" spans="2:17" ht="13.5" thickBot="1">
      <c r="B67" s="4"/>
      <c r="C67" s="4"/>
      <c r="D67" s="4"/>
      <c r="E67" s="272"/>
      <c r="F67" s="272"/>
      <c r="G67" s="272"/>
      <c r="H67" s="272"/>
      <c r="I67" s="272"/>
      <c r="J67" s="272"/>
      <c r="K67" s="272"/>
      <c r="L67" s="272"/>
      <c r="M67" s="272"/>
      <c r="N67" s="272"/>
      <c r="O67" s="272"/>
      <c r="P67" s="272"/>
    </row>
    <row r="68" spans="2:17" ht="15.75" thickBot="1">
      <c r="B68" s="281" t="s">
        <v>314</v>
      </c>
      <c r="C68" s="11"/>
      <c r="D68" s="322" t="s">
        <v>80</v>
      </c>
      <c r="E68" s="11" t="s">
        <v>0</v>
      </c>
      <c r="F68" s="11" t="s">
        <v>1</v>
      </c>
      <c r="G68" s="11" t="s">
        <v>2</v>
      </c>
      <c r="H68" s="11" t="s">
        <v>3</v>
      </c>
      <c r="I68" s="11" t="s">
        <v>4</v>
      </c>
      <c r="J68" s="11" t="s">
        <v>5</v>
      </c>
      <c r="K68" s="11" t="s">
        <v>6</v>
      </c>
      <c r="L68" s="11" t="s">
        <v>7</v>
      </c>
      <c r="M68" s="11" t="s">
        <v>8</v>
      </c>
      <c r="N68" s="11" t="s">
        <v>9</v>
      </c>
      <c r="O68" s="11" t="s">
        <v>10</v>
      </c>
      <c r="P68" s="12" t="s">
        <v>11</v>
      </c>
      <c r="Q68" s="337" t="s">
        <v>18</v>
      </c>
    </row>
    <row r="69" spans="2:17" ht="15">
      <c r="B69" s="134" t="s">
        <v>420</v>
      </c>
      <c r="C69" s="172" t="str">
        <f>VLOOKUP(LEFT(B69,9),NodeList!$D$5:$E$73,2,FALSE)</f>
        <v>USGS 10020300:  Bear R. bel res. nr Woodruff, UT</v>
      </c>
      <c r="D69" s="273">
        <v>7</v>
      </c>
      <c r="E69" s="274">
        <f>VLOOKUP($B69,'Reach 7'!$B$3:$O$72,3,FALSE)</f>
        <v>0</v>
      </c>
      <c r="F69" s="274">
        <f>VLOOKUP($B69,'Reach 7'!$B$3:$O$72,4,FALSE)</f>
        <v>0</v>
      </c>
      <c r="G69" s="274">
        <f>VLOOKUP($B69,'Reach 7'!$B$3:$O$72,5,FALSE)</f>
        <v>0</v>
      </c>
      <c r="H69" s="274">
        <f>VLOOKUP($B69,'Reach 7'!$B$3:$O$72,6,FALSE)</f>
        <v>0</v>
      </c>
      <c r="I69" s="274">
        <f>VLOOKUP($B69,'Reach 7'!$B$3:$O$72,7,FALSE)</f>
        <v>0</v>
      </c>
      <c r="J69" s="274">
        <f>VLOOKUP($B69,'Reach 7'!$B$3:$O$72,8,FALSE)</f>
        <v>0</v>
      </c>
      <c r="K69" s="274">
        <f>VLOOKUP($B69,'Reach 7'!$B$3:$O$72,9,FALSE)</f>
        <v>0</v>
      </c>
      <c r="L69" s="274">
        <f>VLOOKUP($B69,'Reach 7'!$B$3:$O$72,10,FALSE)</f>
        <v>0</v>
      </c>
      <c r="M69" s="274">
        <f>VLOOKUP($B69,'Reach 7'!$B$3:$O$72,11,FALSE)</f>
        <v>0</v>
      </c>
      <c r="N69" s="274">
        <f>VLOOKUP($B69,'Reach 7'!$B$3:$O$72,12,FALSE)</f>
        <v>0</v>
      </c>
      <c r="O69" s="274">
        <f>VLOOKUP($B69,'Reach 7'!$B$3:$O$72,13,FALSE)</f>
        <v>0</v>
      </c>
      <c r="P69" s="275">
        <f>VLOOKUP($B69,'Reach 7'!$B$3:$O$72,14,FALSE)</f>
        <v>0</v>
      </c>
      <c r="Q69" s="342">
        <f>SUM(E69:P69)</f>
        <v>0</v>
      </c>
    </row>
    <row r="70" spans="2:17" ht="15">
      <c r="B70" s="134" t="s">
        <v>421</v>
      </c>
      <c r="C70" s="172" t="str">
        <f>VLOOKUP(LEFT(B70,9),NodeList!$D$5:$E$73,2,FALSE)</f>
        <v>Francis Lee</v>
      </c>
      <c r="D70" s="273">
        <v>7</v>
      </c>
      <c r="E70" s="274">
        <f>VLOOKUP($B70,'Reach 7'!$B$3:$O$72,3,FALSE)</f>
        <v>0</v>
      </c>
      <c r="F70" s="274">
        <f>VLOOKUP($B70,'Reach 7'!$B$3:$O$72,4,FALSE)</f>
        <v>0</v>
      </c>
      <c r="G70" s="274">
        <f>VLOOKUP($B70,'Reach 7'!$B$3:$O$72,5,FALSE)</f>
        <v>0</v>
      </c>
      <c r="H70" s="274">
        <f>VLOOKUP($B70,'Reach 7'!$B$3:$O$72,6,FALSE)</f>
        <v>0</v>
      </c>
      <c r="I70" s="274">
        <f>VLOOKUP($B70,'Reach 7'!$B$3:$O$72,7,FALSE)</f>
        <v>1696.9185986308885</v>
      </c>
      <c r="J70" s="274">
        <f>VLOOKUP($B70,'Reach 7'!$B$3:$O$72,8,FALSE)</f>
        <v>2704.1690100903925</v>
      </c>
      <c r="K70" s="274">
        <f>VLOOKUP($B70,'Reach 7'!$B$3:$O$72,9,FALSE)</f>
        <v>611.4063159835124</v>
      </c>
      <c r="L70" s="274">
        <f>VLOOKUP($B70,'Reach 7'!$B$3:$O$72,10,FALSE)</f>
        <v>0</v>
      </c>
      <c r="M70" s="274">
        <f>VLOOKUP($B70,'Reach 7'!$B$3:$O$72,11,FALSE)</f>
        <v>0</v>
      </c>
      <c r="N70" s="274">
        <f>VLOOKUP($B70,'Reach 7'!$B$3:$O$72,12,FALSE)</f>
        <v>0</v>
      </c>
      <c r="O70" s="274">
        <f>VLOOKUP($B70,'Reach 7'!$B$3:$O$72,13,FALSE)</f>
        <v>0</v>
      </c>
      <c r="P70" s="275">
        <f>VLOOKUP($B70,'Reach 7'!$B$3:$O$72,14,FALSE)</f>
        <v>0</v>
      </c>
      <c r="Q70" s="343">
        <f>SUM(E70:P70)</f>
        <v>5012.4939247047932</v>
      </c>
    </row>
    <row r="71" spans="2:17" ht="15">
      <c r="B71" s="134" t="s">
        <v>422</v>
      </c>
      <c r="C71" s="172" t="str">
        <f>VLOOKUP(LEFT(B71,9),NodeList!$D$5:$E$73,2,FALSE)</f>
        <v>Bear River Canal</v>
      </c>
      <c r="D71" s="273">
        <v>7</v>
      </c>
      <c r="E71" s="274">
        <f>VLOOKUP($B71,'Reach 7'!$B$3:$O$72,3,FALSE)</f>
        <v>0</v>
      </c>
      <c r="F71" s="274">
        <f>VLOOKUP($B71,'Reach 7'!$B$3:$O$72,4,FALSE)</f>
        <v>0</v>
      </c>
      <c r="G71" s="274">
        <f>VLOOKUP($B71,'Reach 7'!$B$3:$O$72,5,FALSE)</f>
        <v>0</v>
      </c>
      <c r="H71" s="274">
        <f>VLOOKUP($B71,'Reach 7'!$B$3:$O$72,6,FALSE)</f>
        <v>0</v>
      </c>
      <c r="I71" s="274">
        <f>VLOOKUP($B71,'Reach 7'!$B$3:$O$72,7,FALSE)</f>
        <v>1965.6305462113635</v>
      </c>
      <c r="J71" s="274">
        <f>VLOOKUP($B71,'Reach 7'!$B$3:$O$72,8,FALSE)</f>
        <v>3298.0788354802685</v>
      </c>
      <c r="K71" s="274">
        <f>VLOOKUP($B71,'Reach 7'!$B$3:$O$72,9,FALSE)</f>
        <v>751.06190212363515</v>
      </c>
      <c r="L71" s="274">
        <f>VLOOKUP($B71,'Reach 7'!$B$3:$O$72,10,FALSE)</f>
        <v>0</v>
      </c>
      <c r="M71" s="274">
        <f>VLOOKUP($B71,'Reach 7'!$B$3:$O$72,11,FALSE)</f>
        <v>0</v>
      </c>
      <c r="N71" s="274">
        <f>VLOOKUP($B71,'Reach 7'!$B$3:$O$72,12,FALSE)</f>
        <v>0</v>
      </c>
      <c r="O71" s="274">
        <f>VLOOKUP($B71,'Reach 7'!$B$3:$O$72,13,FALSE)</f>
        <v>0</v>
      </c>
      <c r="P71" s="275">
        <f>VLOOKUP($B71,'Reach 7'!$B$3:$O$72,14,FALSE)</f>
        <v>0</v>
      </c>
      <c r="Q71" s="343">
        <f>SUM(E71:P71)</f>
        <v>6014.7712838152675</v>
      </c>
    </row>
    <row r="72" spans="2:17" ht="15">
      <c r="B72" s="134" t="s">
        <v>423</v>
      </c>
      <c r="C72" s="172" t="str">
        <f>VLOOKUP(LEFT(B72,9),NodeList!$D$5:$E$73,2,FALSE)</f>
        <v>Aggregate Utah Diversions</v>
      </c>
      <c r="D72" s="273">
        <v>7</v>
      </c>
      <c r="E72" s="274">
        <f>VLOOKUP($B72,'Reach 7'!$B$3:$O$72,3,FALSE)</f>
        <v>0</v>
      </c>
      <c r="F72" s="274">
        <f>VLOOKUP($B72,'Reach 7'!$B$3:$O$72,4,FALSE)</f>
        <v>0</v>
      </c>
      <c r="G72" s="274">
        <f>VLOOKUP($B72,'Reach 7'!$B$3:$O$72,5,FALSE)</f>
        <v>0</v>
      </c>
      <c r="H72" s="274">
        <f>VLOOKUP($B72,'Reach 7'!$B$3:$O$72,6,FALSE)</f>
        <v>0</v>
      </c>
      <c r="I72" s="274">
        <f>VLOOKUP($B72,'Reach 7'!$B$3:$O$72,7,FALSE)</f>
        <v>19706.331893247167</v>
      </c>
      <c r="J72" s="274">
        <f>VLOOKUP($B72,'Reach 7'!$B$3:$O$72,8,FALSE)</f>
        <v>43876.311703128056</v>
      </c>
      <c r="K72" s="274">
        <f>VLOOKUP($B72,'Reach 7'!$B$3:$O$72,9,FALSE)</f>
        <v>8753.5195151369044</v>
      </c>
      <c r="L72" s="274">
        <f>VLOOKUP($B72,'Reach 7'!$B$3:$O$72,10,FALSE)</f>
        <v>2495.9063840378626</v>
      </c>
      <c r="M72" s="274">
        <f>VLOOKUP($B72,'Reach 7'!$B$3:$O$72,11,FALSE)</f>
        <v>2241.848892787144</v>
      </c>
      <c r="N72" s="274">
        <f>VLOOKUP($B72,'Reach 7'!$B$3:$O$72,12,FALSE)</f>
        <v>0</v>
      </c>
      <c r="O72" s="274">
        <f>VLOOKUP($B72,'Reach 7'!$B$3:$O$72,13,FALSE)</f>
        <v>0</v>
      </c>
      <c r="P72" s="275">
        <f>VLOOKUP($B72,'Reach 7'!$B$3:$O$72,14,FALSE)</f>
        <v>0</v>
      </c>
      <c r="Q72" s="343">
        <f>SUM(E72:P72)</f>
        <v>77073.91838833713</v>
      </c>
    </row>
    <row r="73" spans="2:17" ht="15.75" thickBot="1">
      <c r="B73" s="24"/>
      <c r="C73" s="326"/>
      <c r="D73" s="276"/>
      <c r="E73" s="277"/>
      <c r="F73" s="277"/>
      <c r="G73" s="277"/>
      <c r="H73" s="277"/>
      <c r="I73" s="277"/>
      <c r="J73" s="277"/>
      <c r="K73" s="277"/>
      <c r="L73" s="277"/>
      <c r="M73" s="277"/>
      <c r="N73" s="277"/>
      <c r="O73" s="277"/>
      <c r="P73" s="278"/>
      <c r="Q73" s="346"/>
    </row>
    <row r="75" spans="2:17" ht="15">
      <c r="B75" s="8" t="s">
        <v>424</v>
      </c>
      <c r="C75" s="8"/>
      <c r="D75" s="4"/>
      <c r="E75" s="272"/>
      <c r="F75" s="272"/>
      <c r="G75" s="272"/>
      <c r="H75" s="272"/>
      <c r="I75" s="272"/>
      <c r="J75" s="272"/>
      <c r="K75" s="272"/>
      <c r="L75" s="272"/>
      <c r="M75" s="272"/>
      <c r="N75" s="272"/>
      <c r="O75" s="272"/>
      <c r="P75" s="272"/>
    </row>
    <row r="76" spans="2:17" ht="13.5" thickBot="1">
      <c r="B76" s="4"/>
      <c r="C76" s="4"/>
      <c r="D76" s="4"/>
      <c r="E76" s="272"/>
      <c r="F76" s="272"/>
      <c r="G76" s="272"/>
      <c r="H76" s="272"/>
      <c r="I76" s="272"/>
      <c r="J76" s="272"/>
      <c r="K76" s="272"/>
      <c r="L76" s="272"/>
      <c r="M76" s="272"/>
      <c r="N76" s="272"/>
      <c r="O76" s="272"/>
      <c r="P76" s="272"/>
    </row>
    <row r="77" spans="2:17" ht="15.75" thickBot="1">
      <c r="B77" s="281" t="s">
        <v>314</v>
      </c>
      <c r="C77" s="11"/>
      <c r="D77" s="322" t="s">
        <v>80</v>
      </c>
      <c r="E77" s="11" t="s">
        <v>0</v>
      </c>
      <c r="F77" s="11" t="s">
        <v>1</v>
      </c>
      <c r="G77" s="11" t="s">
        <v>2</v>
      </c>
      <c r="H77" s="11" t="s">
        <v>3</v>
      </c>
      <c r="I77" s="11" t="s">
        <v>4</v>
      </c>
      <c r="J77" s="11" t="s">
        <v>5</v>
      </c>
      <c r="K77" s="11" t="s">
        <v>6</v>
      </c>
      <c r="L77" s="11" t="s">
        <v>7</v>
      </c>
      <c r="M77" s="11" t="s">
        <v>8</v>
      </c>
      <c r="N77" s="11" t="s">
        <v>9</v>
      </c>
      <c r="O77" s="11" t="s">
        <v>10</v>
      </c>
      <c r="P77" s="12" t="s">
        <v>11</v>
      </c>
      <c r="Q77" s="53" t="s">
        <v>18</v>
      </c>
    </row>
    <row r="78" spans="2:17" ht="15">
      <c r="B78" s="134" t="s">
        <v>425</v>
      </c>
      <c r="C78" s="172" t="str">
        <f>VLOOKUP(LEFT(B78,9),NodeList!$D$5:$E$73,2,FALSE)</f>
        <v>USGS 10026500:  Bear R. nr Randolph, UT</v>
      </c>
      <c r="D78" s="273">
        <v>8</v>
      </c>
      <c r="E78" s="274">
        <f>VLOOKUP($B78,'Reach 8'!$B$3:$O$73,3,FALSE)</f>
        <v>0</v>
      </c>
      <c r="F78" s="274">
        <f>VLOOKUP($B78,'Reach 8'!$B$3:$O$73,4,FALSE)</f>
        <v>0</v>
      </c>
      <c r="G78" s="274">
        <f>VLOOKUP($B78,'Reach 8'!$B$3:$O$73,5,FALSE)</f>
        <v>0</v>
      </c>
      <c r="H78" s="274">
        <f>VLOOKUP($B78,'Reach 8'!$B$3:$O$73,6,FALSE)</f>
        <v>0</v>
      </c>
      <c r="I78" s="274">
        <f>VLOOKUP($B78,'Reach 8'!$B$3:$O$73,7,FALSE)</f>
        <v>0</v>
      </c>
      <c r="J78" s="274">
        <f>VLOOKUP($B78,'Reach 8'!$B$3:$O$73,8,FALSE)</f>
        <v>0</v>
      </c>
      <c r="K78" s="274">
        <f>VLOOKUP($B78,'Reach 8'!$B$3:$O$73,9,FALSE)</f>
        <v>0</v>
      </c>
      <c r="L78" s="274">
        <f>VLOOKUP($B78,'Reach 8'!$B$3:$O$73,10,FALSE)</f>
        <v>0</v>
      </c>
      <c r="M78" s="274">
        <f>VLOOKUP($B78,'Reach 8'!$B$3:$O$73,11,FALSE)</f>
        <v>0</v>
      </c>
      <c r="N78" s="274">
        <f>VLOOKUP($B78,'Reach 8'!$B$3:$O$73,12,FALSE)</f>
        <v>0</v>
      </c>
      <c r="O78" s="274">
        <f>VLOOKUP($B78,'Reach 8'!$B$3:$O$73,13,FALSE)</f>
        <v>0</v>
      </c>
      <c r="P78" s="275">
        <f>VLOOKUP($B78,'Reach 8'!$B$3:$O$73,14,FALSE)</f>
        <v>0</v>
      </c>
      <c r="Q78" s="343">
        <f>SUM(E78:P78)</f>
        <v>0</v>
      </c>
    </row>
    <row r="79" spans="2:17" ht="15">
      <c r="B79" s="134" t="s">
        <v>426</v>
      </c>
      <c r="C79" s="172" t="str">
        <f>VLOOKUP(LEFT(B79,9),NodeList!$D$5:$E$73,2,FALSE)</f>
        <v>Pixley Dam</v>
      </c>
      <c r="D79" s="273">
        <v>8</v>
      </c>
      <c r="E79" s="274">
        <f>VLOOKUP($B79,'Reach 8'!$B$3:$O$73,3,FALSE)</f>
        <v>0</v>
      </c>
      <c r="F79" s="274">
        <f>VLOOKUP($B79,'Reach 8'!$B$3:$O$73,4,FALSE)</f>
        <v>0</v>
      </c>
      <c r="G79" s="274">
        <f>VLOOKUP($B79,'Reach 8'!$B$3:$O$73,5,FALSE)</f>
        <v>0</v>
      </c>
      <c r="H79" s="274">
        <f>VLOOKUP($B79,'Reach 8'!$B$3:$O$73,6,FALSE)</f>
        <v>0</v>
      </c>
      <c r="I79" s="274">
        <f>VLOOKUP($B79,'Reach 8'!$B$3:$O$73,7,FALSE)</f>
        <v>1205.3231878830682</v>
      </c>
      <c r="J79" s="274">
        <f>VLOOKUP($B79,'Reach 8'!$B$3:$O$73,8,FALSE)</f>
        <v>2927.5541527096284</v>
      </c>
      <c r="K79" s="274">
        <f>VLOOKUP($B79,'Reach 8'!$B$3:$O$73,9,FALSE)</f>
        <v>1019.7208562686881</v>
      </c>
      <c r="L79" s="274">
        <f>VLOOKUP($B79,'Reach 8'!$B$3:$O$73,10,FALSE)</f>
        <v>31.247196749999997</v>
      </c>
      <c r="M79" s="274">
        <f>VLOOKUP($B79,'Reach 8'!$B$3:$O$73,11,FALSE)</f>
        <v>47.612983778925624</v>
      </c>
      <c r="N79" s="274">
        <f>VLOOKUP($B79,'Reach 8'!$B$3:$O$73,12,FALSE)</f>
        <v>0</v>
      </c>
      <c r="O79" s="274">
        <f>VLOOKUP($B79,'Reach 8'!$B$3:$O$73,13,FALSE)</f>
        <v>0</v>
      </c>
      <c r="P79" s="275">
        <f>VLOOKUP($B79,'Reach 8'!$B$3:$O$73,14,FALSE)</f>
        <v>0</v>
      </c>
      <c r="Q79" s="343">
        <f>SUM(E79:P79)</f>
        <v>5231.4583773903105</v>
      </c>
    </row>
    <row r="80" spans="2:17" ht="15">
      <c r="B80" s="134" t="s">
        <v>449</v>
      </c>
      <c r="C80" s="172" t="str">
        <f>VLOOKUP(LEFT(B80,9),NodeList!$D$5:$E$73,2,FALSE)</f>
        <v>BQ Dam</v>
      </c>
      <c r="D80" s="273">
        <v>8</v>
      </c>
      <c r="E80" s="274">
        <f>VLOOKUP($B80,'Reach 8'!$B$3:$O$73,3,FALSE)</f>
        <v>0</v>
      </c>
      <c r="F80" s="274">
        <f>VLOOKUP($B80,'Reach 8'!$B$3:$O$73,4,FALSE)</f>
        <v>0</v>
      </c>
      <c r="G80" s="274">
        <f>VLOOKUP($B80,'Reach 8'!$B$3:$O$73,5,FALSE)</f>
        <v>0</v>
      </c>
      <c r="H80" s="274">
        <f>VLOOKUP($B80,'Reach 8'!$B$3:$O$73,6,FALSE)</f>
        <v>0</v>
      </c>
      <c r="I80" s="274">
        <f>VLOOKUP($B80,'Reach 8'!$B$3:$O$73,7,FALSE)</f>
        <v>1780.5680029354546</v>
      </c>
      <c r="J80" s="274">
        <f>VLOOKUP($B80,'Reach 8'!$B$3:$O$73,8,FALSE)</f>
        <v>7433.0612931595351</v>
      </c>
      <c r="K80" s="274">
        <f>VLOOKUP($B80,'Reach 8'!$B$3:$O$73,9,FALSE)</f>
        <v>2074.4859710805681</v>
      </c>
      <c r="L80" s="274">
        <f>VLOOKUP($B80,'Reach 8'!$B$3:$O$73,10,FALSE)</f>
        <v>162.91801152272728</v>
      </c>
      <c r="M80" s="274">
        <f>VLOOKUP($B80,'Reach 8'!$B$3:$O$73,11,FALSE)</f>
        <v>67.453907555785122</v>
      </c>
      <c r="N80" s="274">
        <f>VLOOKUP($B80,'Reach 8'!$B$3:$O$73,12,FALSE)</f>
        <v>0</v>
      </c>
      <c r="O80" s="274">
        <f>VLOOKUP($B80,'Reach 8'!$B$3:$O$73,13,FALSE)</f>
        <v>0</v>
      </c>
      <c r="P80" s="275">
        <f>VLOOKUP($B80,'Reach 8'!$B$3:$O$73,14,FALSE)</f>
        <v>0</v>
      </c>
      <c r="Q80" s="343">
        <f>SUM(E80:P80)</f>
        <v>11518.487186254073</v>
      </c>
    </row>
    <row r="81" spans="2:17" ht="15.75" thickBot="1">
      <c r="B81" s="24"/>
      <c r="C81" s="326"/>
      <c r="D81" s="276"/>
      <c r="E81" s="277"/>
      <c r="F81" s="277"/>
      <c r="G81" s="277"/>
      <c r="H81" s="277"/>
      <c r="I81" s="277"/>
      <c r="J81" s="277"/>
      <c r="K81" s="277"/>
      <c r="L81" s="277"/>
      <c r="M81" s="277"/>
      <c r="N81" s="277"/>
      <c r="O81" s="277"/>
      <c r="P81" s="278"/>
      <c r="Q81" s="346"/>
    </row>
    <row r="83" spans="2:17" ht="15">
      <c r="B83" s="8" t="s">
        <v>427</v>
      </c>
      <c r="C83" s="8"/>
      <c r="D83" s="4"/>
      <c r="E83" s="272"/>
      <c r="F83" s="272"/>
      <c r="G83" s="272"/>
      <c r="H83" s="272"/>
      <c r="I83" s="272"/>
      <c r="J83" s="272"/>
      <c r="K83" s="272"/>
      <c r="L83" s="272"/>
      <c r="M83" s="272"/>
      <c r="N83" s="272"/>
      <c r="O83" s="272"/>
      <c r="P83" s="272"/>
    </row>
    <row r="84" spans="2:17" ht="13.5" thickBot="1">
      <c r="B84" s="4"/>
      <c r="C84" s="4"/>
      <c r="D84" s="4"/>
      <c r="E84" s="272"/>
      <c r="F84" s="272"/>
      <c r="G84" s="272"/>
      <c r="H84" s="272"/>
      <c r="I84" s="272"/>
      <c r="J84" s="272"/>
      <c r="K84" s="272"/>
      <c r="L84" s="272"/>
      <c r="M84" s="272"/>
      <c r="N84" s="272"/>
      <c r="O84" s="272"/>
      <c r="P84" s="272"/>
    </row>
    <row r="85" spans="2:17" ht="15.75" thickBot="1">
      <c r="B85" s="281" t="s">
        <v>314</v>
      </c>
      <c r="C85" s="11"/>
      <c r="D85" s="322" t="s">
        <v>80</v>
      </c>
      <c r="E85" s="11" t="s">
        <v>0</v>
      </c>
      <c r="F85" s="11" t="s">
        <v>1</v>
      </c>
      <c r="G85" s="11" t="s">
        <v>2</v>
      </c>
      <c r="H85" s="11" t="s">
        <v>3</v>
      </c>
      <c r="I85" s="11" t="s">
        <v>4</v>
      </c>
      <c r="J85" s="11" t="s">
        <v>5</v>
      </c>
      <c r="K85" s="11" t="s">
        <v>6</v>
      </c>
      <c r="L85" s="11" t="s">
        <v>7</v>
      </c>
      <c r="M85" s="11" t="s">
        <v>8</v>
      </c>
      <c r="N85" s="11" t="s">
        <v>9</v>
      </c>
      <c r="O85" s="11" t="s">
        <v>10</v>
      </c>
      <c r="P85" s="12" t="s">
        <v>11</v>
      </c>
      <c r="Q85" s="53" t="s">
        <v>18</v>
      </c>
    </row>
    <row r="86" spans="2:17" ht="15">
      <c r="B86" s="134" t="s">
        <v>428</v>
      </c>
      <c r="C86" s="172" t="str">
        <f>VLOOKUP(LEFT(B86,9),NodeList!$D$5:$E$73,2,FALSE)</f>
        <v>USGS 10028500:  Bear R. bel Pixley Dam, near Cokeville, WY</v>
      </c>
      <c r="D86" s="273">
        <v>9</v>
      </c>
      <c r="E86" s="274">
        <f>VLOOKUP($B86,'Reach 9'!$B$2:$O$72,3,FALSE)</f>
        <v>0</v>
      </c>
      <c r="F86" s="274">
        <f>VLOOKUP($B86,'Reach 9'!$B$2:$O$72,4,FALSE)</f>
        <v>0</v>
      </c>
      <c r="G86" s="274">
        <f>VLOOKUP($B86,'Reach 9'!$B$2:$O$72,5,FALSE)</f>
        <v>0</v>
      </c>
      <c r="H86" s="274">
        <f>VLOOKUP($B86,'Reach 9'!$B$2:$O$72,6,FALSE)</f>
        <v>0</v>
      </c>
      <c r="I86" s="274">
        <f>VLOOKUP($B86,'Reach 9'!$B$2:$O$72,7,FALSE)</f>
        <v>0</v>
      </c>
      <c r="J86" s="274">
        <f>VLOOKUP($B86,'Reach 9'!$B$2:$O$72,8,FALSE)</f>
        <v>0</v>
      </c>
      <c r="K86" s="274">
        <f>VLOOKUP($B86,'Reach 9'!$B$2:$O$72,9,FALSE)</f>
        <v>0</v>
      </c>
      <c r="L86" s="274">
        <f>VLOOKUP($B86,'Reach 9'!$B$2:$O$72,10,FALSE)</f>
        <v>0</v>
      </c>
      <c r="M86" s="274">
        <f>VLOOKUP($B86,'Reach 9'!$B$2:$O$72,11,FALSE)</f>
        <v>0</v>
      </c>
      <c r="N86" s="274">
        <f>VLOOKUP($B86,'Reach 9'!$B$2:$O$72,12,FALSE)</f>
        <v>0</v>
      </c>
      <c r="O86" s="274">
        <f>VLOOKUP($B86,'Reach 9'!$B$2:$O$72,13,FALSE)</f>
        <v>0</v>
      </c>
      <c r="P86" s="275">
        <f>VLOOKUP($B86,'Reach 9'!$B$2:$O$72,14,FALSE)</f>
        <v>0</v>
      </c>
      <c r="Q86" s="343">
        <f>SUM(E86:P86)</f>
        <v>0</v>
      </c>
    </row>
    <row r="87" spans="2:17" ht="15">
      <c r="B87" s="134" t="s">
        <v>429</v>
      </c>
      <c r="C87" s="172" t="str">
        <f>VLOOKUP(LEFT(B87,9),NodeList!$D$5:$E$73,2,FALSE)</f>
        <v>Confluence Smiths Fork / Bear</v>
      </c>
      <c r="D87" s="273">
        <v>9</v>
      </c>
      <c r="E87" s="274">
        <f>VLOOKUP($B87,'Reach 9'!$B$2:$O$72,3,FALSE)</f>
        <v>0</v>
      </c>
      <c r="F87" s="274">
        <f>VLOOKUP($B87,'Reach 9'!$B$2:$O$72,4,FALSE)</f>
        <v>0</v>
      </c>
      <c r="G87" s="274">
        <f>VLOOKUP($B87,'Reach 9'!$B$2:$O$72,5,FALSE)</f>
        <v>0</v>
      </c>
      <c r="H87" s="274">
        <f>VLOOKUP($B87,'Reach 9'!$B$2:$O$72,6,FALSE)</f>
        <v>0</v>
      </c>
      <c r="I87" s="274">
        <f>VLOOKUP($B87,'Reach 9'!$B$2:$O$72,7,FALSE)</f>
        <v>0</v>
      </c>
      <c r="J87" s="274">
        <f>VLOOKUP($B87,'Reach 9'!$B$2:$O$72,8,FALSE)</f>
        <v>0</v>
      </c>
      <c r="K87" s="274">
        <f>VLOOKUP($B87,'Reach 9'!$B$2:$O$72,9,FALSE)</f>
        <v>0</v>
      </c>
      <c r="L87" s="274">
        <f>VLOOKUP($B87,'Reach 9'!$B$2:$O$72,10,FALSE)</f>
        <v>0</v>
      </c>
      <c r="M87" s="274">
        <f>VLOOKUP($B87,'Reach 9'!$B$2:$O$72,11,FALSE)</f>
        <v>0</v>
      </c>
      <c r="N87" s="274">
        <f>VLOOKUP($B87,'Reach 9'!$B$2:$O$72,12,FALSE)</f>
        <v>0</v>
      </c>
      <c r="O87" s="274">
        <f>VLOOKUP($B87,'Reach 9'!$B$2:$O$72,13,FALSE)</f>
        <v>0</v>
      </c>
      <c r="P87" s="275">
        <f>VLOOKUP($B87,'Reach 9'!$B$2:$O$72,14,FALSE)</f>
        <v>0</v>
      </c>
      <c r="Q87" s="343">
        <f>SUM(E87:P87)</f>
        <v>0</v>
      </c>
    </row>
    <row r="88" spans="2:17" ht="15">
      <c r="B88" s="134" t="s">
        <v>450</v>
      </c>
      <c r="C88" s="172" t="str">
        <f>VLOOKUP(LEFT(B88,9),NodeList!$D$5:$E$73,2,FALSE)</f>
        <v>AggDiv BR-4</v>
      </c>
      <c r="D88" s="273">
        <v>9</v>
      </c>
      <c r="E88" s="274">
        <f>VLOOKUP($B88,'Reach 9'!$B$2:$O$72,3,FALSE)</f>
        <v>0</v>
      </c>
      <c r="F88" s="274">
        <f>VLOOKUP($B88,'Reach 9'!$B$2:$O$72,4,FALSE)</f>
        <v>0</v>
      </c>
      <c r="G88" s="274">
        <f>VLOOKUP($B88,'Reach 9'!$B$2:$O$72,5,FALSE)</f>
        <v>0</v>
      </c>
      <c r="H88" s="274">
        <f>VLOOKUP($B88,'Reach 9'!$B$2:$O$72,6,FALSE)</f>
        <v>0</v>
      </c>
      <c r="I88" s="274">
        <f>VLOOKUP($B88,'Reach 9'!$B$2:$O$72,7,FALSE)</f>
        <v>691.02375000000006</v>
      </c>
      <c r="J88" s="274">
        <f>VLOOKUP($B88,'Reach 9'!$B$2:$O$72,8,FALSE)</f>
        <v>2031.52</v>
      </c>
      <c r="K88" s="274">
        <f>VLOOKUP($B88,'Reach 9'!$B$2:$O$72,9,FALSE)</f>
        <v>2453.8799999999997</v>
      </c>
      <c r="L88" s="274">
        <f>VLOOKUP($B88,'Reach 9'!$B$2:$O$72,10,FALSE)</f>
        <v>1075.8462500000001</v>
      </c>
      <c r="M88" s="274">
        <f>VLOOKUP($B88,'Reach 9'!$B$2:$O$72,11,FALSE)</f>
        <v>347.375</v>
      </c>
      <c r="N88" s="274">
        <f>VLOOKUP($B88,'Reach 9'!$B$2:$O$72,12,FALSE)</f>
        <v>0</v>
      </c>
      <c r="O88" s="274">
        <f>VLOOKUP($B88,'Reach 9'!$B$2:$O$72,13,FALSE)</f>
        <v>0</v>
      </c>
      <c r="P88" s="275">
        <f>VLOOKUP($B88,'Reach 9'!$B$2:$O$72,14,FALSE)</f>
        <v>0</v>
      </c>
      <c r="Q88" s="343">
        <f>SUM(E88:P88)</f>
        <v>6599.6450000000004</v>
      </c>
    </row>
    <row r="89" spans="2:17" ht="15.75" thickBot="1">
      <c r="B89" s="24"/>
      <c r="C89" s="326"/>
      <c r="D89" s="276"/>
      <c r="E89" s="277"/>
      <c r="F89" s="277"/>
      <c r="G89" s="277"/>
      <c r="H89" s="277"/>
      <c r="I89" s="277"/>
      <c r="J89" s="277"/>
      <c r="K89" s="277"/>
      <c r="L89" s="277"/>
      <c r="M89" s="277"/>
      <c r="N89" s="277"/>
      <c r="O89" s="277"/>
      <c r="P89" s="278"/>
      <c r="Q89" s="346"/>
    </row>
    <row r="91" spans="2:17" ht="15">
      <c r="B91" s="8" t="s">
        <v>430</v>
      </c>
      <c r="C91" s="8"/>
      <c r="D91" s="4"/>
      <c r="E91" s="272"/>
      <c r="F91" s="272"/>
      <c r="G91" s="272"/>
      <c r="H91" s="272"/>
      <c r="I91" s="272"/>
      <c r="J91" s="272"/>
      <c r="K91" s="272"/>
      <c r="L91" s="272"/>
      <c r="M91" s="272"/>
      <c r="N91" s="272"/>
      <c r="O91" s="272"/>
      <c r="P91" s="272"/>
    </row>
    <row r="92" spans="2:17" ht="13.5" thickBot="1">
      <c r="B92" s="4"/>
      <c r="C92" s="4"/>
      <c r="D92" s="4"/>
      <c r="E92" s="272"/>
      <c r="F92" s="272"/>
      <c r="G92" s="272"/>
      <c r="H92" s="272"/>
      <c r="I92" s="272"/>
      <c r="J92" s="272"/>
      <c r="K92" s="272"/>
      <c r="L92" s="272"/>
      <c r="M92" s="272"/>
      <c r="N92" s="272"/>
      <c r="O92" s="272"/>
      <c r="P92" s="272"/>
    </row>
    <row r="93" spans="2:17" ht="15.75" thickBot="1">
      <c r="B93" s="281" t="s">
        <v>314</v>
      </c>
      <c r="C93" s="11"/>
      <c r="D93" s="322" t="s">
        <v>80</v>
      </c>
      <c r="E93" s="11" t="s">
        <v>0</v>
      </c>
      <c r="F93" s="11" t="s">
        <v>1</v>
      </c>
      <c r="G93" s="11" t="s">
        <v>2</v>
      </c>
      <c r="H93" s="11" t="s">
        <v>3</v>
      </c>
      <c r="I93" s="11" t="s">
        <v>4</v>
      </c>
      <c r="J93" s="11" t="s">
        <v>5</v>
      </c>
      <c r="K93" s="11" t="s">
        <v>6</v>
      </c>
      <c r="L93" s="11" t="s">
        <v>7</v>
      </c>
      <c r="M93" s="11" t="s">
        <v>8</v>
      </c>
      <c r="N93" s="11" t="s">
        <v>9</v>
      </c>
      <c r="O93" s="11" t="s">
        <v>10</v>
      </c>
      <c r="P93" s="12" t="s">
        <v>11</v>
      </c>
      <c r="Q93" s="53" t="s">
        <v>18</v>
      </c>
    </row>
    <row r="94" spans="2:17" ht="15">
      <c r="B94" s="134" t="s">
        <v>431</v>
      </c>
      <c r="C94" s="172" t="str">
        <f>VLOOKUP(LEFT(B94,10),NodeList!$D$5:$E$73,2,FALSE)</f>
        <v>USGS 10032000:  Smiths Fork nr Border,WY</v>
      </c>
      <c r="D94" s="273">
        <v>10</v>
      </c>
      <c r="E94" s="274">
        <f>VLOOKUP($B94,'Reach 10'!$B$4:$O$131,3,FALSE)</f>
        <v>0</v>
      </c>
      <c r="F94" s="274">
        <f>VLOOKUP($B94,'Reach 10'!$B$4:$O$131,4,FALSE)</f>
        <v>0</v>
      </c>
      <c r="G94" s="274">
        <f>VLOOKUP($B94,'Reach 10'!$B$4:$O$131,5,FALSE)</f>
        <v>0</v>
      </c>
      <c r="H94" s="274">
        <f>VLOOKUP($B94,'Reach 10'!$B$4:$O$131,6,FALSE)</f>
        <v>0</v>
      </c>
      <c r="I94" s="274">
        <f>VLOOKUP($B94,'Reach 10'!$B$4:$O$131,7,FALSE)</f>
        <v>0</v>
      </c>
      <c r="J94" s="274">
        <f>VLOOKUP($B94,'Reach 10'!$B$4:$O$131,8,FALSE)</f>
        <v>0</v>
      </c>
      <c r="K94" s="274">
        <f>VLOOKUP($B94,'Reach 10'!$B$4:$O$131,9,FALSE)</f>
        <v>0</v>
      </c>
      <c r="L94" s="274">
        <f>VLOOKUP($B94,'Reach 10'!$B$4:$O$131,10,FALSE)</f>
        <v>0</v>
      </c>
      <c r="M94" s="274">
        <f>VLOOKUP($B94,'Reach 10'!$B$4:$O$131,11,FALSE)</f>
        <v>0</v>
      </c>
      <c r="N94" s="274">
        <f>VLOOKUP($B94,'Reach 10'!$B$4:$O$131,12,FALSE)</f>
        <v>0</v>
      </c>
      <c r="O94" s="274">
        <f>VLOOKUP($B94,'Reach 10'!$B$4:$O$131,13,FALSE)</f>
        <v>0</v>
      </c>
      <c r="P94" s="275">
        <f>VLOOKUP($B94,'Reach 10'!$B$4:$O$131,14,FALSE)</f>
        <v>0</v>
      </c>
      <c r="Q94" s="343">
        <f>SUM(E94:P94)</f>
        <v>0</v>
      </c>
    </row>
    <row r="95" spans="2:17" ht="15">
      <c r="B95" s="134" t="s">
        <v>432</v>
      </c>
      <c r="C95" s="172" t="str">
        <f>VLOOKUP(LEFT(B95,10),NodeList!$D$5:$E$73,2,FALSE)</f>
        <v>Button Flat</v>
      </c>
      <c r="D95" s="273">
        <v>10</v>
      </c>
      <c r="E95" s="274">
        <f>VLOOKUP($B95,'Reach 10'!$B$4:$O$131,3,FALSE)</f>
        <v>0</v>
      </c>
      <c r="F95" s="274">
        <f>VLOOKUP($B95,'Reach 10'!$B$4:$O$131,4,FALSE)</f>
        <v>0</v>
      </c>
      <c r="G95" s="274">
        <f>VLOOKUP($B95,'Reach 10'!$B$4:$O$131,5,FALSE)</f>
        <v>0</v>
      </c>
      <c r="H95" s="274">
        <f>VLOOKUP($B95,'Reach 10'!$B$4:$O$131,6,FALSE)</f>
        <v>0</v>
      </c>
      <c r="I95" s="274">
        <f>VLOOKUP($B95,'Reach 10'!$B$4:$O$131,7,FALSE)</f>
        <v>121.51380165289258</v>
      </c>
      <c r="J95" s="274">
        <f>VLOOKUP($B95,'Reach 10'!$B$4:$O$131,8,FALSE)</f>
        <v>233.34715909090912</v>
      </c>
      <c r="K95" s="274">
        <f>VLOOKUP($B95,'Reach 10'!$B$4:$O$131,9,FALSE)</f>
        <v>122.73444214876031</v>
      </c>
      <c r="L95" s="274">
        <f>VLOOKUP($B95,'Reach 10'!$B$4:$O$131,10,FALSE)</f>
        <v>23.539989669421487</v>
      </c>
      <c r="M95" s="274">
        <f>VLOOKUP($B95,'Reach 10'!$B$4:$O$131,11,FALSE)</f>
        <v>4.5384194214876032</v>
      </c>
      <c r="N95" s="274">
        <f>VLOOKUP($B95,'Reach 10'!$B$4:$O$131,12,FALSE)</f>
        <v>0</v>
      </c>
      <c r="O95" s="274">
        <f>VLOOKUP($B95,'Reach 10'!$B$4:$O$131,13,FALSE)</f>
        <v>0</v>
      </c>
      <c r="P95" s="275">
        <f>VLOOKUP($B95,'Reach 10'!$B$4:$O$131,14,FALSE)</f>
        <v>0</v>
      </c>
      <c r="Q95" s="343">
        <f t="shared" ref="Q95:Q103" si="2">SUM(E95:P95)</f>
        <v>505.67381198347113</v>
      </c>
    </row>
    <row r="96" spans="2:17" ht="15">
      <c r="B96" s="134" t="s">
        <v>433</v>
      </c>
      <c r="C96" s="172" t="str">
        <f>VLOOKUP(LEFT(B96,10),NodeList!$D$5:$E$73,2,FALSE)</f>
        <v>Emelle</v>
      </c>
      <c r="D96" s="273">
        <v>10</v>
      </c>
      <c r="E96" s="274">
        <f>VLOOKUP($B96,'Reach 10'!$B$4:$O$131,3,FALSE)</f>
        <v>0</v>
      </c>
      <c r="F96" s="274">
        <f>VLOOKUP($B96,'Reach 10'!$B$4:$O$131,4,FALSE)</f>
        <v>0</v>
      </c>
      <c r="G96" s="274">
        <f>VLOOKUP($B96,'Reach 10'!$B$4:$O$131,5,FALSE)</f>
        <v>0</v>
      </c>
      <c r="H96" s="274">
        <f>VLOOKUP($B96,'Reach 10'!$B$4:$O$131,6,FALSE)</f>
        <v>0</v>
      </c>
      <c r="I96" s="274">
        <f>VLOOKUP($B96,'Reach 10'!$B$4:$O$131,7,FALSE)</f>
        <v>269.93912190082642</v>
      </c>
      <c r="J96" s="274">
        <f>VLOOKUP($B96,'Reach 10'!$B$4:$O$131,8,FALSE)</f>
        <v>612.73541322314054</v>
      </c>
      <c r="K96" s="274">
        <f>VLOOKUP($B96,'Reach 10'!$B$4:$O$131,9,FALSE)</f>
        <v>404.82676652892559</v>
      </c>
      <c r="L96" s="274">
        <f>VLOOKUP($B96,'Reach 10'!$B$4:$O$131,10,FALSE)</f>
        <v>124.53765495867769</v>
      </c>
      <c r="M96" s="274">
        <f>VLOOKUP($B96,'Reach 10'!$B$4:$O$131,11,FALSE)</f>
        <v>27.124690082644626</v>
      </c>
      <c r="N96" s="274">
        <f>VLOOKUP($B96,'Reach 10'!$B$4:$O$131,12,FALSE)</f>
        <v>0</v>
      </c>
      <c r="O96" s="274">
        <f>VLOOKUP($B96,'Reach 10'!$B$4:$O$131,13,FALSE)</f>
        <v>0</v>
      </c>
      <c r="P96" s="275">
        <f>VLOOKUP($B96,'Reach 10'!$B$4:$O$131,14,FALSE)</f>
        <v>0</v>
      </c>
      <c r="Q96" s="343">
        <f t="shared" si="2"/>
        <v>1439.1636466942148</v>
      </c>
    </row>
    <row r="97" spans="2:17" ht="15">
      <c r="B97" s="134" t="s">
        <v>434</v>
      </c>
      <c r="C97" s="172" t="str">
        <f>VLOOKUP(LEFT(B97,10),NodeList!$D$5:$E$73,2,FALSE)</f>
        <v>Cooper</v>
      </c>
      <c r="D97" s="273">
        <v>10</v>
      </c>
      <c r="E97" s="274">
        <f>VLOOKUP($B97,'Reach 10'!$B$4:$O$131,3,FALSE)</f>
        <v>0</v>
      </c>
      <c r="F97" s="274">
        <f>VLOOKUP($B97,'Reach 10'!$B$4:$O$131,4,FALSE)</f>
        <v>0</v>
      </c>
      <c r="G97" s="274">
        <f>VLOOKUP($B97,'Reach 10'!$B$4:$O$131,5,FALSE)</f>
        <v>0</v>
      </c>
      <c r="H97" s="274">
        <f>VLOOKUP($B97,'Reach 10'!$B$4:$O$131,6,FALSE)</f>
        <v>0</v>
      </c>
      <c r="I97" s="274">
        <f>VLOOKUP($B97,'Reach 10'!$B$4:$O$131,7,FALSE)</f>
        <v>278.47495867768595</v>
      </c>
      <c r="J97" s="274">
        <f>VLOOKUP($B97,'Reach 10'!$B$4:$O$131,8,FALSE)</f>
        <v>351.79234504132233</v>
      </c>
      <c r="K97" s="274">
        <f>VLOOKUP($B97,'Reach 10'!$B$4:$O$131,9,FALSE)</f>
        <v>87.380578512396681</v>
      </c>
      <c r="L97" s="274">
        <f>VLOOKUP($B97,'Reach 10'!$B$4:$O$131,10,FALSE)</f>
        <v>16.762200413223141</v>
      </c>
      <c r="M97" s="274">
        <f>VLOOKUP($B97,'Reach 10'!$B$4:$O$131,11,FALSE)</f>
        <v>0</v>
      </c>
      <c r="N97" s="274">
        <f>VLOOKUP($B97,'Reach 10'!$B$4:$O$131,12,FALSE)</f>
        <v>0</v>
      </c>
      <c r="O97" s="274">
        <f>VLOOKUP($B97,'Reach 10'!$B$4:$O$131,13,FALSE)</f>
        <v>0</v>
      </c>
      <c r="P97" s="275">
        <f>VLOOKUP($B97,'Reach 10'!$B$4:$O$131,14,FALSE)</f>
        <v>0</v>
      </c>
      <c r="Q97" s="343">
        <f t="shared" si="2"/>
        <v>734.41008264462812</v>
      </c>
    </row>
    <row r="98" spans="2:17" ht="15">
      <c r="B98" s="134" t="s">
        <v>435</v>
      </c>
      <c r="C98" s="172" t="str">
        <f>VLOOKUP(LEFT(B98,10),NodeList!$D$5:$E$73,2,FALSE)</f>
        <v>Covey</v>
      </c>
      <c r="D98" s="273">
        <v>10</v>
      </c>
      <c r="E98" s="274">
        <f>VLOOKUP($B98,'Reach 10'!$B$4:$O$131,3,FALSE)</f>
        <v>0</v>
      </c>
      <c r="F98" s="274">
        <f>VLOOKUP($B98,'Reach 10'!$B$4:$O$131,4,FALSE)</f>
        <v>0</v>
      </c>
      <c r="G98" s="274">
        <f>VLOOKUP($B98,'Reach 10'!$B$4:$O$131,5,FALSE)</f>
        <v>0</v>
      </c>
      <c r="H98" s="274">
        <f>VLOOKUP($B98,'Reach 10'!$B$4:$O$131,6,FALSE)</f>
        <v>0</v>
      </c>
      <c r="I98" s="274">
        <f>VLOOKUP($B98,'Reach 10'!$B$4:$O$131,7,FALSE)</f>
        <v>2110.5698760330579</v>
      </c>
      <c r="J98" s="274">
        <f>VLOOKUP($B98,'Reach 10'!$B$4:$O$131,8,FALSE)</f>
        <v>2902.3072830578512</v>
      </c>
      <c r="K98" s="274">
        <f>VLOOKUP($B98,'Reach 10'!$B$4:$O$131,9,FALSE)</f>
        <v>1469.1835433884298</v>
      </c>
      <c r="L98" s="274">
        <f>VLOOKUP($B98,'Reach 10'!$B$4:$O$131,10,FALSE)</f>
        <v>590.62847107438017</v>
      </c>
      <c r="M98" s="274">
        <f>VLOOKUP($B98,'Reach 10'!$B$4:$O$131,11,FALSE)</f>
        <v>300.00727272727278</v>
      </c>
      <c r="N98" s="274">
        <f>VLOOKUP($B98,'Reach 10'!$B$4:$O$131,12,FALSE)</f>
        <v>0</v>
      </c>
      <c r="O98" s="274">
        <f>VLOOKUP($B98,'Reach 10'!$B$4:$O$131,13,FALSE)</f>
        <v>0</v>
      </c>
      <c r="P98" s="275">
        <f>VLOOKUP($B98,'Reach 10'!$B$4:$O$131,14,FALSE)</f>
        <v>0</v>
      </c>
      <c r="Q98" s="343">
        <f t="shared" si="2"/>
        <v>7372.6964462809919</v>
      </c>
    </row>
    <row r="99" spans="2:17" ht="15">
      <c r="B99" s="134" t="s">
        <v>436</v>
      </c>
      <c r="C99" s="172" t="str">
        <f>VLOOKUP(LEFT(B99,10),NodeList!$D$5:$E$73,2,FALSE)</f>
        <v>VH Canal</v>
      </c>
      <c r="D99" s="273">
        <v>10</v>
      </c>
      <c r="E99" s="274">
        <f>VLOOKUP($B99,'Reach 10'!$B$4:$O$131,3,FALSE)</f>
        <v>0</v>
      </c>
      <c r="F99" s="274">
        <f>VLOOKUP($B99,'Reach 10'!$B$4:$O$131,4,FALSE)</f>
        <v>0</v>
      </c>
      <c r="G99" s="274">
        <f>VLOOKUP($B99,'Reach 10'!$B$4:$O$131,5,FALSE)</f>
        <v>0</v>
      </c>
      <c r="H99" s="274">
        <f>VLOOKUP($B99,'Reach 10'!$B$4:$O$131,6,FALSE)</f>
        <v>0</v>
      </c>
      <c r="I99" s="274">
        <f>VLOOKUP($B99,'Reach 10'!$B$4:$O$131,7,FALSE)</f>
        <v>454.30265495867769</v>
      </c>
      <c r="J99" s="274">
        <f>VLOOKUP($B99,'Reach 10'!$B$4:$O$131,8,FALSE)</f>
        <v>475.21441115702481</v>
      </c>
      <c r="K99" s="274">
        <f>VLOOKUP($B99,'Reach 10'!$B$4:$O$131,9,FALSE)</f>
        <v>458.11577479338848</v>
      </c>
      <c r="L99" s="274">
        <f>VLOOKUP($B99,'Reach 10'!$B$4:$O$131,10,FALSE)</f>
        <v>443.59338842975211</v>
      </c>
      <c r="M99" s="274">
        <f>VLOOKUP($B99,'Reach 10'!$B$4:$O$131,11,FALSE)</f>
        <v>349.51825413223133</v>
      </c>
      <c r="N99" s="274">
        <f>VLOOKUP($B99,'Reach 10'!$B$4:$O$131,12,FALSE)</f>
        <v>0</v>
      </c>
      <c r="O99" s="274">
        <f>VLOOKUP($B99,'Reach 10'!$B$4:$O$131,13,FALSE)</f>
        <v>0</v>
      </c>
      <c r="P99" s="275">
        <f>VLOOKUP($B99,'Reach 10'!$B$4:$O$131,14,FALSE)</f>
        <v>0</v>
      </c>
      <c r="Q99" s="343">
        <f t="shared" si="2"/>
        <v>2180.7444834710745</v>
      </c>
    </row>
    <row r="100" spans="2:17" ht="15">
      <c r="B100" s="134" t="s">
        <v>437</v>
      </c>
      <c r="C100" s="172" t="str">
        <f>VLOOKUP(LEFT(B100,10),NodeList!$D$5:$E$73,2,FALSE)</f>
        <v>Goodell</v>
      </c>
      <c r="D100" s="273">
        <v>10</v>
      </c>
      <c r="E100" s="274">
        <f>VLOOKUP($B100,'Reach 10'!$B$4:$O$131,3,FALSE)</f>
        <v>0</v>
      </c>
      <c r="F100" s="274">
        <f>VLOOKUP($B100,'Reach 10'!$B$4:$O$131,4,FALSE)</f>
        <v>0</v>
      </c>
      <c r="G100" s="274">
        <f>VLOOKUP($B100,'Reach 10'!$B$4:$O$131,5,FALSE)</f>
        <v>0</v>
      </c>
      <c r="H100" s="274">
        <f>VLOOKUP($B100,'Reach 10'!$B$4:$O$131,6,FALSE)</f>
        <v>0</v>
      </c>
      <c r="I100" s="274">
        <f>VLOOKUP($B100,'Reach 10'!$B$4:$O$131,7,FALSE)</f>
        <v>292.54706611570248</v>
      </c>
      <c r="J100" s="274">
        <f>VLOOKUP($B100,'Reach 10'!$B$4:$O$131,8,FALSE)</f>
        <v>402.99261363636361</v>
      </c>
      <c r="K100" s="274">
        <f>VLOOKUP($B100,'Reach 10'!$B$4:$O$131,9,FALSE)</f>
        <v>422.15431818181821</v>
      </c>
      <c r="L100" s="274">
        <f>VLOOKUP($B100,'Reach 10'!$B$4:$O$131,10,FALSE)</f>
        <v>387.31329545454548</v>
      </c>
      <c r="M100" s="274">
        <f>VLOOKUP($B100,'Reach 10'!$B$4:$O$131,11,FALSE)</f>
        <v>366.32446280991735</v>
      </c>
      <c r="N100" s="274">
        <f>VLOOKUP($B100,'Reach 10'!$B$4:$O$131,12,FALSE)</f>
        <v>0</v>
      </c>
      <c r="O100" s="274">
        <f>VLOOKUP($B100,'Reach 10'!$B$4:$O$131,13,FALSE)</f>
        <v>0</v>
      </c>
      <c r="P100" s="275">
        <f>VLOOKUP($B100,'Reach 10'!$B$4:$O$131,14,FALSE)</f>
        <v>0</v>
      </c>
      <c r="Q100" s="343">
        <f t="shared" si="2"/>
        <v>1871.3317561983472</v>
      </c>
    </row>
    <row r="101" spans="2:17" ht="15">
      <c r="B101" s="134" t="s">
        <v>438</v>
      </c>
      <c r="C101" s="172" t="str">
        <f>VLOOKUP(LEFT(B101,10),NodeList!$D$5:$E$73,2,FALSE)</f>
        <v>Whites Water</v>
      </c>
      <c r="D101" s="273">
        <v>10</v>
      </c>
      <c r="E101" s="274">
        <f>VLOOKUP($B101,'Reach 10'!$B$4:$O$131,3,FALSE)</f>
        <v>0</v>
      </c>
      <c r="F101" s="274">
        <f>VLOOKUP($B101,'Reach 10'!$B$4:$O$131,4,FALSE)</f>
        <v>0</v>
      </c>
      <c r="G101" s="274">
        <f>VLOOKUP($B101,'Reach 10'!$B$4:$O$131,5,FALSE)</f>
        <v>0</v>
      </c>
      <c r="H101" s="274">
        <f>VLOOKUP($B101,'Reach 10'!$B$4:$O$131,6,FALSE)</f>
        <v>0</v>
      </c>
      <c r="I101" s="274">
        <f>VLOOKUP($B101,'Reach 10'!$B$4:$O$131,7,FALSE)</f>
        <v>906.07383264462817</v>
      </c>
      <c r="J101" s="274">
        <f>VLOOKUP($B101,'Reach 10'!$B$4:$O$131,8,FALSE)</f>
        <v>1072.3909917355372</v>
      </c>
      <c r="K101" s="274">
        <f>VLOOKUP($B101,'Reach 10'!$B$4:$O$131,9,FALSE)</f>
        <v>982.21366735537197</v>
      </c>
      <c r="L101" s="274">
        <f>VLOOKUP($B101,'Reach 10'!$B$4:$O$131,10,FALSE)</f>
        <v>477.69111570247929</v>
      </c>
      <c r="M101" s="274">
        <f>VLOOKUP($B101,'Reach 10'!$B$4:$O$131,11,FALSE)</f>
        <v>274.75726239669422</v>
      </c>
      <c r="N101" s="274">
        <f>VLOOKUP($B101,'Reach 10'!$B$4:$O$131,12,FALSE)</f>
        <v>0</v>
      </c>
      <c r="O101" s="274">
        <f>VLOOKUP($B101,'Reach 10'!$B$4:$O$131,13,FALSE)</f>
        <v>0</v>
      </c>
      <c r="P101" s="275">
        <f>VLOOKUP($B101,'Reach 10'!$B$4:$O$131,14,FALSE)</f>
        <v>0</v>
      </c>
      <c r="Q101" s="343">
        <f t="shared" si="2"/>
        <v>3713.1268698347108</v>
      </c>
    </row>
    <row r="102" spans="2:17" ht="15">
      <c r="B102" s="134" t="s">
        <v>439</v>
      </c>
      <c r="C102" s="172" t="str">
        <f>VLOOKUP(LEFT(B102,10),NodeList!$D$5:$E$73,2,FALSE)</f>
        <v>S Branch Irrigating</v>
      </c>
      <c r="D102" s="273">
        <v>10</v>
      </c>
      <c r="E102" s="274">
        <f>VLOOKUP($B102,'Reach 10'!$B$4:$O$131,3,FALSE)</f>
        <v>0</v>
      </c>
      <c r="F102" s="274">
        <f>VLOOKUP($B102,'Reach 10'!$B$4:$O$131,4,FALSE)</f>
        <v>0</v>
      </c>
      <c r="G102" s="274">
        <f>VLOOKUP($B102,'Reach 10'!$B$4:$O$131,5,FALSE)</f>
        <v>0</v>
      </c>
      <c r="H102" s="274">
        <f>VLOOKUP($B102,'Reach 10'!$B$4:$O$131,6,FALSE)</f>
        <v>0</v>
      </c>
      <c r="I102" s="274">
        <f>VLOOKUP($B102,'Reach 10'!$B$4:$O$131,7,FALSE)</f>
        <v>660.24105371900828</v>
      </c>
      <c r="J102" s="274">
        <f>VLOOKUP($B102,'Reach 10'!$B$4:$O$131,8,FALSE)</f>
        <v>556.07561983471078</v>
      </c>
      <c r="K102" s="274">
        <f>VLOOKUP($B102,'Reach 10'!$B$4:$O$131,9,FALSE)</f>
        <v>311.0227066115703</v>
      </c>
      <c r="L102" s="274">
        <f>VLOOKUP($B102,'Reach 10'!$B$4:$O$131,10,FALSE)</f>
        <v>82.094886363636363</v>
      </c>
      <c r="M102" s="274">
        <f>VLOOKUP($B102,'Reach 10'!$B$4:$O$131,11,FALSE)</f>
        <v>38.907386363636363</v>
      </c>
      <c r="N102" s="274">
        <f>VLOOKUP($B102,'Reach 10'!$B$4:$O$131,12,FALSE)</f>
        <v>0</v>
      </c>
      <c r="O102" s="274">
        <f>VLOOKUP($B102,'Reach 10'!$B$4:$O$131,13,FALSE)</f>
        <v>0</v>
      </c>
      <c r="P102" s="275">
        <f>VLOOKUP($B102,'Reach 10'!$B$4:$O$131,14,FALSE)</f>
        <v>0</v>
      </c>
      <c r="Q102" s="343">
        <f t="shared" si="2"/>
        <v>1648.341652892562</v>
      </c>
    </row>
    <row r="103" spans="2:17" ht="15">
      <c r="B103" s="134" t="s">
        <v>440</v>
      </c>
      <c r="C103" s="172" t="str">
        <f>VLOOKUP(LEFT(B103,10),NodeList!$D$5:$E$73,2,FALSE)</f>
        <v>AggDiv SF-1</v>
      </c>
      <c r="D103" s="273">
        <v>10</v>
      </c>
      <c r="E103" s="274">
        <f>VLOOKUP($B103,'Reach 10'!$B$4:$O$131,3,FALSE)</f>
        <v>0</v>
      </c>
      <c r="F103" s="274">
        <f>VLOOKUP($B103,'Reach 10'!$B$4:$O$131,4,FALSE)</f>
        <v>0</v>
      </c>
      <c r="G103" s="274">
        <f>VLOOKUP($B103,'Reach 10'!$B$4:$O$131,5,FALSE)</f>
        <v>0</v>
      </c>
      <c r="H103" s="274">
        <f>VLOOKUP($B103,'Reach 10'!$B$4:$O$131,6,FALSE)</f>
        <v>0</v>
      </c>
      <c r="I103" s="274">
        <f>VLOOKUP($B103,'Reach 10'!$B$4:$O$131,7,FALSE)</f>
        <v>798.12374999999986</v>
      </c>
      <c r="J103" s="274">
        <f>VLOOKUP($B103,'Reach 10'!$B$4:$O$131,8,FALSE)</f>
        <v>2750.2599999999998</v>
      </c>
      <c r="K103" s="274">
        <f>VLOOKUP($B103,'Reach 10'!$B$4:$O$131,9,FALSE)</f>
        <v>2405.3837499999995</v>
      </c>
      <c r="L103" s="274">
        <f>VLOOKUP($B103,'Reach 10'!$B$4:$O$131,10,FALSE)</f>
        <v>1054.1775</v>
      </c>
      <c r="M103" s="274">
        <f>VLOOKUP($B103,'Reach 10'!$B$4:$O$131,11,FALSE)</f>
        <v>348.11</v>
      </c>
      <c r="N103" s="274">
        <f>VLOOKUP($B103,'Reach 10'!$B$4:$O$131,12,FALSE)</f>
        <v>0</v>
      </c>
      <c r="O103" s="274">
        <f>VLOOKUP($B103,'Reach 10'!$B$4:$O$131,13,FALSE)</f>
        <v>0</v>
      </c>
      <c r="P103" s="275">
        <f>VLOOKUP($B103,'Reach 10'!$B$4:$O$131,14,FALSE)</f>
        <v>0</v>
      </c>
      <c r="Q103" s="343">
        <f t="shared" si="2"/>
        <v>7356.0549999999985</v>
      </c>
    </row>
    <row r="104" spans="2:17" ht="13.5" thickBot="1">
      <c r="B104" s="179"/>
      <c r="C104" s="180"/>
      <c r="D104" s="180"/>
      <c r="E104" s="180"/>
      <c r="F104" s="180"/>
      <c r="G104" s="180"/>
      <c r="H104" s="180"/>
      <c r="I104" s="180"/>
      <c r="J104" s="180"/>
      <c r="K104" s="180"/>
      <c r="L104" s="180"/>
      <c r="M104" s="180"/>
      <c r="N104" s="180"/>
      <c r="O104" s="180"/>
      <c r="P104" s="280"/>
      <c r="Q104" s="346"/>
    </row>
    <row r="106" spans="2:17" ht="15">
      <c r="B106" s="8" t="s">
        <v>441</v>
      </c>
      <c r="C106" s="8"/>
      <c r="D106" s="4"/>
      <c r="E106" s="272"/>
      <c r="F106" s="272"/>
      <c r="G106" s="272"/>
      <c r="H106" s="272"/>
      <c r="I106" s="272"/>
      <c r="J106" s="272"/>
      <c r="K106" s="272"/>
      <c r="L106" s="272"/>
      <c r="M106" s="272"/>
      <c r="N106" s="272"/>
      <c r="O106" s="272"/>
      <c r="P106" s="272"/>
    </row>
    <row r="107" spans="2:17" ht="13.5" thickBot="1">
      <c r="B107" s="4"/>
      <c r="C107" s="4"/>
      <c r="D107" s="4"/>
      <c r="E107" s="272"/>
      <c r="F107" s="272"/>
      <c r="G107" s="272"/>
      <c r="H107" s="272"/>
      <c r="I107" s="272"/>
      <c r="J107" s="272"/>
      <c r="K107" s="272"/>
      <c r="L107" s="272"/>
      <c r="M107" s="272"/>
      <c r="N107" s="272"/>
      <c r="O107" s="272"/>
      <c r="P107" s="272"/>
    </row>
    <row r="108" spans="2:17" ht="15.75" thickBot="1">
      <c r="B108" s="281" t="s">
        <v>314</v>
      </c>
      <c r="C108" s="11"/>
      <c r="D108" s="322" t="s">
        <v>80</v>
      </c>
      <c r="E108" s="11" t="s">
        <v>0</v>
      </c>
      <c r="F108" s="11" t="s">
        <v>1</v>
      </c>
      <c r="G108" s="11" t="s">
        <v>2</v>
      </c>
      <c r="H108" s="11" t="s">
        <v>3</v>
      </c>
      <c r="I108" s="11" t="s">
        <v>4</v>
      </c>
      <c r="J108" s="11" t="s">
        <v>5</v>
      </c>
      <c r="K108" s="11" t="s">
        <v>6</v>
      </c>
      <c r="L108" s="11" t="s">
        <v>7</v>
      </c>
      <c r="M108" s="11" t="s">
        <v>8</v>
      </c>
      <c r="N108" s="11" t="s">
        <v>9</v>
      </c>
      <c r="O108" s="11" t="s">
        <v>10</v>
      </c>
      <c r="P108" s="12" t="s">
        <v>11</v>
      </c>
      <c r="Q108" s="53" t="s">
        <v>18</v>
      </c>
    </row>
    <row r="109" spans="2:17" ht="15">
      <c r="B109" s="134" t="s">
        <v>442</v>
      </c>
      <c r="C109" s="172" t="str">
        <f>VLOOKUP(LEFT(B109,10),NodeList!$D$5:$E$73,2,FALSE)</f>
        <v>AggDiv BR-5</v>
      </c>
      <c r="D109" s="273">
        <v>11</v>
      </c>
      <c r="E109" s="274">
        <f>VLOOKUP($B109,'Reach 11'!$B$3:$O$130,3,FALSE)</f>
        <v>0</v>
      </c>
      <c r="F109" s="274">
        <f>VLOOKUP($B109,'Reach 11'!$B$3:$O$130,4,FALSE)</f>
        <v>0</v>
      </c>
      <c r="G109" s="274">
        <f>VLOOKUP($B109,'Reach 11'!$B$3:$O$130,5,FALSE)</f>
        <v>0</v>
      </c>
      <c r="H109" s="274">
        <f>VLOOKUP($B109,'Reach 11'!$B$3:$O$130,6,FALSE)</f>
        <v>0</v>
      </c>
      <c r="I109" s="274">
        <f>VLOOKUP($B109,'Reach 11'!$B$3:$O$130,7,FALSE)</f>
        <v>591.31499999999994</v>
      </c>
      <c r="J109" s="274">
        <f>VLOOKUP($B109,'Reach 11'!$B$3:$O$130,8,FALSE)</f>
        <v>1934.4162500000002</v>
      </c>
      <c r="K109" s="274">
        <f>VLOOKUP($B109,'Reach 11'!$B$3:$O$130,9,FALSE)</f>
        <v>1898.6212500000001</v>
      </c>
      <c r="L109" s="274">
        <f>VLOOKUP($B109,'Reach 11'!$B$3:$O$130,10,FALSE)</f>
        <v>924.26</v>
      </c>
      <c r="M109" s="274">
        <f>VLOOKUP($B109,'Reach 11'!$B$3:$O$130,11,FALSE)</f>
        <v>278.42124999999999</v>
      </c>
      <c r="N109" s="274">
        <f>VLOOKUP($B109,'Reach 11'!$B$3:$O$130,12,FALSE)</f>
        <v>0</v>
      </c>
      <c r="O109" s="274">
        <f>VLOOKUP($B109,'Reach 11'!$B$3:$O$130,13,FALSE)</f>
        <v>0</v>
      </c>
      <c r="P109" s="275">
        <f>VLOOKUP($B109,'Reach 11'!$B$3:$O$130,14,FALSE)</f>
        <v>0</v>
      </c>
      <c r="Q109" s="343">
        <f>SUM(E109:P109)</f>
        <v>5627.0337500000014</v>
      </c>
    </row>
    <row r="110" spans="2:17" ht="15">
      <c r="B110" s="134" t="s">
        <v>443</v>
      </c>
      <c r="C110" s="172" t="str">
        <f>VLOOKUP(LEFT(B110,10),NodeList!$D$5:$E$73,2,FALSE)</f>
        <v>Alonzo F. Sights</v>
      </c>
      <c r="D110" s="273">
        <v>11</v>
      </c>
      <c r="E110" s="274">
        <f>VLOOKUP($B110,'Reach 11'!$B$3:$O$130,3,FALSE)</f>
        <v>0</v>
      </c>
      <c r="F110" s="274">
        <f>VLOOKUP($B110,'Reach 11'!$B$3:$O$130,4,FALSE)</f>
        <v>0</v>
      </c>
      <c r="G110" s="274">
        <f>VLOOKUP($B110,'Reach 11'!$B$3:$O$130,5,FALSE)</f>
        <v>0</v>
      </c>
      <c r="H110" s="274">
        <f>VLOOKUP($B110,'Reach 11'!$B$3:$O$130,6,FALSE)</f>
        <v>0</v>
      </c>
      <c r="I110" s="274">
        <f>VLOOKUP($B110,'Reach 11'!$B$3:$O$130,7,FALSE)</f>
        <v>373.45537190082649</v>
      </c>
      <c r="J110" s="274">
        <f>VLOOKUP($B110,'Reach 11'!$B$3:$O$130,8,FALSE)</f>
        <v>422.62222107438015</v>
      </c>
      <c r="K110" s="274">
        <f>VLOOKUP($B110,'Reach 11'!$B$3:$O$130,9,FALSE)</f>
        <v>408.8325309917355</v>
      </c>
      <c r="L110" s="274">
        <f>VLOOKUP($B110,'Reach 11'!$B$3:$O$130,10,FALSE)</f>
        <v>143.18528925619836</v>
      </c>
      <c r="M110" s="274">
        <f>VLOOKUP($B110,'Reach 11'!$B$3:$O$130,11,FALSE)</f>
        <v>10.165289256198347</v>
      </c>
      <c r="N110" s="274">
        <f>VLOOKUP($B110,'Reach 11'!$B$3:$O$130,12,FALSE)</f>
        <v>0</v>
      </c>
      <c r="O110" s="274">
        <f>VLOOKUP($B110,'Reach 11'!$B$3:$O$130,13,FALSE)</f>
        <v>0</v>
      </c>
      <c r="P110" s="275">
        <f>VLOOKUP($B110,'Reach 11'!$B$3:$O$130,14,FALSE)</f>
        <v>0</v>
      </c>
      <c r="Q110" s="343">
        <f>SUM(E110:P110)</f>
        <v>1358.2607024793388</v>
      </c>
    </row>
    <row r="111" spans="2:17" ht="15">
      <c r="B111" s="134" t="s">
        <v>444</v>
      </c>
      <c r="C111" s="172" t="str">
        <f>VLOOKUP(LEFT(B111,10),NodeList!$D$5:$E$73,2,FALSE)</f>
        <v>Oscar E. Snyder</v>
      </c>
      <c r="D111" s="273">
        <v>11</v>
      </c>
      <c r="E111" s="274">
        <f>VLOOKUP($B111,'Reach 11'!$B$3:$O$130,3,FALSE)</f>
        <v>0</v>
      </c>
      <c r="F111" s="274">
        <f>VLOOKUP($B111,'Reach 11'!$B$3:$O$130,4,FALSE)</f>
        <v>0</v>
      </c>
      <c r="G111" s="274">
        <f>VLOOKUP($B111,'Reach 11'!$B$3:$O$130,5,FALSE)</f>
        <v>0</v>
      </c>
      <c r="H111" s="274">
        <f>VLOOKUP($B111,'Reach 11'!$B$3:$O$130,6,FALSE)</f>
        <v>0</v>
      </c>
      <c r="I111" s="274">
        <f>VLOOKUP($B111,'Reach 11'!$B$3:$O$130,7,FALSE)</f>
        <v>408.77384297520661</v>
      </c>
      <c r="J111" s="274">
        <f>VLOOKUP($B111,'Reach 11'!$B$3:$O$130,8,FALSE)</f>
        <v>446.34246900826452</v>
      </c>
      <c r="K111" s="274">
        <f>VLOOKUP($B111,'Reach 11'!$B$3:$O$130,9,FALSE)</f>
        <v>390.40165289256197</v>
      </c>
      <c r="L111" s="274">
        <f>VLOOKUP($B111,'Reach 11'!$B$3:$O$130,10,FALSE)</f>
        <v>311.95551652892561</v>
      </c>
      <c r="M111" s="274">
        <f>VLOOKUP($B111,'Reach 11'!$B$3:$O$130,11,FALSE)</f>
        <v>187.42029958677685</v>
      </c>
      <c r="N111" s="274">
        <f>VLOOKUP($B111,'Reach 11'!$B$3:$O$130,12,FALSE)</f>
        <v>0</v>
      </c>
      <c r="O111" s="274">
        <f>VLOOKUP($B111,'Reach 11'!$B$3:$O$130,13,FALSE)</f>
        <v>0</v>
      </c>
      <c r="P111" s="275">
        <f>VLOOKUP($B111,'Reach 11'!$B$3:$O$130,14,FALSE)</f>
        <v>0</v>
      </c>
      <c r="Q111" s="343">
        <f>SUM(E111:P111)</f>
        <v>1744.8937809917356</v>
      </c>
    </row>
    <row r="112" spans="2:17" ht="15">
      <c r="B112" s="134" t="s">
        <v>445</v>
      </c>
      <c r="C112" s="172" t="str">
        <f>VLOOKUP(LEFT(B112,10),NodeList!$D$5:$E$73,2,FALSE)</f>
        <v>Cook Brothers</v>
      </c>
      <c r="D112" s="273">
        <v>11</v>
      </c>
      <c r="E112" s="274">
        <f>VLOOKUP($B112,'Reach 11'!$B$3:$O$130,3,FALSE)</f>
        <v>0</v>
      </c>
      <c r="F112" s="274">
        <f>VLOOKUP($B112,'Reach 11'!$B$3:$O$130,4,FALSE)</f>
        <v>0</v>
      </c>
      <c r="G112" s="274">
        <f>VLOOKUP($B112,'Reach 11'!$B$3:$O$130,5,FALSE)</f>
        <v>0</v>
      </c>
      <c r="H112" s="274">
        <f>VLOOKUP($B112,'Reach 11'!$B$3:$O$130,6,FALSE)</f>
        <v>0</v>
      </c>
      <c r="I112" s="274">
        <f>VLOOKUP($B112,'Reach 11'!$B$3:$O$130,7,FALSE)</f>
        <v>2435.9259504132233</v>
      </c>
      <c r="J112" s="274">
        <f>VLOOKUP($B112,'Reach 11'!$B$3:$O$130,8,FALSE)</f>
        <v>2429.5657231404962</v>
      </c>
      <c r="K112" s="274">
        <f>VLOOKUP($B112,'Reach 11'!$B$3:$O$130,9,FALSE)</f>
        <v>1870.6842045454546</v>
      </c>
      <c r="L112" s="274">
        <f>VLOOKUP($B112,'Reach 11'!$B$3:$O$130,10,FALSE)</f>
        <v>1851.6399483471075</v>
      </c>
      <c r="M112" s="274">
        <f>VLOOKUP($B112,'Reach 11'!$B$3:$O$130,11,FALSE)</f>
        <v>1589.912117768595</v>
      </c>
      <c r="N112" s="274">
        <f>VLOOKUP($B112,'Reach 11'!$B$3:$O$130,12,FALSE)</f>
        <v>0</v>
      </c>
      <c r="O112" s="274">
        <f>VLOOKUP($B112,'Reach 11'!$B$3:$O$130,13,FALSE)</f>
        <v>0</v>
      </c>
      <c r="P112" s="275">
        <f>VLOOKUP($B112,'Reach 11'!$B$3:$O$130,14,FALSE)</f>
        <v>0</v>
      </c>
      <c r="Q112" s="343">
        <f>SUM(E112:P112)</f>
        <v>10177.727944214876</v>
      </c>
    </row>
    <row r="113" spans="2:18" ht="13.5" thickBot="1">
      <c r="B113" s="179"/>
      <c r="C113" s="180"/>
      <c r="D113" s="180"/>
      <c r="E113" s="180"/>
      <c r="F113" s="180"/>
      <c r="G113" s="180"/>
      <c r="H113" s="180"/>
      <c r="I113" s="180"/>
      <c r="J113" s="180"/>
      <c r="K113" s="180"/>
      <c r="L113" s="180"/>
      <c r="M113" s="180"/>
      <c r="N113" s="180"/>
      <c r="O113" s="180"/>
      <c r="P113" s="280"/>
      <c r="Q113" s="346"/>
    </row>
    <row r="116" spans="2:18" ht="15">
      <c r="B116" s="8" t="s">
        <v>463</v>
      </c>
      <c r="C116" s="8"/>
      <c r="D116" s="4"/>
      <c r="E116" s="272"/>
      <c r="F116" s="272"/>
      <c r="G116" s="272"/>
      <c r="H116" s="272"/>
      <c r="I116" s="272"/>
      <c r="J116" s="272"/>
      <c r="K116" s="272"/>
      <c r="L116" s="272"/>
      <c r="M116" s="272"/>
      <c r="N116" s="272"/>
      <c r="O116" s="272"/>
      <c r="P116" s="272"/>
    </row>
    <row r="117" spans="2:18" ht="13.5" thickBot="1">
      <c r="B117" s="4"/>
      <c r="C117" s="4"/>
      <c r="D117" s="4"/>
      <c r="E117" s="272"/>
      <c r="F117" s="272"/>
      <c r="G117" s="272"/>
      <c r="H117" s="272"/>
      <c r="I117" s="272"/>
      <c r="J117" s="272"/>
      <c r="K117" s="272"/>
      <c r="L117" s="272"/>
      <c r="M117" s="272"/>
      <c r="N117" s="272"/>
      <c r="O117" s="272"/>
      <c r="P117" s="272"/>
    </row>
    <row r="118" spans="2:18" ht="15.75" thickBot="1">
      <c r="B118" s="281" t="s">
        <v>314</v>
      </c>
      <c r="C118" s="11"/>
      <c r="D118" s="322" t="s">
        <v>80</v>
      </c>
      <c r="E118" s="11" t="s">
        <v>0</v>
      </c>
      <c r="F118" s="11" t="s">
        <v>1</v>
      </c>
      <c r="G118" s="11" t="s">
        <v>2</v>
      </c>
      <c r="H118" s="11" t="s">
        <v>3</v>
      </c>
      <c r="I118" s="11" t="s">
        <v>4</v>
      </c>
      <c r="J118" s="11" t="s">
        <v>5</v>
      </c>
      <c r="K118" s="11" t="s">
        <v>6</v>
      </c>
      <c r="L118" s="11" t="s">
        <v>7</v>
      </c>
      <c r="M118" s="11" t="s">
        <v>8</v>
      </c>
      <c r="N118" s="11" t="s">
        <v>9</v>
      </c>
      <c r="O118" s="11" t="s">
        <v>10</v>
      </c>
      <c r="P118" s="12" t="s">
        <v>11</v>
      </c>
      <c r="Q118" s="53" t="s">
        <v>18</v>
      </c>
    </row>
    <row r="119" spans="2:18" ht="15">
      <c r="B119" s="134" t="s">
        <v>464</v>
      </c>
      <c r="C119" s="172" t="str">
        <f>VLOOKUP(LEFT(B119,10),NodeList!$D$5:$E$73,2,FALSE)</f>
        <v>Confluence Thomas Fork</v>
      </c>
      <c r="D119" s="273">
        <v>12</v>
      </c>
      <c r="E119" s="274">
        <f>VLOOKUP($B119,'Reach 12'!$B$3:$O$124,3,FALSE)</f>
        <v>0</v>
      </c>
      <c r="F119" s="274">
        <f>VLOOKUP($B119,'Reach 12'!$B$3:$O$124,4,FALSE)</f>
        <v>0</v>
      </c>
      <c r="G119" s="274">
        <f>VLOOKUP($B119,'Reach 12'!$B$3:$O$124,5,FALSE)</f>
        <v>0</v>
      </c>
      <c r="H119" s="274">
        <f>VLOOKUP($B119,'Reach 12'!$B$3:$O$124,6,FALSE)</f>
        <v>0</v>
      </c>
      <c r="I119" s="274">
        <f>VLOOKUP($B119,'Reach 12'!$B$3:$O$124,7,FALSE)</f>
        <v>0</v>
      </c>
      <c r="J119" s="274">
        <f>VLOOKUP($B119,'Reach 12'!$B$3:$O$124,8,FALSE)</f>
        <v>0</v>
      </c>
      <c r="K119" s="274">
        <f>VLOOKUP($B119,'Reach 12'!$B$3:$O$124,9,FALSE)</f>
        <v>0</v>
      </c>
      <c r="L119" s="274">
        <f>VLOOKUP($B119,'Reach 12'!$B$3:$O$124,10,FALSE)</f>
        <v>0</v>
      </c>
      <c r="M119" s="274">
        <f>VLOOKUP($B119,'Reach 12'!$B$3:$O$124,11,FALSE)</f>
        <v>0</v>
      </c>
      <c r="N119" s="274">
        <f>VLOOKUP($B119,'Reach 12'!$B$3:$O$124,12,FALSE)</f>
        <v>0</v>
      </c>
      <c r="O119" s="274">
        <f>VLOOKUP($B119,'Reach 12'!$B$3:$O$124,13,FALSE)</f>
        <v>0</v>
      </c>
      <c r="P119" s="275">
        <f>VLOOKUP($B119,'Reach 12'!$B$3:$O$124,14,FALSE)</f>
        <v>0</v>
      </c>
      <c r="Q119" s="343">
        <f>SUM(E119:P119)</f>
        <v>0</v>
      </c>
    </row>
    <row r="120" spans="2:18" ht="15">
      <c r="B120" s="134" t="s">
        <v>465</v>
      </c>
      <c r="C120" s="172" t="str">
        <f>VLOOKUP(LEFT(B120,10),NodeList!$D$5:$E$73,2,FALSE)</f>
        <v>Aggregate Idaho Diversions</v>
      </c>
      <c r="D120" s="273">
        <v>12</v>
      </c>
      <c r="E120" s="274">
        <f>VLOOKUP($B120,'Reach 12'!$B$3:$O$124,3,FALSE)</f>
        <v>0</v>
      </c>
      <c r="F120" s="274">
        <f>VLOOKUP($B120,'Reach 12'!$B$3:$O$124,4,FALSE)</f>
        <v>0</v>
      </c>
      <c r="G120" s="274">
        <f>VLOOKUP($B120,'Reach 12'!$B$3:$O$124,5,FALSE)</f>
        <v>0</v>
      </c>
      <c r="H120" s="274">
        <f>VLOOKUP($B120,'Reach 12'!$B$3:$O$124,6,FALSE)</f>
        <v>0</v>
      </c>
      <c r="I120" s="274">
        <f>VLOOKUP($B120,'Reach 12'!$B$3:$O$124,7,FALSE)</f>
        <v>14147.079487965479</v>
      </c>
      <c r="J120" s="274">
        <f>VLOOKUP($B120,'Reach 12'!$B$3:$O$124,8,FALSE)</f>
        <v>15309.143528959559</v>
      </c>
      <c r="K120" s="274">
        <f>VLOOKUP($B120,'Reach 12'!$B$3:$O$124,9,FALSE)</f>
        <v>8206.3481871249023</v>
      </c>
      <c r="L120" s="274">
        <f>VLOOKUP($B120,'Reach 12'!$B$3:$O$124,10,FALSE)</f>
        <v>5182.5511755494081</v>
      </c>
      <c r="M120" s="274">
        <f>VLOOKUP($B120,'Reach 12'!$B$3:$O$124,11,FALSE)</f>
        <v>4383.958486621128</v>
      </c>
      <c r="N120" s="274">
        <f>VLOOKUP($B120,'Reach 12'!$B$3:$O$124,12,FALSE)</f>
        <v>0</v>
      </c>
      <c r="O120" s="274">
        <f>VLOOKUP($B120,'Reach 12'!$B$3:$O$124,13,FALSE)</f>
        <v>0</v>
      </c>
      <c r="P120" s="275">
        <f>VLOOKUP($B120,'Reach 12'!$B$3:$O$124,14,FALSE)</f>
        <v>0</v>
      </c>
      <c r="Q120" s="343">
        <f>SUM(E120:P120)</f>
        <v>47229.08086622048</v>
      </c>
    </row>
    <row r="121" spans="2:18" ht="15">
      <c r="B121" s="134" t="s">
        <v>466</v>
      </c>
      <c r="C121" s="172" t="str">
        <f>VLOOKUP(LEFT(B121,10),NodeList!$D$5:$E$73,2,FALSE)</f>
        <v>Rainbow Inlet</v>
      </c>
      <c r="D121" s="273">
        <v>12</v>
      </c>
      <c r="E121" s="274">
        <f>VLOOKUP($B121,'Reach 12'!$B$3:$O$124,3,FALSE)</f>
        <v>6190.7644628099179</v>
      </c>
      <c r="F121" s="274">
        <f>VLOOKUP($B121,'Reach 12'!$B$3:$O$124,4,FALSE)</f>
        <v>5850.7851239669417</v>
      </c>
      <c r="G121" s="274">
        <f>VLOOKUP($B121,'Reach 12'!$B$3:$O$124,5,FALSE)</f>
        <v>12639.108854781582</v>
      </c>
      <c r="H121" s="274">
        <f>VLOOKUP($B121,'Reach 12'!$B$3:$O$124,6,FALSE)</f>
        <v>8360.8512396694205</v>
      </c>
      <c r="I121" s="274">
        <f>VLOOKUP($B121,'Reach 12'!$B$3:$O$124,7,FALSE)</f>
        <v>1053.5115785764463</v>
      </c>
      <c r="J121" s="274">
        <f>VLOOKUP($B121,'Reach 12'!$B$3:$O$124,8,FALSE)</f>
        <v>1049.8193938873967</v>
      </c>
      <c r="K121" s="274">
        <f>VLOOKUP($B121,'Reach 12'!$B$3:$O$124,9,FALSE)</f>
        <v>2265.8863379845043</v>
      </c>
      <c r="L121" s="274">
        <f>VLOOKUP($B121,'Reach 12'!$B$3:$O$124,10,FALSE)</f>
        <v>1134.4435866787189</v>
      </c>
      <c r="M121" s="274">
        <f>VLOOKUP($B121,'Reach 12'!$B$3:$O$124,11,FALSE)</f>
        <v>1116.543180411157</v>
      </c>
      <c r="N121" s="274">
        <f>VLOOKUP($B121,'Reach 12'!$B$3:$O$124,12,FALSE)</f>
        <v>2633.7561983471073</v>
      </c>
      <c r="O121" s="274">
        <f>VLOOKUP($B121,'Reach 12'!$B$3:$O$124,13,FALSE)</f>
        <v>4433.0371900826449</v>
      </c>
      <c r="P121" s="275">
        <f>VLOOKUP($B121,'Reach 12'!$B$3:$O$124,14,FALSE)</f>
        <v>4688.553719008265</v>
      </c>
      <c r="Q121" s="343">
        <f>SUM(E121:P121)</f>
        <v>51417.060866204105</v>
      </c>
    </row>
    <row r="122" spans="2:18" ht="15">
      <c r="B122" s="520" t="s">
        <v>467</v>
      </c>
      <c r="C122" s="172" t="str">
        <f>VLOOKUP(LEFT(B122,10),NodeList!$D$5:$E$73,2,FALSE)</f>
        <v>Stewart Dam</v>
      </c>
      <c r="D122" s="119">
        <v>12</v>
      </c>
      <c r="E122" s="573">
        <f>VLOOKUP($B122,'Reach 12'!$B$3:$O$124,3,FALSE)</f>
        <v>0</v>
      </c>
      <c r="F122" s="573">
        <f>VLOOKUP($B122,'Reach 12'!$B$3:$O$124,4,FALSE)</f>
        <v>0</v>
      </c>
      <c r="G122" s="573">
        <f>VLOOKUP($B122,'Reach 12'!$B$3:$O$124,5,FALSE)</f>
        <v>0</v>
      </c>
      <c r="H122" s="573">
        <f>VLOOKUP($B122,'Reach 12'!$B$3:$O$124,6,FALSE)</f>
        <v>0</v>
      </c>
      <c r="I122" s="573">
        <f>VLOOKUP($B122,'Reach 12'!$B$3:$O$124,7,FALSE)</f>
        <v>0</v>
      </c>
      <c r="J122" s="573">
        <f>VLOOKUP($B122,'Reach 12'!$B$3:$O$124,8,FALSE)</f>
        <v>0</v>
      </c>
      <c r="K122" s="573">
        <f>VLOOKUP($B122,'Reach 12'!$B$3:$O$124,9,FALSE)</f>
        <v>0</v>
      </c>
      <c r="L122" s="573">
        <f>VLOOKUP($B122,'Reach 12'!$B$3:$O$124,10,FALSE)</f>
        <v>0</v>
      </c>
      <c r="M122" s="573">
        <f>VLOOKUP($B122,'Reach 12'!$B$3:$O$124,11,FALSE)</f>
        <v>0</v>
      </c>
      <c r="N122" s="573">
        <f>VLOOKUP($B122,'Reach 12'!$B$3:$O$124,12,FALSE)</f>
        <v>0</v>
      </c>
      <c r="O122" s="573">
        <f>VLOOKUP($B122,'Reach 12'!$B$3:$O$124,13,FALSE)</f>
        <v>0</v>
      </c>
      <c r="P122" s="574">
        <f>VLOOKUP($B122,'Reach 12'!$B$3:$O$124,14,FALSE)</f>
        <v>0</v>
      </c>
      <c r="Q122" s="575">
        <f>SUM(E122:P122)</f>
        <v>0</v>
      </c>
      <c r="R122" s="515"/>
    </row>
    <row r="123" spans="2:18" ht="13.5" thickBot="1">
      <c r="B123" s="179"/>
      <c r="C123" s="180"/>
      <c r="D123" s="180"/>
      <c r="E123" s="180"/>
      <c r="F123" s="180"/>
      <c r="G123" s="180"/>
      <c r="H123" s="180"/>
      <c r="I123" s="180"/>
      <c r="J123" s="180"/>
      <c r="K123" s="180"/>
      <c r="L123" s="180"/>
      <c r="M123" s="180"/>
      <c r="N123" s="180"/>
      <c r="O123" s="180"/>
      <c r="P123" s="280"/>
      <c r="Q123" s="346"/>
    </row>
    <row r="144" spans="1:2" ht="18">
      <c r="A144" s="658"/>
      <c r="B144" s="321" t="s">
        <v>447</v>
      </c>
    </row>
    <row r="145" spans="1:18" ht="18">
      <c r="A145" s="658"/>
      <c r="B145" s="321"/>
      <c r="C145" s="321"/>
    </row>
    <row r="146" spans="1:18">
      <c r="A146" s="658"/>
    </row>
    <row r="147" spans="1:18" ht="13.5" thickBot="1">
      <c r="A147" s="658"/>
    </row>
    <row r="148" spans="1:18" ht="15.75" thickBot="1">
      <c r="A148" s="658"/>
      <c r="B148" s="281" t="s">
        <v>80</v>
      </c>
      <c r="C148" s="11"/>
      <c r="D148" s="322"/>
      <c r="E148" s="335" t="s">
        <v>0</v>
      </c>
      <c r="F148" s="335" t="s">
        <v>1</v>
      </c>
      <c r="G148" s="335" t="s">
        <v>2</v>
      </c>
      <c r="H148" s="335" t="s">
        <v>3</v>
      </c>
      <c r="I148" s="335" t="s">
        <v>4</v>
      </c>
      <c r="J148" s="335" t="s">
        <v>5</v>
      </c>
      <c r="K148" s="335" t="s">
        <v>6</v>
      </c>
      <c r="L148" s="335" t="s">
        <v>7</v>
      </c>
      <c r="M148" s="335" t="s">
        <v>8</v>
      </c>
      <c r="N148" s="335" t="s">
        <v>9</v>
      </c>
      <c r="O148" s="335" t="s">
        <v>10</v>
      </c>
      <c r="P148" s="336" t="s">
        <v>11</v>
      </c>
      <c r="Q148" s="53" t="s">
        <v>18</v>
      </c>
      <c r="R148" s="53" t="s">
        <v>580</v>
      </c>
    </row>
    <row r="149" spans="1:18">
      <c r="A149" s="658"/>
      <c r="B149" s="323" t="s">
        <v>19</v>
      </c>
      <c r="C149" s="327"/>
      <c r="D149" s="135"/>
      <c r="E149" s="292">
        <f t="shared" ref="E149:P149" si="3">SUMIF($D$7:$D$125,1,E$7:E$125)</f>
        <v>0</v>
      </c>
      <c r="F149" s="292">
        <f t="shared" si="3"/>
        <v>0</v>
      </c>
      <c r="G149" s="292">
        <f t="shared" si="3"/>
        <v>0</v>
      </c>
      <c r="H149" s="292">
        <f t="shared" si="3"/>
        <v>0</v>
      </c>
      <c r="I149" s="292">
        <f t="shared" si="3"/>
        <v>7407.4221802373277</v>
      </c>
      <c r="J149" s="292">
        <f t="shared" si="3"/>
        <v>11635.280094964082</v>
      </c>
      <c r="K149" s="292">
        <f t="shared" si="3"/>
        <v>6887.4623332336096</v>
      </c>
      <c r="L149" s="292">
        <f t="shared" si="3"/>
        <v>2720.9756454717976</v>
      </c>
      <c r="M149" s="292">
        <f t="shared" si="3"/>
        <v>1830.1307365933885</v>
      </c>
      <c r="N149" s="292">
        <f t="shared" si="3"/>
        <v>0</v>
      </c>
      <c r="O149" s="292">
        <f t="shared" si="3"/>
        <v>0</v>
      </c>
      <c r="P149" s="293">
        <f t="shared" si="3"/>
        <v>0</v>
      </c>
      <c r="Q149" s="343">
        <f t="shared" ref="Q149:Q160" si="4">SUM(E149:P149)</f>
        <v>30481.270990500205</v>
      </c>
      <c r="R149" s="343">
        <f>SUM(I149:M149)</f>
        <v>30481.270990500205</v>
      </c>
    </row>
    <row r="150" spans="1:18">
      <c r="A150" s="658"/>
      <c r="B150" s="323" t="s">
        <v>20</v>
      </c>
      <c r="C150" s="327"/>
      <c r="D150" s="135"/>
      <c r="E150" s="292">
        <f t="shared" ref="E150:P150" si="5">SUMIF($D$7:$D$125,2,E$7:E$125)</f>
        <v>0</v>
      </c>
      <c r="F150" s="292">
        <f t="shared" si="5"/>
        <v>0</v>
      </c>
      <c r="G150" s="292">
        <f t="shared" si="5"/>
        <v>0</v>
      </c>
      <c r="H150" s="292">
        <f t="shared" si="5"/>
        <v>0</v>
      </c>
      <c r="I150" s="292">
        <f t="shared" si="5"/>
        <v>40.125</v>
      </c>
      <c r="J150" s="292">
        <f t="shared" si="5"/>
        <v>154.125</v>
      </c>
      <c r="K150" s="292">
        <f t="shared" si="5"/>
        <v>269.375</v>
      </c>
      <c r="L150" s="292">
        <f t="shared" si="5"/>
        <v>125.875</v>
      </c>
      <c r="M150" s="292">
        <f t="shared" si="5"/>
        <v>34.125</v>
      </c>
      <c r="N150" s="292">
        <f t="shared" si="5"/>
        <v>0</v>
      </c>
      <c r="O150" s="292">
        <f t="shared" si="5"/>
        <v>0</v>
      </c>
      <c r="P150" s="293">
        <f t="shared" si="5"/>
        <v>0</v>
      </c>
      <c r="Q150" s="343">
        <f t="shared" si="4"/>
        <v>623.625</v>
      </c>
      <c r="R150" s="343">
        <f t="shared" ref="R150:R160" si="6">SUM(I150:M150)</f>
        <v>623.625</v>
      </c>
    </row>
    <row r="151" spans="1:18">
      <c r="A151" s="658"/>
      <c r="B151" s="323" t="s">
        <v>21</v>
      </c>
      <c r="C151" s="327"/>
      <c r="D151" s="135"/>
      <c r="E151" s="292">
        <f t="shared" ref="E151:P151" si="7">SUMIF($D$7:$D$125,3,E$7:E$125)</f>
        <v>0</v>
      </c>
      <c r="F151" s="292">
        <f t="shared" si="7"/>
        <v>1</v>
      </c>
      <c r="G151" s="292">
        <f t="shared" si="7"/>
        <v>2</v>
      </c>
      <c r="H151" s="292">
        <f t="shared" si="7"/>
        <v>3</v>
      </c>
      <c r="I151" s="292">
        <f t="shared" si="7"/>
        <v>1067.078910784091</v>
      </c>
      <c r="J151" s="292">
        <f t="shared" si="7"/>
        <v>1581.0318605284092</v>
      </c>
      <c r="K151" s="292">
        <f t="shared" si="7"/>
        <v>1174.1690274701446</v>
      </c>
      <c r="L151" s="292">
        <f t="shared" si="7"/>
        <v>741.93717008429746</v>
      </c>
      <c r="M151" s="292">
        <f t="shared" si="7"/>
        <v>395.86901646962809</v>
      </c>
      <c r="N151" s="292">
        <f t="shared" si="7"/>
        <v>9</v>
      </c>
      <c r="O151" s="292">
        <f t="shared" si="7"/>
        <v>10</v>
      </c>
      <c r="P151" s="293">
        <f t="shared" si="7"/>
        <v>11</v>
      </c>
      <c r="Q151" s="343">
        <f t="shared" si="4"/>
        <v>4996.08598533657</v>
      </c>
      <c r="R151" s="343">
        <f t="shared" si="6"/>
        <v>4960.08598533657</v>
      </c>
    </row>
    <row r="152" spans="1:18">
      <c r="A152" s="658"/>
      <c r="B152" s="323" t="s">
        <v>22</v>
      </c>
      <c r="C152" s="327"/>
      <c r="D152" s="135"/>
      <c r="E152" s="292">
        <f t="shared" ref="E152:P152" si="8">SUMIF($D$7:$D$125,4,E$7:E$125)</f>
        <v>0</v>
      </c>
      <c r="F152" s="292">
        <f t="shared" si="8"/>
        <v>0</v>
      </c>
      <c r="G152" s="292">
        <f t="shared" si="8"/>
        <v>0</v>
      </c>
      <c r="H152" s="292">
        <f t="shared" si="8"/>
        <v>0</v>
      </c>
      <c r="I152" s="292">
        <f t="shared" si="8"/>
        <v>1809.5428936358471</v>
      </c>
      <c r="J152" s="292">
        <f t="shared" si="8"/>
        <v>2209.217874439566</v>
      </c>
      <c r="K152" s="292">
        <f t="shared" si="8"/>
        <v>1517.6472187954546</v>
      </c>
      <c r="L152" s="292">
        <f t="shared" si="8"/>
        <v>792.84093275619841</v>
      </c>
      <c r="M152" s="292">
        <f t="shared" si="8"/>
        <v>453.49919017396695</v>
      </c>
      <c r="N152" s="292">
        <f t="shared" si="8"/>
        <v>0</v>
      </c>
      <c r="O152" s="292">
        <f t="shared" si="8"/>
        <v>0</v>
      </c>
      <c r="P152" s="293">
        <f t="shared" si="8"/>
        <v>0</v>
      </c>
      <c r="Q152" s="343">
        <f t="shared" si="4"/>
        <v>6782.748109801033</v>
      </c>
      <c r="R152" s="343">
        <f t="shared" si="6"/>
        <v>6782.748109801033</v>
      </c>
    </row>
    <row r="153" spans="1:18">
      <c r="A153" s="658"/>
      <c r="B153" s="323" t="s">
        <v>23</v>
      </c>
      <c r="C153" s="327"/>
      <c r="D153" s="135"/>
      <c r="E153" s="292">
        <f t="shared" ref="E153:P153" si="9">SUMIF($D$7:$D$125,5,E$7:E$125)</f>
        <v>0</v>
      </c>
      <c r="F153" s="292">
        <f t="shared" si="9"/>
        <v>0</v>
      </c>
      <c r="G153" s="292">
        <f t="shared" si="9"/>
        <v>0</v>
      </c>
      <c r="H153" s="292">
        <f t="shared" si="9"/>
        <v>0</v>
      </c>
      <c r="I153" s="292">
        <f t="shared" si="9"/>
        <v>4371.6560832338837</v>
      </c>
      <c r="J153" s="292">
        <f t="shared" si="9"/>
        <v>4343.1679623426653</v>
      </c>
      <c r="K153" s="292">
        <f t="shared" si="9"/>
        <v>2300.3558165282539</v>
      </c>
      <c r="L153" s="292">
        <f t="shared" si="9"/>
        <v>677.93497054865702</v>
      </c>
      <c r="M153" s="292">
        <f t="shared" si="9"/>
        <v>527.92970211911154</v>
      </c>
      <c r="N153" s="292">
        <f t="shared" si="9"/>
        <v>0</v>
      </c>
      <c r="O153" s="292">
        <f t="shared" si="9"/>
        <v>0</v>
      </c>
      <c r="P153" s="293">
        <f t="shared" si="9"/>
        <v>0</v>
      </c>
      <c r="Q153" s="343">
        <f t="shared" si="4"/>
        <v>12221.044534772571</v>
      </c>
      <c r="R153" s="343">
        <f t="shared" si="6"/>
        <v>12221.044534772571</v>
      </c>
    </row>
    <row r="154" spans="1:18">
      <c r="A154" s="658"/>
      <c r="B154" s="323" t="s">
        <v>24</v>
      </c>
      <c r="C154" s="327"/>
      <c r="D154" s="135"/>
      <c r="E154" s="292">
        <f t="shared" ref="E154:P154" si="10">SUMIF($D$7:$D$125,6,E$7:E$125)</f>
        <v>0</v>
      </c>
      <c r="F154" s="292">
        <f t="shared" si="10"/>
        <v>0</v>
      </c>
      <c r="G154" s="292">
        <f t="shared" si="10"/>
        <v>0</v>
      </c>
      <c r="H154" s="292">
        <f t="shared" si="10"/>
        <v>0</v>
      </c>
      <c r="I154" s="292">
        <f t="shared" si="10"/>
        <v>0</v>
      </c>
      <c r="J154" s="292">
        <f t="shared" si="10"/>
        <v>0</v>
      </c>
      <c r="K154" s="292">
        <f t="shared" si="10"/>
        <v>0</v>
      </c>
      <c r="L154" s="292">
        <f t="shared" si="10"/>
        <v>0</v>
      </c>
      <c r="M154" s="292">
        <f t="shared" si="10"/>
        <v>0</v>
      </c>
      <c r="N154" s="292">
        <f t="shared" si="10"/>
        <v>0</v>
      </c>
      <c r="O154" s="292">
        <f t="shared" si="10"/>
        <v>0</v>
      </c>
      <c r="P154" s="293">
        <f t="shared" si="10"/>
        <v>0</v>
      </c>
      <c r="Q154" s="343">
        <f t="shared" si="4"/>
        <v>0</v>
      </c>
      <c r="R154" s="343">
        <f t="shared" si="6"/>
        <v>0</v>
      </c>
    </row>
    <row r="155" spans="1:18">
      <c r="A155" s="658"/>
      <c r="B155" s="323" t="s">
        <v>25</v>
      </c>
      <c r="C155" s="327"/>
      <c r="D155" s="135"/>
      <c r="E155" s="292">
        <f t="shared" ref="E155:P155" si="11">SUMIF($D$7:$D$125,7,E$7:E$125)</f>
        <v>0</v>
      </c>
      <c r="F155" s="292">
        <f t="shared" si="11"/>
        <v>0</v>
      </c>
      <c r="G155" s="292">
        <f t="shared" si="11"/>
        <v>0</v>
      </c>
      <c r="H155" s="292">
        <f t="shared" si="11"/>
        <v>0</v>
      </c>
      <c r="I155" s="292">
        <f t="shared" si="11"/>
        <v>23368.881038089417</v>
      </c>
      <c r="J155" s="292">
        <f t="shared" si="11"/>
        <v>49878.559548698715</v>
      </c>
      <c r="K155" s="292">
        <f t="shared" si="11"/>
        <v>10115.987733244052</v>
      </c>
      <c r="L155" s="292">
        <f t="shared" si="11"/>
        <v>2495.9063840378626</v>
      </c>
      <c r="M155" s="292">
        <f t="shared" si="11"/>
        <v>2241.848892787144</v>
      </c>
      <c r="N155" s="292">
        <f t="shared" si="11"/>
        <v>0</v>
      </c>
      <c r="O155" s="292">
        <f t="shared" si="11"/>
        <v>0</v>
      </c>
      <c r="P155" s="293">
        <f t="shared" si="11"/>
        <v>0</v>
      </c>
      <c r="Q155" s="343">
        <f t="shared" si="4"/>
        <v>88101.183596857183</v>
      </c>
      <c r="R155" s="343">
        <f t="shared" si="6"/>
        <v>88101.183596857183</v>
      </c>
    </row>
    <row r="156" spans="1:18">
      <c r="A156" s="658"/>
      <c r="B156" s="323" t="s">
        <v>26</v>
      </c>
      <c r="C156" s="327"/>
      <c r="D156" s="135"/>
      <c r="E156" s="292">
        <f t="shared" ref="E156:P156" si="12">SUMIF($D$7:$D$125,8,E$7:E$125)</f>
        <v>0</v>
      </c>
      <c r="F156" s="292">
        <f t="shared" si="12"/>
        <v>0</v>
      </c>
      <c r="G156" s="292">
        <f t="shared" si="12"/>
        <v>0</v>
      </c>
      <c r="H156" s="292">
        <f t="shared" si="12"/>
        <v>0</v>
      </c>
      <c r="I156" s="292">
        <f t="shared" si="12"/>
        <v>2985.8911908185228</v>
      </c>
      <c r="J156" s="292">
        <f t="shared" si="12"/>
        <v>10360.615445869164</v>
      </c>
      <c r="K156" s="292">
        <f t="shared" si="12"/>
        <v>3094.2068273492559</v>
      </c>
      <c r="L156" s="292">
        <f t="shared" si="12"/>
        <v>194.16520827272728</v>
      </c>
      <c r="M156" s="292">
        <f t="shared" si="12"/>
        <v>115.06689133471075</v>
      </c>
      <c r="N156" s="292">
        <f t="shared" si="12"/>
        <v>0</v>
      </c>
      <c r="O156" s="292">
        <f t="shared" si="12"/>
        <v>0</v>
      </c>
      <c r="P156" s="293">
        <f t="shared" si="12"/>
        <v>0</v>
      </c>
      <c r="Q156" s="343">
        <f t="shared" si="4"/>
        <v>16749.945563644378</v>
      </c>
      <c r="R156" s="343">
        <f t="shared" si="6"/>
        <v>16749.945563644378</v>
      </c>
    </row>
    <row r="157" spans="1:18">
      <c r="A157" s="658"/>
      <c r="B157" s="323" t="s">
        <v>27</v>
      </c>
      <c r="C157" s="327"/>
      <c r="D157" s="135"/>
      <c r="E157" s="292">
        <f t="shared" ref="E157:P157" si="13">SUMIF($D$7:$D$125,9,E$7:E$125)</f>
        <v>0</v>
      </c>
      <c r="F157" s="292">
        <f t="shared" si="13"/>
        <v>0</v>
      </c>
      <c r="G157" s="292">
        <f t="shared" si="13"/>
        <v>0</v>
      </c>
      <c r="H157" s="292">
        <f t="shared" si="13"/>
        <v>0</v>
      </c>
      <c r="I157" s="292">
        <f t="shared" si="13"/>
        <v>691.02375000000006</v>
      </c>
      <c r="J157" s="292">
        <f t="shared" si="13"/>
        <v>2031.52</v>
      </c>
      <c r="K157" s="292">
        <f t="shared" si="13"/>
        <v>2453.8799999999997</v>
      </c>
      <c r="L157" s="292">
        <f t="shared" si="13"/>
        <v>1075.8462500000001</v>
      </c>
      <c r="M157" s="292">
        <f t="shared" si="13"/>
        <v>347.375</v>
      </c>
      <c r="N157" s="292">
        <f t="shared" si="13"/>
        <v>0</v>
      </c>
      <c r="O157" s="292">
        <f t="shared" si="13"/>
        <v>0</v>
      </c>
      <c r="P157" s="293">
        <f t="shared" si="13"/>
        <v>0</v>
      </c>
      <c r="Q157" s="343">
        <f t="shared" si="4"/>
        <v>6599.6450000000004</v>
      </c>
      <c r="R157" s="343">
        <f t="shared" si="6"/>
        <v>6599.6450000000004</v>
      </c>
    </row>
    <row r="158" spans="1:18">
      <c r="A158" s="658"/>
      <c r="B158" s="323" t="s">
        <v>28</v>
      </c>
      <c r="C158" s="327"/>
      <c r="D158" s="135"/>
      <c r="E158" s="292">
        <f t="shared" ref="E158:P158" si="14">SUMIF($D$7:$D$125,10,E$7:E$125)</f>
        <v>0</v>
      </c>
      <c r="F158" s="292">
        <f t="shared" si="14"/>
        <v>0</v>
      </c>
      <c r="G158" s="292">
        <f t="shared" si="14"/>
        <v>0</v>
      </c>
      <c r="H158" s="292">
        <f t="shared" si="14"/>
        <v>0</v>
      </c>
      <c r="I158" s="292">
        <f t="shared" si="14"/>
        <v>5891.786115702479</v>
      </c>
      <c r="J158" s="292">
        <f t="shared" si="14"/>
        <v>9357.1158367768585</v>
      </c>
      <c r="K158" s="292">
        <f t="shared" si="14"/>
        <v>6663.0155475206611</v>
      </c>
      <c r="L158" s="292">
        <f t="shared" si="14"/>
        <v>3200.3385020661153</v>
      </c>
      <c r="M158" s="292">
        <f t="shared" si="14"/>
        <v>1709.287747933884</v>
      </c>
      <c r="N158" s="292">
        <f t="shared" si="14"/>
        <v>0</v>
      </c>
      <c r="O158" s="292">
        <f t="shared" si="14"/>
        <v>0</v>
      </c>
      <c r="P158" s="293">
        <f t="shared" si="14"/>
        <v>0</v>
      </c>
      <c r="Q158" s="343">
        <f t="shared" si="4"/>
        <v>26821.543749999997</v>
      </c>
      <c r="R158" s="343">
        <f t="shared" si="6"/>
        <v>26821.543749999997</v>
      </c>
    </row>
    <row r="159" spans="1:18">
      <c r="A159" s="658"/>
      <c r="B159" s="323" t="s">
        <v>29</v>
      </c>
      <c r="C159" s="327"/>
      <c r="D159" s="135"/>
      <c r="E159" s="292">
        <f t="shared" ref="E159:P159" si="15">SUMIF($D$7:$D$125,11,E$7:E$125)</f>
        <v>0</v>
      </c>
      <c r="F159" s="292">
        <f t="shared" si="15"/>
        <v>0</v>
      </c>
      <c r="G159" s="292">
        <f t="shared" si="15"/>
        <v>0</v>
      </c>
      <c r="H159" s="292">
        <f t="shared" si="15"/>
        <v>0</v>
      </c>
      <c r="I159" s="292">
        <f t="shared" si="15"/>
        <v>3809.4701652892563</v>
      </c>
      <c r="J159" s="292">
        <f t="shared" si="15"/>
        <v>5232.9466632231415</v>
      </c>
      <c r="K159" s="292">
        <f t="shared" si="15"/>
        <v>4568.5396384297528</v>
      </c>
      <c r="L159" s="292">
        <f t="shared" si="15"/>
        <v>3231.0407541322311</v>
      </c>
      <c r="M159" s="292">
        <f t="shared" si="15"/>
        <v>2065.9189566115701</v>
      </c>
      <c r="N159" s="292">
        <f t="shared" si="15"/>
        <v>0</v>
      </c>
      <c r="O159" s="292">
        <f t="shared" si="15"/>
        <v>0</v>
      </c>
      <c r="P159" s="293">
        <f t="shared" si="15"/>
        <v>0</v>
      </c>
      <c r="Q159" s="343">
        <f t="shared" si="4"/>
        <v>18907.916177685951</v>
      </c>
      <c r="R159" s="343">
        <f t="shared" si="6"/>
        <v>18907.916177685951</v>
      </c>
    </row>
    <row r="160" spans="1:18">
      <c r="A160" s="658"/>
      <c r="B160" s="323" t="s">
        <v>30</v>
      </c>
      <c r="C160" s="327"/>
      <c r="D160" s="135"/>
      <c r="E160" s="292">
        <f t="shared" ref="E160:P160" si="16">SUMIF($D$7:$D$125,12,E$7:E$125)</f>
        <v>6190.7644628099179</v>
      </c>
      <c r="F160" s="292">
        <f t="shared" si="16"/>
        <v>5850.7851239669417</v>
      </c>
      <c r="G160" s="292">
        <f t="shared" si="16"/>
        <v>12639.108854781582</v>
      </c>
      <c r="H160" s="292">
        <f t="shared" si="16"/>
        <v>8360.8512396694205</v>
      </c>
      <c r="I160" s="292">
        <f t="shared" si="16"/>
        <v>15200.591066541925</v>
      </c>
      <c r="J160" s="292">
        <f t="shared" si="16"/>
        <v>16358.962922846957</v>
      </c>
      <c r="K160" s="292">
        <f t="shared" si="16"/>
        <v>10472.234525109407</v>
      </c>
      <c r="L160" s="292">
        <f t="shared" si="16"/>
        <v>6316.994762228127</v>
      </c>
      <c r="M160" s="292">
        <f t="shared" si="16"/>
        <v>5500.5016670322848</v>
      </c>
      <c r="N160" s="292">
        <f t="shared" si="16"/>
        <v>2633.7561983471073</v>
      </c>
      <c r="O160" s="292">
        <f t="shared" si="16"/>
        <v>4433.0371900826449</v>
      </c>
      <c r="P160" s="292">
        <f t="shared" si="16"/>
        <v>4688.553719008265</v>
      </c>
      <c r="Q160" s="343">
        <f t="shared" si="4"/>
        <v>98646.141732424585</v>
      </c>
      <c r="R160" s="343">
        <f t="shared" si="6"/>
        <v>53849.284943758699</v>
      </c>
    </row>
    <row r="161" spans="1:18" ht="13.5" thickBot="1">
      <c r="A161" s="658"/>
      <c r="B161" s="324"/>
      <c r="C161" s="328"/>
      <c r="D161" s="180"/>
      <c r="E161" s="180"/>
      <c r="F161" s="180"/>
      <c r="G161" s="180"/>
      <c r="H161" s="180"/>
      <c r="I161" s="180"/>
      <c r="J161" s="180"/>
      <c r="K161" s="180"/>
      <c r="L161" s="180"/>
      <c r="M161" s="180"/>
      <c r="N161" s="180"/>
      <c r="O161" s="180"/>
      <c r="P161" s="280"/>
      <c r="Q161" s="346"/>
      <c r="R161" s="346"/>
    </row>
    <row r="162" spans="1:18">
      <c r="Q162" s="636">
        <f>SUM(Q149:Q161)</f>
        <v>310931.15044102247</v>
      </c>
      <c r="R162" s="636">
        <f>SUM(R149:R161)</f>
        <v>266098.29365235654</v>
      </c>
    </row>
    <row r="171" spans="1:18" ht="18">
      <c r="A171" s="658"/>
      <c r="B171" s="321" t="s">
        <v>559</v>
      </c>
    </row>
    <row r="172" spans="1:18">
      <c r="A172" s="658"/>
    </row>
    <row r="173" spans="1:18" ht="15.75" thickBot="1">
      <c r="A173" s="658"/>
      <c r="B173" s="87" t="s">
        <v>126</v>
      </c>
      <c r="C173" s="87" t="s">
        <v>36</v>
      </c>
      <c r="D173" s="87"/>
      <c r="G173" s="87" t="s">
        <v>451</v>
      </c>
      <c r="H173" s="87" t="s">
        <v>452</v>
      </c>
      <c r="I173" s="87" t="s">
        <v>455</v>
      </c>
      <c r="J173" s="87" t="s">
        <v>456</v>
      </c>
    </row>
    <row r="174" spans="1:18" ht="15">
      <c r="A174" s="658"/>
      <c r="B174" s="347" t="s">
        <v>58</v>
      </c>
      <c r="C174" s="348" t="str">
        <f>VLOOKUP(B174,NodeList!$D$5:$E$73,2,FALSE)</f>
        <v>Lannon &amp; Lone Mountain</v>
      </c>
      <c r="D174" s="349"/>
      <c r="E174" s="349"/>
      <c r="F174" s="349"/>
      <c r="G174" s="350">
        <f>VLOOKUP(B174,'Diversion Data'!$B$7:$P$73,15,FALSE)</f>
        <v>2450.4560130746904</v>
      </c>
      <c r="H174" s="350">
        <f t="shared" ref="H174:H217" si="17">VLOOKUP(B174 &amp;" Diversions",$B$7:$Q$125,16,FALSE)</f>
        <v>2450.4560130746904</v>
      </c>
      <c r="I174" s="351">
        <f t="shared" ref="I174:I217" si="18">+G174-H174</f>
        <v>0</v>
      </c>
      <c r="J174" s="352">
        <f t="shared" ref="J174:J217" si="19">+I174/G174</f>
        <v>0</v>
      </c>
    </row>
    <row r="175" spans="1:18" ht="15">
      <c r="A175" s="658"/>
      <c r="B175" s="298" t="s">
        <v>59</v>
      </c>
      <c r="C175" s="353" t="str">
        <f>VLOOKUP(B175,NodeList!$D$5:$E$73,2,FALSE)</f>
        <v>Hilliard West Side</v>
      </c>
      <c r="D175" s="135"/>
      <c r="E175" s="135"/>
      <c r="F175" s="135"/>
      <c r="G175" s="354">
        <f>VLOOKUP(B175,'Diversion Data'!$B$7:$P$73,15,FALSE)</f>
        <v>3956.7338471732442</v>
      </c>
      <c r="H175" s="354">
        <f t="shared" si="17"/>
        <v>3956.7338471732442</v>
      </c>
      <c r="I175" s="355">
        <f t="shared" si="18"/>
        <v>0</v>
      </c>
      <c r="J175" s="74">
        <f t="shared" si="19"/>
        <v>0</v>
      </c>
    </row>
    <row r="176" spans="1:18" ht="15">
      <c r="A176" s="658"/>
      <c r="B176" s="298" t="s">
        <v>60</v>
      </c>
      <c r="C176" s="353" t="str">
        <f>VLOOKUP(B176,NodeList!$D$5:$E$73,2,FALSE)</f>
        <v>Bear Canal</v>
      </c>
      <c r="D176" s="135"/>
      <c r="E176" s="135"/>
      <c r="F176" s="135"/>
      <c r="G176" s="354">
        <f>VLOOKUP(B176,'Diversion Data'!$B$7:$P$73,15,FALSE)</f>
        <v>7889.2416653913224</v>
      </c>
      <c r="H176" s="354">
        <f t="shared" si="17"/>
        <v>7889.2416653913224</v>
      </c>
      <c r="I176" s="355">
        <f t="shared" si="18"/>
        <v>0</v>
      </c>
      <c r="J176" s="74">
        <f t="shared" si="19"/>
        <v>0</v>
      </c>
    </row>
    <row r="177" spans="1:10" ht="15">
      <c r="A177" s="658"/>
      <c r="B177" s="298" t="s">
        <v>61</v>
      </c>
      <c r="C177" s="353" t="str">
        <f>VLOOKUP(B177,NodeList!$D$5:$E$73,2,FALSE)</f>
        <v>Crown &amp; Pine Grove</v>
      </c>
      <c r="D177" s="135"/>
      <c r="E177" s="135"/>
      <c r="F177" s="135"/>
      <c r="G177" s="354">
        <f>VLOOKUP(B177,'Diversion Data'!$B$7:$P$73,15,FALSE)</f>
        <v>3133.6252349257229</v>
      </c>
      <c r="H177" s="354">
        <f t="shared" si="17"/>
        <v>3133.6252349257229</v>
      </c>
      <c r="I177" s="355">
        <f t="shared" si="18"/>
        <v>0</v>
      </c>
      <c r="J177" s="74">
        <f t="shared" si="19"/>
        <v>0</v>
      </c>
    </row>
    <row r="178" spans="1:10" ht="15">
      <c r="A178" s="658"/>
      <c r="B178" s="298" t="s">
        <v>62</v>
      </c>
      <c r="C178" s="353" t="str">
        <f>VLOOKUP(B178,NodeList!$D$5:$E$73,2,FALSE)</f>
        <v>McGraw &amp; Big Bend</v>
      </c>
      <c r="D178" s="135"/>
      <c r="E178" s="135"/>
      <c r="F178" s="135"/>
      <c r="G178" s="354">
        <f>VLOOKUP(B178,'Diversion Data'!$B$7:$P$73,15,FALSE)</f>
        <v>2519.8984168948346</v>
      </c>
      <c r="H178" s="354">
        <f t="shared" si="17"/>
        <v>2519.8984168948346</v>
      </c>
      <c r="I178" s="355">
        <f t="shared" si="18"/>
        <v>0</v>
      </c>
      <c r="J178" s="74">
        <f t="shared" si="19"/>
        <v>0</v>
      </c>
    </row>
    <row r="179" spans="1:10" ht="15">
      <c r="A179" s="658"/>
      <c r="B179" s="298" t="s">
        <v>63</v>
      </c>
      <c r="C179" s="353" t="str">
        <f>VLOOKUP(B179,NodeList!$D$5:$E$73,2,FALSE)</f>
        <v>Lewis</v>
      </c>
      <c r="D179" s="135"/>
      <c r="E179" s="135"/>
      <c r="F179" s="135"/>
      <c r="G179" s="354">
        <f>VLOOKUP(B179,'Diversion Data'!$B$7:$P$73,15,FALSE)</f>
        <v>821.1999186177685</v>
      </c>
      <c r="H179" s="354">
        <f t="shared" si="17"/>
        <v>821.1999186177685</v>
      </c>
      <c r="I179" s="355">
        <f t="shared" si="18"/>
        <v>0</v>
      </c>
      <c r="J179" s="74">
        <f t="shared" si="19"/>
        <v>0</v>
      </c>
    </row>
    <row r="180" spans="1:10" ht="15">
      <c r="A180" s="658"/>
      <c r="B180" s="298" t="s">
        <v>64</v>
      </c>
      <c r="C180" s="353" t="str">
        <f>VLOOKUP(B180,NodeList!$D$5:$E$73,2,FALSE)</f>
        <v>Meyers No. 2</v>
      </c>
      <c r="D180" s="135"/>
      <c r="E180" s="135"/>
      <c r="F180" s="135"/>
      <c r="G180" s="354">
        <f>VLOOKUP(B180,'Diversion Data'!$B$7:$P$73,15,FALSE)</f>
        <v>897.66483638502064</v>
      </c>
      <c r="H180" s="354">
        <f t="shared" si="17"/>
        <v>897.66483638502064</v>
      </c>
      <c r="I180" s="355">
        <f t="shared" si="18"/>
        <v>0</v>
      </c>
      <c r="J180" s="74">
        <f t="shared" si="19"/>
        <v>0</v>
      </c>
    </row>
    <row r="181" spans="1:10" ht="15">
      <c r="A181" s="658"/>
      <c r="B181" s="298" t="s">
        <v>65</v>
      </c>
      <c r="C181" s="353" t="str">
        <f>VLOOKUP(B181,NodeList!$D$5:$E$73,2,FALSE)</f>
        <v>Meyers No. 1</v>
      </c>
      <c r="D181" s="135"/>
      <c r="E181" s="135"/>
      <c r="F181" s="135"/>
      <c r="G181" s="354">
        <f>VLOOKUP(B181,'Diversion Data'!$B$7:$P$73,15,FALSE)</f>
        <v>887.68485184400822</v>
      </c>
      <c r="H181" s="354">
        <f t="shared" si="17"/>
        <v>887.68485184400822</v>
      </c>
      <c r="I181" s="355">
        <f t="shared" si="18"/>
        <v>0</v>
      </c>
      <c r="J181" s="74">
        <f t="shared" si="19"/>
        <v>0</v>
      </c>
    </row>
    <row r="182" spans="1:10" ht="15">
      <c r="A182" s="658"/>
      <c r="B182" s="298" t="s">
        <v>66</v>
      </c>
      <c r="C182" s="353" t="str">
        <f>VLOOKUP(B182,NodeList!$D$5:$E$73,2,FALSE)</f>
        <v>Meyers Irrigation</v>
      </c>
      <c r="D182" s="135"/>
      <c r="E182" s="135"/>
      <c r="F182" s="135"/>
      <c r="G182" s="354">
        <f>VLOOKUP(B182,'Diversion Data'!$B$7:$P$73,15,FALSE)</f>
        <v>903.61040364028929</v>
      </c>
      <c r="H182" s="354">
        <f t="shared" si="17"/>
        <v>903.61040364028929</v>
      </c>
      <c r="I182" s="355">
        <f t="shared" si="18"/>
        <v>0</v>
      </c>
      <c r="J182" s="74">
        <f t="shared" si="19"/>
        <v>0</v>
      </c>
    </row>
    <row r="183" spans="1:10" ht="15">
      <c r="A183" s="658"/>
      <c r="B183" s="298" t="s">
        <v>67</v>
      </c>
      <c r="C183" s="353" t="str">
        <f>VLOOKUP(B183,NodeList!$D$5:$E$73,2,FALSE)</f>
        <v>Evanston Pipeline</v>
      </c>
      <c r="D183" s="135"/>
      <c r="E183" s="135"/>
      <c r="F183" s="135"/>
      <c r="G183" s="354">
        <f>VLOOKUP(B183,'Diversion Data'!$B$7:$P$73,15,FALSE)</f>
        <v>2351.5800102913222</v>
      </c>
      <c r="H183" s="354">
        <f t="shared" si="17"/>
        <v>2351.5800102913222</v>
      </c>
      <c r="I183" s="355">
        <f t="shared" si="18"/>
        <v>0</v>
      </c>
      <c r="J183" s="74">
        <f t="shared" si="19"/>
        <v>0</v>
      </c>
    </row>
    <row r="184" spans="1:10" ht="15">
      <c r="A184" s="658"/>
      <c r="B184" s="298" t="s">
        <v>68</v>
      </c>
      <c r="C184" s="353" t="str">
        <f>VLOOKUP(B184,NodeList!$D$5:$E$73,2,FALSE)</f>
        <v>Booth</v>
      </c>
      <c r="D184" s="135"/>
      <c r="E184" s="135"/>
      <c r="F184" s="135"/>
      <c r="G184" s="354">
        <f>VLOOKUP(B184,'Diversion Data'!$B$7:$P$73,15,FALSE)</f>
        <v>1994.669882810434</v>
      </c>
      <c r="H184" s="354">
        <f t="shared" si="17"/>
        <v>1994.669882810434</v>
      </c>
      <c r="I184" s="355">
        <f t="shared" si="18"/>
        <v>0</v>
      </c>
      <c r="J184" s="74">
        <f t="shared" si="19"/>
        <v>0</v>
      </c>
    </row>
    <row r="185" spans="1:10" ht="15">
      <c r="A185" s="658"/>
      <c r="B185" s="298" t="s">
        <v>69</v>
      </c>
      <c r="C185" s="353" t="str">
        <f>VLOOKUP(B185,NodeList!$D$5:$E$73,2,FALSE)</f>
        <v>Anel</v>
      </c>
      <c r="D185" s="135"/>
      <c r="E185" s="135"/>
      <c r="F185" s="135"/>
      <c r="G185" s="354">
        <f>VLOOKUP(B185,'Diversion Data'!$B$7:$P$73,15,FALSE)</f>
        <v>803.34849275526869</v>
      </c>
      <c r="H185" s="354">
        <f t="shared" si="17"/>
        <v>803.34849275526869</v>
      </c>
      <c r="I185" s="355">
        <f t="shared" si="18"/>
        <v>0</v>
      </c>
      <c r="J185" s="74">
        <f t="shared" si="19"/>
        <v>0</v>
      </c>
    </row>
    <row r="186" spans="1:10" ht="15">
      <c r="A186" s="658"/>
      <c r="B186" s="298" t="s">
        <v>70</v>
      </c>
      <c r="C186" s="353" t="str">
        <f>VLOOKUP(B186,NodeList!$D$5:$E$73,2,FALSE)</f>
        <v>Evanston Water Supply</v>
      </c>
      <c r="D186" s="135"/>
      <c r="E186" s="135"/>
      <c r="F186" s="135"/>
      <c r="G186" s="354">
        <f>VLOOKUP(B186,'Diversion Data'!$B$7:$P$73,15,FALSE)</f>
        <v>765.64241669628109</v>
      </c>
      <c r="H186" s="354">
        <f t="shared" si="17"/>
        <v>765.64241669628109</v>
      </c>
      <c r="I186" s="355">
        <f t="shared" si="18"/>
        <v>0</v>
      </c>
      <c r="J186" s="74">
        <f t="shared" si="19"/>
        <v>0</v>
      </c>
    </row>
    <row r="187" spans="1:10" ht="15">
      <c r="A187" s="658"/>
      <c r="B187" s="298" t="s">
        <v>315</v>
      </c>
      <c r="C187" s="353" t="str">
        <f>VLOOKUP(B187,NodeList!$D$5:$E$73,2,FALSE)</f>
        <v>AggDiv BR-1</v>
      </c>
      <c r="D187" s="135"/>
      <c r="E187" s="135"/>
      <c r="F187" s="135"/>
      <c r="G187" s="354">
        <f>VLOOKUP(B187,'Diversion Data'!$B$7:$P$73,15,FALSE)</f>
        <v>1105.915</v>
      </c>
      <c r="H187" s="354">
        <f t="shared" si="17"/>
        <v>1105.915</v>
      </c>
      <c r="I187" s="355">
        <f t="shared" si="18"/>
        <v>0</v>
      </c>
      <c r="J187" s="74">
        <f t="shared" si="19"/>
        <v>0</v>
      </c>
    </row>
    <row r="188" spans="1:10" ht="15">
      <c r="B188" s="298" t="s">
        <v>189</v>
      </c>
      <c r="C188" s="353" t="str">
        <f>VLOOKUP(B188,NodeList!$D$5:$E$73,2,FALSE)</f>
        <v>AggDiv SC-2</v>
      </c>
      <c r="D188" s="135"/>
      <c r="E188" s="135"/>
      <c r="F188" s="135"/>
      <c r="G188" s="354">
        <f>VLOOKUP(B188,'Diversion Data'!$B$7:$P$73,15,FALSE)</f>
        <v>623.625</v>
      </c>
      <c r="H188" s="354">
        <f t="shared" si="17"/>
        <v>623.625</v>
      </c>
      <c r="I188" s="355">
        <f t="shared" si="18"/>
        <v>0</v>
      </c>
      <c r="J188" s="74">
        <f t="shared" si="19"/>
        <v>0</v>
      </c>
    </row>
    <row r="189" spans="1:10" ht="15">
      <c r="B189" s="298" t="s">
        <v>71</v>
      </c>
      <c r="C189" s="353" t="str">
        <f>VLOOKUP(B189,NodeList!$D$5:$E$73,2,FALSE)</f>
        <v>Evanston Water Ditch</v>
      </c>
      <c r="D189" s="135"/>
      <c r="E189" s="135"/>
      <c r="F189" s="135"/>
      <c r="G189" s="354">
        <f>VLOOKUP(B189,'Diversion Data'!$B$7:$P$73,15,FALSE)</f>
        <v>3184.4289049586778</v>
      </c>
      <c r="H189" s="354">
        <f t="shared" si="17"/>
        <v>3184.4289049586778</v>
      </c>
      <c r="I189" s="355">
        <f t="shared" si="18"/>
        <v>0</v>
      </c>
      <c r="J189" s="74">
        <f t="shared" si="19"/>
        <v>0</v>
      </c>
    </row>
    <row r="190" spans="1:10" ht="15">
      <c r="B190" s="298" t="s">
        <v>149</v>
      </c>
      <c r="C190" s="353" t="str">
        <f>VLOOKUP(B190,NodeList!$D$5:$E$73,2,FALSE)</f>
        <v>Rocky Mtn &amp; Blyth</v>
      </c>
      <c r="D190" s="135"/>
      <c r="E190" s="135"/>
      <c r="F190" s="135"/>
      <c r="G190" s="354">
        <f>VLOOKUP(B190,'Diversion Data'!$B$7:$P$73,15,FALSE)</f>
        <v>1745.6570803778927</v>
      </c>
      <c r="H190" s="354">
        <f t="shared" si="17"/>
        <v>1745.6570803778927</v>
      </c>
      <c r="I190" s="355">
        <f t="shared" si="18"/>
        <v>0</v>
      </c>
      <c r="J190" s="74">
        <f t="shared" si="19"/>
        <v>0</v>
      </c>
    </row>
    <row r="191" spans="1:10" ht="15">
      <c r="B191" s="298" t="s">
        <v>141</v>
      </c>
      <c r="C191" s="353" t="str">
        <f>VLOOKUP(B191,NodeList!$D$5:$E$73,2,FALSE)</f>
        <v>John Simms</v>
      </c>
      <c r="D191" s="135"/>
      <c r="E191" s="135"/>
      <c r="F191" s="135"/>
      <c r="G191" s="354">
        <f>VLOOKUP(B191,'Diversion Data'!$B$7:$P$73,15,FALSE)</f>
        <v>2241.5051342975203</v>
      </c>
      <c r="H191" s="354">
        <f t="shared" si="17"/>
        <v>2241.5051342975203</v>
      </c>
      <c r="I191" s="355">
        <f t="shared" si="18"/>
        <v>0</v>
      </c>
      <c r="J191" s="74">
        <f t="shared" si="19"/>
        <v>0</v>
      </c>
    </row>
    <row r="192" spans="1:10" ht="15">
      <c r="B192" s="298" t="s">
        <v>153</v>
      </c>
      <c r="C192" s="353" t="str">
        <f>VLOOKUP(B192,NodeList!$D$5:$E$73,2,FALSE)</f>
        <v>S P Ramsey</v>
      </c>
      <c r="D192" s="135"/>
      <c r="E192" s="135"/>
      <c r="F192" s="135"/>
      <c r="G192" s="354">
        <f>VLOOKUP(B192,'Diversion Data'!$B$7:$P$73,15,FALSE)</f>
        <v>1998.9654755035126</v>
      </c>
      <c r="H192" s="354">
        <f t="shared" si="17"/>
        <v>1998.9654755035126</v>
      </c>
      <c r="I192" s="355">
        <f t="shared" si="18"/>
        <v>0</v>
      </c>
      <c r="J192" s="74">
        <f t="shared" si="19"/>
        <v>0</v>
      </c>
    </row>
    <row r="193" spans="2:10" ht="15">
      <c r="B193" s="298" t="s">
        <v>262</v>
      </c>
      <c r="C193" s="353" t="str">
        <f>VLOOKUP(B193,NodeList!$D$5:$E$73,2,FALSE)</f>
        <v>AggDiv BR-2</v>
      </c>
      <c r="D193" s="135"/>
      <c r="E193" s="135"/>
      <c r="F193" s="135"/>
      <c r="G193" s="354">
        <f>VLOOKUP(B193,'Diversion Data'!$B$7:$P$73,15,FALSE)</f>
        <v>2542.2775000000001</v>
      </c>
      <c r="H193" s="354">
        <f t="shared" si="17"/>
        <v>2542.2775000000001</v>
      </c>
      <c r="I193" s="355">
        <f t="shared" si="18"/>
        <v>0</v>
      </c>
      <c r="J193" s="74">
        <f t="shared" si="19"/>
        <v>0</v>
      </c>
    </row>
    <row r="194" spans="2:10" ht="15">
      <c r="B194" s="298" t="s">
        <v>134</v>
      </c>
      <c r="C194" s="353" t="str">
        <f>VLOOKUP(B194,NodeList!$D$5:$E$73,2,FALSE)</f>
        <v>Chapman Canal</v>
      </c>
      <c r="D194" s="135"/>
      <c r="E194" s="135"/>
      <c r="F194" s="135"/>
      <c r="G194" s="354">
        <f>VLOOKUP(B194,'Diversion Data'!$B$7:$P$73,15,FALSE)</f>
        <v>8044.9939480505673</v>
      </c>
      <c r="H194" s="354">
        <f t="shared" si="17"/>
        <v>8044.9939480505673</v>
      </c>
      <c r="I194" s="355">
        <f t="shared" si="18"/>
        <v>0</v>
      </c>
      <c r="J194" s="74">
        <f t="shared" si="19"/>
        <v>0</v>
      </c>
    </row>
    <row r="195" spans="2:10" ht="15">
      <c r="B195" s="298" t="s">
        <v>143</v>
      </c>
      <c r="C195" s="353" t="str">
        <f>VLOOKUP(B195,NodeList!$D$5:$E$73,2,FALSE)</f>
        <v>Morris Bros (Lower)</v>
      </c>
      <c r="D195" s="135"/>
      <c r="E195" s="135"/>
      <c r="F195" s="135"/>
      <c r="G195" s="354">
        <f>VLOOKUP(B195,'Diversion Data'!$B$7:$P$73,15,FALSE)</f>
        <v>686.89712450919433</v>
      </c>
      <c r="H195" s="354">
        <f t="shared" si="17"/>
        <v>686.89712450919433</v>
      </c>
      <c r="I195" s="355">
        <f t="shared" si="18"/>
        <v>0</v>
      </c>
      <c r="J195" s="74">
        <f t="shared" si="19"/>
        <v>0</v>
      </c>
    </row>
    <row r="196" spans="2:10" ht="15">
      <c r="B196" s="298" t="s">
        <v>155</v>
      </c>
      <c r="C196" s="353" t="str">
        <f>VLOOKUP(B196,NodeList!$D$5:$E$73,2,FALSE)</f>
        <v>AggDiv BR-3</v>
      </c>
      <c r="D196" s="135"/>
      <c r="E196" s="135"/>
      <c r="F196" s="135"/>
      <c r="G196" s="354">
        <f>VLOOKUP(B196,'Diversion Data'!$B$7:$P$73,15,FALSE)</f>
        <v>1079.71</v>
      </c>
      <c r="H196" s="354">
        <f t="shared" si="17"/>
        <v>1079.71</v>
      </c>
      <c r="I196" s="355">
        <f t="shared" si="18"/>
        <v>0</v>
      </c>
      <c r="J196" s="74">
        <f t="shared" si="19"/>
        <v>0</v>
      </c>
    </row>
    <row r="197" spans="2:10" ht="15">
      <c r="B197" s="298" t="s">
        <v>265</v>
      </c>
      <c r="C197" s="353" t="str">
        <f>VLOOKUP(B197,NodeList!$D$5:$E$73,2,FALSE)</f>
        <v>Tunnel</v>
      </c>
      <c r="D197" s="135"/>
      <c r="E197" s="135"/>
      <c r="F197" s="135"/>
      <c r="G197" s="354">
        <f>VLOOKUP(B197,'Diversion Data'!$B$7:$P$73,15,FALSE)</f>
        <v>2409.4434622128101</v>
      </c>
      <c r="H197" s="354">
        <f t="shared" si="17"/>
        <v>2409.4434622128101</v>
      </c>
      <c r="I197" s="355">
        <f t="shared" si="18"/>
        <v>0</v>
      </c>
      <c r="J197" s="74">
        <f t="shared" si="19"/>
        <v>0</v>
      </c>
    </row>
    <row r="198" spans="2:10" ht="15">
      <c r="B198" s="298" t="s">
        <v>139</v>
      </c>
      <c r="C198" s="353" t="str">
        <f>VLOOKUP(B198,NodeList!$D$5:$E$73,2,FALSE)</f>
        <v>Francis Lee</v>
      </c>
      <c r="D198" s="135"/>
      <c r="E198" s="135"/>
      <c r="F198" s="135"/>
      <c r="G198" s="354">
        <f>VLOOKUP(B198,'Diversion Data'!$B$7:$P$73,15,FALSE)</f>
        <v>5367.7121810647104</v>
      </c>
      <c r="H198" s="354">
        <f t="shared" si="17"/>
        <v>5012.4939247047932</v>
      </c>
      <c r="I198" s="355">
        <f t="shared" si="18"/>
        <v>355.21825635991718</v>
      </c>
      <c r="J198" s="74">
        <f t="shared" si="19"/>
        <v>6.6176844878716654E-2</v>
      </c>
    </row>
    <row r="199" spans="2:10" ht="15">
      <c r="B199" s="298" t="s">
        <v>130</v>
      </c>
      <c r="C199" s="353" t="str">
        <f>VLOOKUP(B199,NodeList!$D$5:$E$73,2,FALSE)</f>
        <v>Bear River Canal</v>
      </c>
      <c r="D199" s="135"/>
      <c r="E199" s="135"/>
      <c r="F199" s="135"/>
      <c r="G199" s="354">
        <f>VLOOKUP(B199,'Diversion Data'!$B$7:$P$73,15,FALSE)</f>
        <v>7889.2416653913224</v>
      </c>
      <c r="H199" s="354">
        <f t="shared" si="17"/>
        <v>6014.7712838152675</v>
      </c>
      <c r="I199" s="355">
        <f t="shared" si="18"/>
        <v>1874.4703815760549</v>
      </c>
      <c r="J199" s="74">
        <f t="shared" si="19"/>
        <v>0.23759829665239154</v>
      </c>
    </row>
    <row r="200" spans="2:10" ht="15">
      <c r="B200" s="298" t="s">
        <v>230</v>
      </c>
      <c r="C200" s="353" t="str">
        <f>VLOOKUP(B200,NodeList!$D$5:$E$73,2,FALSE)</f>
        <v>Aggregate Utah Diversions</v>
      </c>
      <c r="D200" s="135"/>
      <c r="E200" s="135"/>
      <c r="F200" s="135"/>
      <c r="G200" s="354">
        <f>VLOOKUP(B200,'Diversion Data'!$B$7:$P$73,15,FALSE)</f>
        <v>78461.229907742629</v>
      </c>
      <c r="H200" s="354">
        <f t="shared" si="17"/>
        <v>77073.91838833713</v>
      </c>
      <c r="I200" s="355">
        <f t="shared" si="18"/>
        <v>1387.311519405499</v>
      </c>
      <c r="J200" s="74">
        <f t="shared" si="19"/>
        <v>1.7681490859074563E-2</v>
      </c>
    </row>
    <row r="201" spans="2:10" ht="15">
      <c r="B201" s="298" t="s">
        <v>270</v>
      </c>
      <c r="C201" s="353" t="str">
        <f>VLOOKUP(B201,NodeList!$D$5:$E$73,2,FALSE)</f>
        <v>BQ Dam</v>
      </c>
      <c r="D201" s="135"/>
      <c r="E201" s="135"/>
      <c r="F201" s="135"/>
      <c r="G201" s="354">
        <f>VLOOKUP(B201,'Diversion Data'!$B$7:$P$73,15,FALSE)</f>
        <v>11518.487186254073</v>
      </c>
      <c r="H201" s="354">
        <f t="shared" si="17"/>
        <v>11518.487186254073</v>
      </c>
      <c r="I201" s="355">
        <f t="shared" si="18"/>
        <v>0</v>
      </c>
      <c r="J201" s="74">
        <f t="shared" si="19"/>
        <v>0</v>
      </c>
    </row>
    <row r="202" spans="2:10" ht="15">
      <c r="B202" s="298" t="s">
        <v>327</v>
      </c>
      <c r="C202" s="353" t="str">
        <f>VLOOKUP(B202,NodeList!$D$5:$E$73,2,FALSE)</f>
        <v>AggDiv BR-4</v>
      </c>
      <c r="D202" s="135"/>
      <c r="E202" s="135"/>
      <c r="F202" s="135"/>
      <c r="G202" s="354">
        <f>VLOOKUP(B202,'Diversion Data'!$B$7:$P$73,15,FALSE)</f>
        <v>6599.6450000000004</v>
      </c>
      <c r="H202" s="354">
        <f t="shared" si="17"/>
        <v>6599.6450000000004</v>
      </c>
      <c r="I202" s="355">
        <f t="shared" si="18"/>
        <v>0</v>
      </c>
      <c r="J202" s="74">
        <f t="shared" si="19"/>
        <v>0</v>
      </c>
    </row>
    <row r="203" spans="2:10" ht="15">
      <c r="B203" s="298" t="s">
        <v>132</v>
      </c>
      <c r="C203" s="353" t="str">
        <f>VLOOKUP(B203,NodeList!$D$5:$E$73,2,FALSE)</f>
        <v>Button Flat</v>
      </c>
      <c r="D203" s="135"/>
      <c r="E203" s="135"/>
      <c r="F203" s="135"/>
      <c r="G203" s="354">
        <f>VLOOKUP(B203,'Diversion Data'!$B$7:$P$73,15,FALSE)</f>
        <v>505.67381198347113</v>
      </c>
      <c r="H203" s="354">
        <f t="shared" si="17"/>
        <v>505.67381198347113</v>
      </c>
      <c r="I203" s="355">
        <f t="shared" si="18"/>
        <v>0</v>
      </c>
      <c r="J203" s="74">
        <f t="shared" si="19"/>
        <v>0</v>
      </c>
    </row>
    <row r="204" spans="2:10" ht="15">
      <c r="B204" s="298" t="s">
        <v>138</v>
      </c>
      <c r="C204" s="353" t="str">
        <f>VLOOKUP(B204,NodeList!$D$5:$E$73,2,FALSE)</f>
        <v>Emelle</v>
      </c>
      <c r="D204" s="135"/>
      <c r="E204" s="135"/>
      <c r="F204" s="135"/>
      <c r="G204" s="354">
        <f>VLOOKUP(B204,'Diversion Data'!$B$7:$P$73,15,FALSE)</f>
        <v>1439.1636466942148</v>
      </c>
      <c r="H204" s="354">
        <f t="shared" si="17"/>
        <v>1439.1636466942148</v>
      </c>
      <c r="I204" s="355">
        <f t="shared" si="18"/>
        <v>0</v>
      </c>
      <c r="J204" s="74">
        <f t="shared" si="19"/>
        <v>0</v>
      </c>
    </row>
    <row r="205" spans="2:10" ht="15">
      <c r="B205" s="298" t="s">
        <v>136</v>
      </c>
      <c r="C205" s="353" t="str">
        <f>VLOOKUP(B205,NodeList!$D$5:$E$73,2,FALSE)</f>
        <v>Cooper</v>
      </c>
      <c r="D205" s="135"/>
      <c r="E205" s="135"/>
      <c r="F205" s="135"/>
      <c r="G205" s="354">
        <f>VLOOKUP(B205,'Diversion Data'!$B$7:$P$73,15,FALSE)</f>
        <v>734.41008264462812</v>
      </c>
      <c r="H205" s="354">
        <f t="shared" si="17"/>
        <v>734.41008264462812</v>
      </c>
      <c r="I205" s="355">
        <f t="shared" si="18"/>
        <v>0</v>
      </c>
      <c r="J205" s="74">
        <f t="shared" si="19"/>
        <v>0</v>
      </c>
    </row>
    <row r="206" spans="2:10" ht="15">
      <c r="B206" s="298" t="s">
        <v>137</v>
      </c>
      <c r="C206" s="353" t="str">
        <f>VLOOKUP(B206,NodeList!$D$5:$E$73,2,FALSE)</f>
        <v>Covey</v>
      </c>
      <c r="D206" s="135"/>
      <c r="E206" s="135"/>
      <c r="F206" s="135"/>
      <c r="G206" s="354">
        <f>VLOOKUP(B206,'Diversion Data'!$B$7:$P$73,15,FALSE)</f>
        <v>7372.6964462809919</v>
      </c>
      <c r="H206" s="354">
        <f t="shared" si="17"/>
        <v>7372.6964462809919</v>
      </c>
      <c r="I206" s="355">
        <f t="shared" si="18"/>
        <v>0</v>
      </c>
      <c r="J206" s="74">
        <f t="shared" si="19"/>
        <v>0</v>
      </c>
    </row>
    <row r="207" spans="2:10" ht="15">
      <c r="B207" s="298" t="s">
        <v>157</v>
      </c>
      <c r="C207" s="353" t="str">
        <f>VLOOKUP(B207,NodeList!$D$5:$E$73,2,FALSE)</f>
        <v>VH Canal</v>
      </c>
      <c r="D207" s="135"/>
      <c r="E207" s="135"/>
      <c r="F207" s="135"/>
      <c r="G207" s="354">
        <f>VLOOKUP(B207,'Diversion Data'!$B$7:$P$73,15,FALSE)</f>
        <v>2180.7444834710745</v>
      </c>
      <c r="H207" s="354">
        <f t="shared" si="17"/>
        <v>2180.7444834710745</v>
      </c>
      <c r="I207" s="355">
        <f t="shared" si="18"/>
        <v>0</v>
      </c>
      <c r="J207" s="74">
        <f t="shared" si="19"/>
        <v>0</v>
      </c>
    </row>
    <row r="208" spans="2:10" ht="15">
      <c r="B208" s="298" t="s">
        <v>140</v>
      </c>
      <c r="C208" s="353" t="str">
        <f>VLOOKUP(B208,NodeList!$D$5:$E$73,2,FALSE)</f>
        <v>Goodell</v>
      </c>
      <c r="D208" s="135"/>
      <c r="E208" s="135"/>
      <c r="F208" s="135"/>
      <c r="G208" s="354">
        <f>VLOOKUP(B208,'Diversion Data'!$B$7:$P$73,15,FALSE)</f>
        <v>1871.3317561983472</v>
      </c>
      <c r="H208" s="354">
        <f t="shared" si="17"/>
        <v>1871.3317561983472</v>
      </c>
      <c r="I208" s="355">
        <f t="shared" si="18"/>
        <v>0</v>
      </c>
      <c r="J208" s="74">
        <f t="shared" si="19"/>
        <v>0</v>
      </c>
    </row>
    <row r="209" spans="2:10" ht="15">
      <c r="B209" s="298" t="s">
        <v>159</v>
      </c>
      <c r="C209" s="353" t="str">
        <f>VLOOKUP(B209,NodeList!$D$5:$E$73,2,FALSE)</f>
        <v>Whites Water</v>
      </c>
      <c r="D209" s="135"/>
      <c r="E209" s="135"/>
      <c r="F209" s="135"/>
      <c r="G209" s="354">
        <f>VLOOKUP(B209,'Diversion Data'!$B$7:$P$73,15,FALSE)</f>
        <v>3713.1268698347108</v>
      </c>
      <c r="H209" s="354">
        <f t="shared" si="17"/>
        <v>3713.1268698347108</v>
      </c>
      <c r="I209" s="355">
        <f t="shared" si="18"/>
        <v>0</v>
      </c>
      <c r="J209" s="74">
        <f t="shared" si="19"/>
        <v>0</v>
      </c>
    </row>
    <row r="210" spans="2:10" ht="15">
      <c r="B210" s="298" t="s">
        <v>151</v>
      </c>
      <c r="C210" s="353" t="str">
        <f>VLOOKUP(B210,NodeList!$D$5:$E$73,2,FALSE)</f>
        <v>S Branch Irrigating</v>
      </c>
      <c r="D210" s="135"/>
      <c r="E210" s="135"/>
      <c r="F210" s="135"/>
      <c r="G210" s="354">
        <f>VLOOKUP(B210,'Diversion Data'!$B$7:$P$73,15,FALSE)</f>
        <v>1648.341652892562</v>
      </c>
      <c r="H210" s="354">
        <f t="shared" si="17"/>
        <v>1648.341652892562</v>
      </c>
      <c r="I210" s="355">
        <f t="shared" si="18"/>
        <v>0</v>
      </c>
      <c r="J210" s="74">
        <f t="shared" si="19"/>
        <v>0</v>
      </c>
    </row>
    <row r="211" spans="2:10" ht="15">
      <c r="B211" s="298" t="s">
        <v>312</v>
      </c>
      <c r="C211" s="353" t="str">
        <f>VLOOKUP(B211,NodeList!$D$5:$E$73,2,FALSE)</f>
        <v>AggDiv SF-1</v>
      </c>
      <c r="D211" s="135"/>
      <c r="E211" s="135"/>
      <c r="F211" s="135"/>
      <c r="G211" s="354">
        <f>VLOOKUP(B211,'Diversion Data'!$B$7:$P$73,15,FALSE)</f>
        <v>7356.0549999999985</v>
      </c>
      <c r="H211" s="354">
        <f t="shared" si="17"/>
        <v>7356.0549999999985</v>
      </c>
      <c r="I211" s="355">
        <f t="shared" si="18"/>
        <v>0</v>
      </c>
      <c r="J211" s="74">
        <f t="shared" si="19"/>
        <v>0</v>
      </c>
    </row>
    <row r="212" spans="2:10" ht="15">
      <c r="B212" s="298" t="s">
        <v>127</v>
      </c>
      <c r="C212" s="353" t="str">
        <f>VLOOKUP(B212,NodeList!$D$5:$E$73,2,FALSE)</f>
        <v>AggDiv BR-5</v>
      </c>
      <c r="D212" s="135"/>
      <c r="E212" s="135"/>
      <c r="F212" s="135"/>
      <c r="G212" s="354">
        <f>VLOOKUP(B212,'Diversion Data'!$B$7:$P$73,15,FALSE)</f>
        <v>5627.0337500000014</v>
      </c>
      <c r="H212" s="354">
        <f t="shared" si="17"/>
        <v>5627.0337500000014</v>
      </c>
      <c r="I212" s="355">
        <f t="shared" si="18"/>
        <v>0</v>
      </c>
      <c r="J212" s="74">
        <f t="shared" si="19"/>
        <v>0</v>
      </c>
    </row>
    <row r="213" spans="2:10" ht="15">
      <c r="B213" s="298" t="s">
        <v>145</v>
      </c>
      <c r="C213" s="353" t="str">
        <f>VLOOKUP(B213,NodeList!$D$5:$E$73,2,FALSE)</f>
        <v>Alonzo F. Sights</v>
      </c>
      <c r="D213" s="135"/>
      <c r="E213" s="135"/>
      <c r="F213" s="135"/>
      <c r="G213" s="354">
        <f>VLOOKUP(B213,'Diversion Data'!$B$7:$P$73,15,FALSE)</f>
        <v>1358.2607024793388</v>
      </c>
      <c r="H213" s="354">
        <f t="shared" si="17"/>
        <v>1358.2607024793388</v>
      </c>
      <c r="I213" s="355">
        <f t="shared" si="18"/>
        <v>0</v>
      </c>
      <c r="J213" s="74">
        <f t="shared" si="19"/>
        <v>0</v>
      </c>
    </row>
    <row r="214" spans="2:10" ht="15">
      <c r="B214" s="298" t="s">
        <v>135</v>
      </c>
      <c r="C214" s="353" t="str">
        <f>VLOOKUP(B214,NodeList!$D$5:$E$73,2,FALSE)</f>
        <v>Oscar E. Snyder</v>
      </c>
      <c r="D214" s="135"/>
      <c r="E214" s="135"/>
      <c r="F214" s="135"/>
      <c r="G214" s="354">
        <f>VLOOKUP(B214,'Diversion Data'!$B$7:$P$73,15,FALSE)</f>
        <v>1744.8937809917356</v>
      </c>
      <c r="H214" s="354">
        <f t="shared" si="17"/>
        <v>1744.8937809917356</v>
      </c>
      <c r="I214" s="355">
        <f t="shared" si="18"/>
        <v>0</v>
      </c>
      <c r="J214" s="74">
        <f t="shared" si="19"/>
        <v>0</v>
      </c>
    </row>
    <row r="215" spans="2:10" ht="15">
      <c r="B215" s="298" t="s">
        <v>274</v>
      </c>
      <c r="C215" s="353" t="str">
        <f>VLOOKUP(B215,NodeList!$D$5:$E$73,2,FALSE)</f>
        <v>Cook Brothers</v>
      </c>
      <c r="D215" s="135"/>
      <c r="E215" s="135"/>
      <c r="F215" s="135"/>
      <c r="G215" s="354">
        <f>VLOOKUP(B215,'Diversion Data'!$B$7:$P$73,15,FALSE)</f>
        <v>10177.727944214876</v>
      </c>
      <c r="H215" s="354">
        <f t="shared" si="17"/>
        <v>10177.727944214876</v>
      </c>
      <c r="I215" s="355">
        <f t="shared" si="18"/>
        <v>0</v>
      </c>
      <c r="J215" s="74">
        <f t="shared" si="19"/>
        <v>0</v>
      </c>
    </row>
    <row r="216" spans="2:10" ht="15">
      <c r="B216" s="298" t="s">
        <v>239</v>
      </c>
      <c r="C216" s="353" t="str">
        <f>VLOOKUP(B216,NodeList!$D$5:$E$73,2,FALSE)</f>
        <v>Aggregate Idaho Diversions</v>
      </c>
      <c r="D216" s="135"/>
      <c r="E216" s="135"/>
      <c r="F216" s="135"/>
      <c r="G216" s="354">
        <f>VLOOKUP(B216,'Diversion Data'!$B$7:$P$73,15,FALSE)</f>
        <v>47229.08086622048</v>
      </c>
      <c r="H216" s="354">
        <f t="shared" si="17"/>
        <v>47229.08086622048</v>
      </c>
      <c r="I216" s="355">
        <f t="shared" si="18"/>
        <v>0</v>
      </c>
      <c r="J216" s="74">
        <f t="shared" si="19"/>
        <v>0</v>
      </c>
    </row>
    <row r="217" spans="2:10" ht="15.75" thickBot="1">
      <c r="B217" s="299" t="s">
        <v>240</v>
      </c>
      <c r="C217" s="356" t="str">
        <f>VLOOKUP(B217,NodeList!$D$5:$E$73,2,FALSE)</f>
        <v>Rainbow Inlet</v>
      </c>
      <c r="D217" s="180"/>
      <c r="E217" s="180"/>
      <c r="F217" s="180"/>
      <c r="G217" s="357">
        <f>VLOOKUP(B217,'Diversion Data'!$B$7:$P$73,15,FALSE)</f>
        <v>51426.195813075406</v>
      </c>
      <c r="H217" s="357">
        <f t="shared" si="17"/>
        <v>51417.060866204105</v>
      </c>
      <c r="I217" s="358">
        <f t="shared" si="18"/>
        <v>9.1349468713015085</v>
      </c>
      <c r="J217" s="359">
        <f t="shared" si="19"/>
        <v>1.7763217222026943E-4</v>
      </c>
    </row>
  </sheetData>
  <sheetProtection objects="1" scenarios="1"/>
  <mergeCells count="4">
    <mergeCell ref="G2:R2"/>
    <mergeCell ref="A144:A161"/>
    <mergeCell ref="A171:A187"/>
    <mergeCell ref="J1:N1"/>
  </mergeCells>
  <phoneticPr fontId="0" type="noConversion"/>
  <pageMargins left="0.75" right="0.75" top="1" bottom="1" header="0.5" footer="0.5"/>
  <pageSetup scale="55" fitToHeight="4" orientation="landscape" horizontalDpi="4294967292" verticalDpi="0" r:id="rId1"/>
  <headerFooter alignWithMargins="0">
    <oddHeader>&amp;C&amp;"Arial,Bold"&amp;12Bear River Spreadsheet Model
Dry Year Conditions</oddHeader>
    <oddFooter>&amp;L&amp;F &amp;A&amp;RAPPENDIX A (Page &amp;P of &amp;N)</oddFooter>
  </headerFooter>
  <rowBreaks count="2" manualBreakCount="2">
    <brk id="48" max="16383" man="1"/>
    <brk id="105" max="16383" man="1"/>
  </rowBreaks>
  <legacyDrawing r:id="rId2"/>
</worksheet>
</file>

<file path=xl/worksheets/sheet27.xml><?xml version="1.0" encoding="utf-8"?>
<worksheet xmlns="http://schemas.openxmlformats.org/spreadsheetml/2006/main" xmlns:r="http://schemas.openxmlformats.org/officeDocument/2006/relationships">
  <sheetPr codeName="Sheet27">
    <pageSetUpPr autoPageBreaks="0"/>
  </sheetPr>
  <dimension ref="B2:S38"/>
  <sheetViews>
    <sheetView showGridLines="0" showRowColHeaders="0" zoomScale="75" zoomScaleNormal="75" workbookViewId="0">
      <selection activeCell="F21" sqref="F21"/>
    </sheetView>
  </sheetViews>
  <sheetFormatPr defaultRowHeight="12.75"/>
  <cols>
    <col min="2" max="2" width="36" customWidth="1"/>
    <col min="4" max="4" width="10" bestFit="1" customWidth="1"/>
  </cols>
  <sheetData>
    <row r="2" spans="2:19" ht="26.25">
      <c r="H2" s="674"/>
      <c r="I2" s="674"/>
      <c r="J2" s="674"/>
      <c r="K2" s="674"/>
      <c r="L2" s="674"/>
    </row>
    <row r="3" spans="2:19">
      <c r="H3" s="420"/>
      <c r="I3" s="420"/>
      <c r="J3" s="420"/>
      <c r="K3" s="420"/>
      <c r="L3" s="420"/>
      <c r="M3" s="420"/>
      <c r="N3" s="420"/>
      <c r="O3" s="420"/>
      <c r="P3" s="420"/>
      <c r="Q3" s="420"/>
      <c r="R3" s="420"/>
      <c r="S3" s="420"/>
    </row>
    <row r="4" spans="2:19" ht="18">
      <c r="F4" s="369" t="s">
        <v>552</v>
      </c>
    </row>
    <row r="5" spans="2:19" ht="18">
      <c r="D5" s="279"/>
      <c r="E5" s="279"/>
      <c r="F5" s="369" t="s">
        <v>478</v>
      </c>
      <c r="G5" s="279"/>
      <c r="H5" s="279"/>
    </row>
    <row r="6" spans="2:19" ht="18">
      <c r="D6" s="279"/>
      <c r="E6" s="279"/>
      <c r="F6" s="370" t="s">
        <v>491</v>
      </c>
      <c r="G6" s="279"/>
      <c r="H6" s="279"/>
    </row>
    <row r="8" spans="2:19">
      <c r="C8" s="599" t="s">
        <v>4</v>
      </c>
      <c r="D8" s="600" t="s">
        <v>5</v>
      </c>
      <c r="E8" s="600" t="s">
        <v>6</v>
      </c>
      <c r="F8" s="600" t="s">
        <v>7</v>
      </c>
      <c r="G8" s="600" t="s">
        <v>8</v>
      </c>
      <c r="H8" s="600"/>
      <c r="I8" s="600"/>
      <c r="J8" s="600"/>
      <c r="K8" s="600"/>
      <c r="L8" s="601"/>
    </row>
    <row r="9" spans="2:19">
      <c r="B9" s="438"/>
      <c r="C9" s="602">
        <f>'Diversion Data'!H5+'Diversion Data'!H6</f>
        <v>181.85872285578509</v>
      </c>
      <c r="D9" s="602">
        <f>'Diversion Data'!I5+'Diversion Data'!I6</f>
        <v>453.21207917128095</v>
      </c>
      <c r="E9" s="602">
        <f>'Diversion Data'!J5+'Diversion Data'!J6</f>
        <v>402.78051098780986</v>
      </c>
      <c r="F9" s="602">
        <f>'Diversion Data'!K5+'Diversion Data'!K6</f>
        <v>182.65056997541322</v>
      </c>
      <c r="G9" s="602">
        <f>'Diversion Data'!L5+'Diversion Data'!L6</f>
        <v>69.69878869018595</v>
      </c>
      <c r="H9" s="135" t="s">
        <v>560</v>
      </c>
      <c r="I9" s="135"/>
      <c r="J9" s="135"/>
      <c r="K9" s="603" t="s">
        <v>572</v>
      </c>
      <c r="L9" s="604"/>
    </row>
    <row r="10" spans="2:19">
      <c r="C10" s="373"/>
      <c r="D10" s="135"/>
      <c r="E10" s="135"/>
      <c r="F10" s="135"/>
      <c r="G10" s="135"/>
      <c r="H10" s="135"/>
      <c r="I10" s="135"/>
      <c r="J10" s="135"/>
      <c r="K10" s="135"/>
      <c r="L10" s="604"/>
    </row>
    <row r="11" spans="2:19">
      <c r="C11" s="605">
        <f>+'Diversion Summary'!I149+'Diversion Summary'!I150+'Diversion Summary'!I151+'Diversion Summary'!I152+'Diversion Summary'!I153</f>
        <v>14695.82506789115</v>
      </c>
      <c r="D11" s="605">
        <f>+'Diversion Summary'!J149+'Diversion Summary'!J150+'Diversion Summary'!J151+'Diversion Summary'!J152+'Diversion Summary'!J153</f>
        <v>19922.822792274725</v>
      </c>
      <c r="E11" s="605">
        <f>+'Diversion Summary'!K149+'Diversion Summary'!K150+'Diversion Summary'!K151+'Diversion Summary'!K152+'Diversion Summary'!K153</f>
        <v>12149.009396027463</v>
      </c>
      <c r="F11" s="605">
        <f>+'Diversion Summary'!L149+'Diversion Summary'!L150+'Diversion Summary'!L151+'Diversion Summary'!L152+'Diversion Summary'!L153</f>
        <v>5059.5637188609508</v>
      </c>
      <c r="G11" s="605">
        <f>+'Diversion Summary'!M149+'Diversion Summary'!M150+'Diversion Summary'!M151+'Diversion Summary'!M152+'Diversion Summary'!M153</f>
        <v>3241.5536453560949</v>
      </c>
      <c r="H11" s="135" t="s">
        <v>490</v>
      </c>
      <c r="I11" s="135"/>
      <c r="J11" s="135"/>
      <c r="K11" s="135"/>
      <c r="L11" s="604"/>
    </row>
    <row r="12" spans="2:19">
      <c r="C12" s="373"/>
      <c r="D12" s="135"/>
      <c r="E12" s="135"/>
      <c r="F12" s="135"/>
      <c r="G12" s="135"/>
      <c r="H12" s="135"/>
      <c r="I12" s="135"/>
      <c r="J12" s="135"/>
      <c r="K12" s="135"/>
      <c r="L12" s="604"/>
    </row>
    <row r="13" spans="2:19">
      <c r="C13" s="606">
        <f>+'Reach 6'!H29</f>
        <v>-5118.8716302601388</v>
      </c>
      <c r="D13" s="606">
        <f>+'Reach 6'!I29</f>
        <v>-25424.546353131969</v>
      </c>
      <c r="E13" s="606">
        <f>+'Reach 6'!J29</f>
        <v>-1658.2068381594399</v>
      </c>
      <c r="F13" s="606">
        <f>+'Reach 6'!K29</f>
        <v>0</v>
      </c>
      <c r="G13" s="606">
        <f>+'Reach 6'!L29</f>
        <v>0</v>
      </c>
      <c r="H13" s="135" t="s">
        <v>553</v>
      </c>
      <c r="I13" s="135"/>
      <c r="J13" s="135"/>
      <c r="K13" s="135"/>
      <c r="L13" s="604"/>
    </row>
    <row r="14" spans="2:19">
      <c r="C14" s="373"/>
      <c r="D14" s="135"/>
      <c r="E14" s="135"/>
      <c r="F14" s="135"/>
      <c r="G14" s="135"/>
      <c r="H14" s="135"/>
      <c r="I14" s="135"/>
      <c r="J14" s="135"/>
      <c r="K14" s="135"/>
      <c r="L14" s="604"/>
    </row>
    <row r="15" spans="2:19">
      <c r="C15" s="605">
        <f>+'Diversion Summary'!I155</f>
        <v>23368.881038089417</v>
      </c>
      <c r="D15" s="605">
        <f>+'Diversion Summary'!J155</f>
        <v>49878.559548698715</v>
      </c>
      <c r="E15" s="605">
        <f>+'Diversion Summary'!K155</f>
        <v>10115.987733244052</v>
      </c>
      <c r="F15" s="605">
        <f>+'Diversion Summary'!L155</f>
        <v>2495.9063840378626</v>
      </c>
      <c r="G15" s="605">
        <f>+'Diversion Summary'!M155</f>
        <v>2241.848892787144</v>
      </c>
      <c r="H15" s="135" t="s">
        <v>479</v>
      </c>
      <c r="I15" s="135"/>
      <c r="J15" s="135"/>
      <c r="K15" s="135"/>
      <c r="L15" s="604"/>
    </row>
    <row r="16" spans="2:19">
      <c r="C16" s="373"/>
      <c r="D16" s="135"/>
      <c r="E16" s="135"/>
      <c r="F16" s="135"/>
      <c r="G16" s="135"/>
      <c r="H16" s="135"/>
      <c r="I16" s="135"/>
      <c r="J16" s="135"/>
      <c r="K16" s="135"/>
      <c r="L16" s="604"/>
    </row>
    <row r="17" spans="2:12">
      <c r="C17" s="605">
        <f>+'Diversion Summary'!I156</f>
        <v>2985.8911908185228</v>
      </c>
      <c r="D17" s="605">
        <f>+'Diversion Summary'!J156</f>
        <v>10360.615445869164</v>
      </c>
      <c r="E17" s="605">
        <f>+'Diversion Summary'!K156</f>
        <v>3094.2068273492559</v>
      </c>
      <c r="F17" s="605">
        <f>+'Diversion Summary'!L156</f>
        <v>194.16520827272728</v>
      </c>
      <c r="G17" s="605">
        <f>+'Diversion Summary'!M156</f>
        <v>115.06689133471075</v>
      </c>
      <c r="H17" s="135" t="s">
        <v>480</v>
      </c>
      <c r="I17" s="135"/>
      <c r="J17" s="135"/>
      <c r="K17" s="135"/>
      <c r="L17" s="604"/>
    </row>
    <row r="18" spans="2:12">
      <c r="C18" s="373"/>
      <c r="D18" s="135"/>
      <c r="E18" s="135"/>
      <c r="F18" s="135"/>
      <c r="G18" s="135"/>
      <c r="H18" s="135"/>
      <c r="I18" s="135"/>
      <c r="J18" s="135"/>
      <c r="K18" s="135"/>
      <c r="L18" s="604"/>
    </row>
    <row r="19" spans="2:12">
      <c r="C19" s="605">
        <f>+'Outflow Summary'!H77</f>
        <v>5816.206257378979</v>
      </c>
      <c r="D19" s="605">
        <f>+'Outflow Summary'!I77</f>
        <v>7578.876033057848</v>
      </c>
      <c r="E19" s="605">
        <f>+'Outflow Summary'!J77</f>
        <v>2852.0032872711981</v>
      </c>
      <c r="F19" s="605">
        <f>+'Outflow Summary'!K77</f>
        <v>1808.8119454384778</v>
      </c>
      <c r="G19" s="605">
        <f>+'Outflow Summary'!L77</f>
        <v>1055.7981074647159</v>
      </c>
      <c r="H19" s="135" t="s">
        <v>481</v>
      </c>
      <c r="I19" s="135"/>
      <c r="J19" s="135"/>
      <c r="K19" s="135"/>
      <c r="L19" s="604"/>
    </row>
    <row r="20" spans="2:12">
      <c r="C20" s="373"/>
      <c r="D20" s="135"/>
      <c r="E20" s="135"/>
      <c r="F20" s="135"/>
      <c r="G20" s="135"/>
      <c r="H20" s="135"/>
      <c r="I20" s="135"/>
      <c r="J20" s="135"/>
      <c r="K20" s="135"/>
      <c r="L20" s="604"/>
    </row>
    <row r="21" spans="2:12">
      <c r="C21" s="607">
        <f>SUM(C9:C19)</f>
        <v>41929.790646773719</v>
      </c>
      <c r="D21" s="607">
        <f>SUM(D9:D19)</f>
        <v>62769.53954593977</v>
      </c>
      <c r="E21" s="607">
        <f>SUM(E9:E19)</f>
        <v>26955.780916720338</v>
      </c>
      <c r="F21" s="607">
        <f>SUM(F9:F19)</f>
        <v>9741.0978265854319</v>
      </c>
      <c r="G21" s="607">
        <f>SUM(G9:G19)</f>
        <v>6723.9663256328513</v>
      </c>
      <c r="H21" s="608" t="s">
        <v>489</v>
      </c>
      <c r="I21" s="135"/>
      <c r="J21" s="135"/>
      <c r="K21" s="135"/>
      <c r="L21" s="604"/>
    </row>
    <row r="22" spans="2:12">
      <c r="C22" s="607">
        <f>+C21*43560/60/60/24/31</f>
        <v>681.92267046500274</v>
      </c>
      <c r="D22" s="607">
        <f>+D21*43560/60/60/24/30</f>
        <v>1054.8769840359323</v>
      </c>
      <c r="E22" s="607">
        <f>+E21*43560/60/60/24/31</f>
        <v>438.39374877999472</v>
      </c>
      <c r="F22" s="607">
        <f>+F21*43560/60/60/24/31</f>
        <v>158.42376841624159</v>
      </c>
      <c r="G22" s="607">
        <f>+G21*43560/60/60/24/30</f>
        <v>112.99998963910765</v>
      </c>
      <c r="H22" s="609" t="s">
        <v>474</v>
      </c>
      <c r="I22" s="135"/>
      <c r="J22" s="135"/>
      <c r="K22" s="135"/>
      <c r="L22" s="604"/>
    </row>
    <row r="23" spans="2:12">
      <c r="B23" s="688" t="s">
        <v>492</v>
      </c>
      <c r="C23" s="610"/>
      <c r="D23" s="611"/>
      <c r="E23" s="611"/>
      <c r="F23" s="611"/>
      <c r="G23" s="611"/>
      <c r="H23" s="135"/>
      <c r="I23" s="135"/>
      <c r="J23" s="135"/>
      <c r="K23" s="135"/>
      <c r="L23" s="604"/>
    </row>
    <row r="24" spans="2:12" ht="12.75" customHeight="1">
      <c r="B24" s="688"/>
      <c r="C24" s="612" t="str">
        <f>IF(C22&gt;=1250,"No W.E.","")</f>
        <v/>
      </c>
      <c r="D24" s="613" t="str">
        <f>IF(D22&gt;=1250,"No W.E.","")</f>
        <v/>
      </c>
      <c r="E24" s="613" t="str">
        <f>IF(E22&gt;=1250,"No W.E.","")</f>
        <v/>
      </c>
      <c r="F24" s="613" t="str">
        <f>IF(F22&gt;=1250,"No W.E.","")</f>
        <v/>
      </c>
      <c r="G24" s="613" t="str">
        <f>IF(G22&gt;=1250,"No W.E.","")</f>
        <v/>
      </c>
      <c r="H24" s="135"/>
      <c r="I24" s="135"/>
      <c r="J24" s="135"/>
      <c r="K24" s="135"/>
      <c r="L24" s="604"/>
    </row>
    <row r="25" spans="2:12" ht="16.5" customHeight="1">
      <c r="B25" s="688"/>
      <c r="C25" s="614" t="str">
        <f>IF(C22&lt;1250,"W.E.","")</f>
        <v>W.E.</v>
      </c>
      <c r="D25" s="615" t="str">
        <f>IF(D22&lt;1250,"W.E.","")</f>
        <v>W.E.</v>
      </c>
      <c r="E25" s="615" t="str">
        <f>IF(E22&lt;1250,"W.E.","")</f>
        <v>W.E.</v>
      </c>
      <c r="F25" s="615" t="str">
        <f>IF(F22&lt;1250,"W.E.","")</f>
        <v>W.E.</v>
      </c>
      <c r="G25" s="615" t="str">
        <f>IF(G22&lt;1250,"W.E.","")</f>
        <v>W.E.</v>
      </c>
      <c r="H25" s="135"/>
      <c r="I25" s="135"/>
      <c r="J25" s="135"/>
      <c r="K25" s="135"/>
      <c r="L25" s="604"/>
    </row>
    <row r="26" spans="2:12">
      <c r="C26" s="607">
        <f>IF(C$22&lt;1250,C$21*0.006,"")</f>
        <v>251.57874388064232</v>
      </c>
      <c r="D26" s="607">
        <f>IF(D$22&lt;1250,D$21*0.006,"")</f>
        <v>376.61723727563862</v>
      </c>
      <c r="E26" s="607">
        <f>IF(E$22&lt;1250,E$21*0.006,"")</f>
        <v>161.73468550032203</v>
      </c>
      <c r="F26" s="607">
        <f>IF(F$22&lt;1250,F$21*0.006,"")</f>
        <v>58.446586959512594</v>
      </c>
      <c r="G26" s="607">
        <f>IF(G$22&lt;1250,G$21*0.006,"")</f>
        <v>40.343797953797107</v>
      </c>
      <c r="H26" s="135" t="s">
        <v>482</v>
      </c>
      <c r="I26" s="135"/>
      <c r="J26" s="135"/>
      <c r="K26" s="135"/>
      <c r="L26" s="604"/>
    </row>
    <row r="27" spans="2:12">
      <c r="C27" s="616"/>
      <c r="D27" s="617"/>
      <c r="E27" s="617"/>
      <c r="F27" s="617"/>
      <c r="G27" s="617"/>
      <c r="H27" s="135"/>
      <c r="I27" s="135"/>
      <c r="J27" s="135"/>
      <c r="K27" s="135"/>
      <c r="L27" s="604"/>
    </row>
    <row r="28" spans="2:12">
      <c r="C28" s="607">
        <f>IF(C$22&lt;1250,C$21*0.493,"")</f>
        <v>20671.386788859443</v>
      </c>
      <c r="D28" s="607">
        <f>IF(D$22&lt;1250,D$21*0.493,"")</f>
        <v>30945.382996148306</v>
      </c>
      <c r="E28" s="607">
        <f>IF(E$22&lt;1250,E$21*0.493,"")</f>
        <v>13289.199991943125</v>
      </c>
      <c r="F28" s="607">
        <f>IF(F$22&lt;1250,F$21*0.493,"")</f>
        <v>4802.3612285066183</v>
      </c>
      <c r="G28" s="607">
        <f>IF(G$22&lt;1250,G$21*0.493,"")</f>
        <v>3314.9153985369958</v>
      </c>
      <c r="H28" s="135" t="s">
        <v>483</v>
      </c>
      <c r="I28" s="135"/>
      <c r="J28" s="135"/>
      <c r="K28" s="135"/>
      <c r="L28" s="604"/>
    </row>
    <row r="29" spans="2:12">
      <c r="C29" s="616"/>
      <c r="D29" s="617"/>
      <c r="E29" s="617"/>
      <c r="F29" s="617"/>
      <c r="G29" s="617"/>
      <c r="H29" s="135"/>
      <c r="I29" s="135"/>
      <c r="J29" s="135"/>
      <c r="K29" s="135"/>
      <c r="L29" s="604"/>
    </row>
    <row r="30" spans="2:12">
      <c r="C30" s="607">
        <f>IF(C$22&lt;1250,C$21*0.405,"")</f>
        <v>16981.565211943358</v>
      </c>
      <c r="D30" s="607">
        <f>IF(D$22&lt;1250,D$21*0.405,"")</f>
        <v>25421.663516105607</v>
      </c>
      <c r="E30" s="607">
        <f>IF(E$22&lt;1250,E$21*0.405,"")</f>
        <v>10917.091271271738</v>
      </c>
      <c r="F30" s="607">
        <f>IF(F$22&lt;1250,F$21*0.405,"")</f>
        <v>3945.1446197671003</v>
      </c>
      <c r="G30" s="607">
        <f>IF(G$22&lt;1250,G$21*0.405,"")</f>
        <v>2723.2063618813049</v>
      </c>
      <c r="H30" s="135" t="s">
        <v>484</v>
      </c>
      <c r="I30" s="135"/>
      <c r="J30" s="135"/>
      <c r="K30" s="135"/>
      <c r="L30" s="604"/>
    </row>
    <row r="31" spans="2:12">
      <c r="C31" s="616"/>
      <c r="D31" s="617"/>
      <c r="E31" s="617"/>
      <c r="F31" s="617"/>
      <c r="G31" s="617"/>
      <c r="H31" s="135"/>
      <c r="I31" s="135"/>
      <c r="J31" s="135"/>
      <c r="K31" s="135"/>
      <c r="L31" s="604"/>
    </row>
    <row r="32" spans="2:12">
      <c r="C32" s="607">
        <f>IF(C$22&lt;1250,C$21*0.096,"")</f>
        <v>4025.2599020902771</v>
      </c>
      <c r="D32" s="607">
        <f>IF(D$22&lt;1250,D$21*0.096,"")</f>
        <v>6025.8757964102178</v>
      </c>
      <c r="E32" s="607">
        <f>IF(E$22&lt;1250,E$21*0.096,"")</f>
        <v>2587.7549680051525</v>
      </c>
      <c r="F32" s="607">
        <f>IF(F$22&lt;1250,F$21*0.096,"")</f>
        <v>935.1453913522015</v>
      </c>
      <c r="G32" s="607">
        <f>IF(G$22&lt;1250,G$21*0.096,"")</f>
        <v>645.50076726075372</v>
      </c>
      <c r="H32" s="135" t="s">
        <v>485</v>
      </c>
      <c r="I32" s="135"/>
      <c r="J32" s="135"/>
      <c r="K32" s="135"/>
      <c r="L32" s="604"/>
    </row>
    <row r="33" spans="3:12">
      <c r="C33" s="373"/>
      <c r="D33" s="135"/>
      <c r="E33" s="135"/>
      <c r="F33" s="135"/>
      <c r="G33" s="135"/>
      <c r="H33" s="135"/>
      <c r="I33" s="135"/>
      <c r="J33" s="135"/>
      <c r="K33" s="135"/>
      <c r="L33" s="604"/>
    </row>
    <row r="34" spans="3:12">
      <c r="C34" s="373" t="s">
        <v>549</v>
      </c>
      <c r="D34" s="135" t="s">
        <v>550</v>
      </c>
      <c r="E34" s="135"/>
      <c r="F34" s="135"/>
      <c r="G34" s="135"/>
      <c r="H34" s="135"/>
      <c r="I34" s="135"/>
      <c r="J34" s="135"/>
      <c r="K34" s="135"/>
      <c r="L34" s="604"/>
    </row>
    <row r="35" spans="3:12">
      <c r="C35" s="373"/>
      <c r="D35" s="135" t="s">
        <v>551</v>
      </c>
      <c r="E35" s="135"/>
      <c r="F35" s="135"/>
      <c r="G35" s="135"/>
      <c r="H35" s="135"/>
      <c r="I35" s="135"/>
      <c r="J35" s="135"/>
      <c r="K35" s="135"/>
      <c r="L35" s="604"/>
    </row>
    <row r="36" spans="3:12">
      <c r="C36" s="618" t="s">
        <v>492</v>
      </c>
      <c r="D36" s="294"/>
      <c r="E36" s="294"/>
      <c r="F36" s="294"/>
      <c r="G36" s="294"/>
      <c r="H36" s="294"/>
      <c r="I36" s="294"/>
      <c r="J36" s="294"/>
      <c r="K36" s="294"/>
      <c r="L36" s="619"/>
    </row>
    <row r="37" spans="3:12">
      <c r="C37" s="596"/>
    </row>
    <row r="38" spans="3:12">
      <c r="C38" s="596"/>
    </row>
  </sheetData>
  <sheetProtection objects="1" scenarios="1"/>
  <mergeCells count="2">
    <mergeCell ref="B23:B25"/>
    <mergeCell ref="H2:L2"/>
  </mergeCells>
  <phoneticPr fontId="0" type="noConversion"/>
  <pageMargins left="0.75" right="0.75" top="1" bottom="1" header="0.5" footer="0.5"/>
  <pageSetup scale="65" orientation="landscape" horizontalDpi="4294967292" r:id="rId1"/>
  <headerFooter alignWithMargins="0">
    <oddHeader>&amp;C&amp;"Arial,Bold"&amp;12Bear River Spreadsheet Model
Dry Year Conditions</oddHeader>
    <oddFooter>&amp;L&amp;F &amp;A&amp;RAPPENDIX A (Page &amp;P of &amp;N)</oddFooter>
  </headerFooter>
  <legacyDrawing r:id="rId2"/>
</worksheet>
</file>

<file path=xl/worksheets/sheet28.xml><?xml version="1.0" encoding="utf-8"?>
<worksheet xmlns="http://schemas.openxmlformats.org/spreadsheetml/2006/main" xmlns:r="http://schemas.openxmlformats.org/officeDocument/2006/relationships">
  <sheetPr codeName="Sheet28">
    <pageSetUpPr autoPageBreaks="0"/>
  </sheetPr>
  <dimension ref="A3:S28"/>
  <sheetViews>
    <sheetView showGridLines="0" showRowColHeaders="0" zoomScale="75" zoomScaleNormal="75" workbookViewId="0">
      <selection activeCell="P32" sqref="P32"/>
    </sheetView>
  </sheetViews>
  <sheetFormatPr defaultRowHeight="12.75"/>
  <cols>
    <col min="1" max="1" width="43.28515625" bestFit="1" customWidth="1"/>
    <col min="2" max="2" width="11.7109375" bestFit="1" customWidth="1"/>
    <col min="3" max="3" width="10.140625" customWidth="1"/>
    <col min="4" max="4" width="9" customWidth="1"/>
  </cols>
  <sheetData>
    <row r="3" spans="2:19" ht="26.25">
      <c r="G3" s="674"/>
      <c r="H3" s="674"/>
      <c r="I3" s="674"/>
      <c r="J3" s="674"/>
      <c r="K3" s="674"/>
      <c r="L3" s="420"/>
      <c r="M3" s="420"/>
      <c r="N3" s="420"/>
      <c r="O3" s="420"/>
      <c r="P3" s="420"/>
      <c r="Q3" s="420"/>
      <c r="R3" s="420"/>
      <c r="S3" s="420"/>
    </row>
    <row r="4" spans="2:19" ht="18">
      <c r="B4" s="369" t="s">
        <v>552</v>
      </c>
    </row>
    <row r="5" spans="2:19" ht="18">
      <c r="B5" s="369" t="s">
        <v>478</v>
      </c>
      <c r="C5" s="369"/>
      <c r="D5" s="369"/>
      <c r="E5" s="369"/>
      <c r="F5" s="369"/>
    </row>
    <row r="6" spans="2:19" ht="18">
      <c r="B6" s="370" t="s">
        <v>469</v>
      </c>
      <c r="C6" s="371"/>
      <c r="D6" s="371"/>
      <c r="E6" s="371"/>
      <c r="F6" s="371"/>
    </row>
    <row r="8" spans="2:19" ht="15">
      <c r="B8" s="620" t="s">
        <v>4</v>
      </c>
      <c r="C8" s="621" t="s">
        <v>5</v>
      </c>
      <c r="D8" s="621" t="s">
        <v>6</v>
      </c>
      <c r="E8" s="621" t="s">
        <v>7</v>
      </c>
      <c r="F8" s="621" t="s">
        <v>8</v>
      </c>
      <c r="G8" s="600"/>
      <c r="H8" s="600"/>
      <c r="I8" s="600"/>
      <c r="J8" s="600"/>
      <c r="K8" s="601"/>
    </row>
    <row r="9" spans="2:19">
      <c r="B9" s="622">
        <f>+'Diversion Summary'!I157+'Diversion Summary'!I158+'Diversion Summary'!I159</f>
        <v>10392.280030991737</v>
      </c>
      <c r="C9" s="622">
        <f>+'Diversion Summary'!J157+'Diversion Summary'!J158+'Diversion Summary'!J159</f>
        <v>16621.5825</v>
      </c>
      <c r="D9" s="622">
        <f>+'Diversion Summary'!K157+'Diversion Summary'!K158+'Diversion Summary'!K159</f>
        <v>13685.435185950413</v>
      </c>
      <c r="E9" s="622">
        <f>+'Diversion Summary'!L157+'Diversion Summary'!L158+'Diversion Summary'!L159</f>
        <v>7507.2255061983469</v>
      </c>
      <c r="F9" s="622">
        <f>+'Diversion Summary'!M157+'Diversion Summary'!M158+'Diversion Summary'!M159</f>
        <v>4122.5817045454542</v>
      </c>
      <c r="G9" s="623" t="s">
        <v>470</v>
      </c>
      <c r="H9" s="135"/>
      <c r="I9" s="135"/>
      <c r="J9" s="135"/>
      <c r="K9" s="604"/>
    </row>
    <row r="10" spans="2:19">
      <c r="B10" s="624"/>
      <c r="C10" s="366"/>
      <c r="D10" s="366"/>
      <c r="E10" s="366"/>
      <c r="F10" s="366"/>
      <c r="G10" s="623"/>
      <c r="H10" s="135"/>
      <c r="I10" s="135"/>
      <c r="J10" s="135"/>
      <c r="K10" s="604"/>
    </row>
    <row r="11" spans="2:19">
      <c r="B11" s="622">
        <f>+'Reach 12'!H39</f>
        <v>14147.079487965479</v>
      </c>
      <c r="C11" s="622">
        <f>+'Reach 12'!I39</f>
        <v>15309.143528959559</v>
      </c>
      <c r="D11" s="622">
        <f>+'Reach 12'!J39</f>
        <v>8206.3481871249023</v>
      </c>
      <c r="E11" s="622">
        <f>+'Reach 12'!K39</f>
        <v>5182.5511755494081</v>
      </c>
      <c r="F11" s="622">
        <f>+'Reach 12'!L39</f>
        <v>4383.958486621128</v>
      </c>
      <c r="G11" s="623" t="s">
        <v>471</v>
      </c>
      <c r="H11" s="135"/>
      <c r="I11" s="135"/>
      <c r="J11" s="135"/>
      <c r="K11" s="604"/>
    </row>
    <row r="12" spans="2:19">
      <c r="B12" s="624"/>
      <c r="C12" s="366"/>
      <c r="D12" s="366"/>
      <c r="E12" s="366"/>
      <c r="F12" s="366"/>
      <c r="G12" s="623"/>
      <c r="H12" s="135"/>
      <c r="I12" s="135"/>
      <c r="J12" s="135"/>
      <c r="K12" s="604"/>
    </row>
    <row r="13" spans="2:19">
      <c r="B13" s="625">
        <f>+'Diversion Summary'!I121+'Reach 12'!H67</f>
        <v>6876.9525728924173</v>
      </c>
      <c r="C13" s="625">
        <f>+'Diversion Summary'!J121+'Reach 12'!I67</f>
        <v>7768.2277365423415</v>
      </c>
      <c r="D13" s="625">
        <f>+'Diversion Summary'!K121+'Reach 12'!J67</f>
        <v>2954.4730955325613</v>
      </c>
      <c r="E13" s="625">
        <f>+'Diversion Summary'!L121+'Reach 12'!K67</f>
        <v>2159.4526824612021</v>
      </c>
      <c r="F13" s="625">
        <f>+'Diversion Summary'!M121+'Reach 12'!L67</f>
        <v>1701.3769830452934</v>
      </c>
      <c r="G13" s="689" t="s">
        <v>561</v>
      </c>
      <c r="H13" s="689"/>
      <c r="I13" s="689"/>
      <c r="J13" s="689"/>
      <c r="K13" s="690"/>
    </row>
    <row r="14" spans="2:19">
      <c r="B14" s="626"/>
      <c r="C14" s="502"/>
      <c r="D14" s="502"/>
      <c r="E14" s="502"/>
      <c r="F14" s="502"/>
      <c r="G14" s="689"/>
      <c r="H14" s="689"/>
      <c r="I14" s="689"/>
      <c r="J14" s="689"/>
      <c r="K14" s="690"/>
    </row>
    <row r="15" spans="2:19">
      <c r="B15" s="627"/>
      <c r="C15" s="628"/>
      <c r="D15" s="628"/>
      <c r="E15" s="628"/>
      <c r="F15" s="628"/>
      <c r="G15" s="623"/>
      <c r="H15" s="135"/>
      <c r="I15" s="135"/>
      <c r="J15" s="135"/>
      <c r="K15" s="604"/>
    </row>
    <row r="16" spans="2:19">
      <c r="B16" s="629">
        <f>SUM(B9:B13)</f>
        <v>31416.312091849632</v>
      </c>
      <c r="C16" s="629">
        <f>SUM(C9:C13)</f>
        <v>39698.953765501901</v>
      </c>
      <c r="D16" s="629">
        <f>SUM(D9:D13)</f>
        <v>24846.256468607877</v>
      </c>
      <c r="E16" s="629">
        <f>SUM(E9:E13)</f>
        <v>14849.229364208957</v>
      </c>
      <c r="F16" s="629">
        <f>SUM(F9:F13)</f>
        <v>10207.917174211876</v>
      </c>
      <c r="G16" s="623" t="s">
        <v>473</v>
      </c>
      <c r="H16" s="135"/>
      <c r="I16" s="135"/>
      <c r="J16" s="135"/>
      <c r="K16" s="604"/>
    </row>
    <row r="17" spans="1:11">
      <c r="B17" s="419">
        <f>+B16*43560/60/60/24/31</f>
        <v>510.93733375185553</v>
      </c>
      <c r="C17" s="419">
        <f>+C16*43560/60/60/24/30</f>
        <v>667.1629730035736</v>
      </c>
      <c r="D17" s="419">
        <f>+D16*43560/60/60/24/31</f>
        <v>404.08562267493994</v>
      </c>
      <c r="E17" s="419">
        <f>+E16*43560/60/60/24/30</f>
        <v>249.54954903740051</v>
      </c>
      <c r="F17" s="419">
        <f>+F16*43560/60/60/24/30</f>
        <v>171.54971917772735</v>
      </c>
      <c r="G17" s="623" t="s">
        <v>474</v>
      </c>
      <c r="H17" s="135"/>
      <c r="I17" s="135"/>
      <c r="J17" s="135"/>
      <c r="K17" s="604"/>
    </row>
    <row r="18" spans="1:11" ht="25.5">
      <c r="A18" s="365" t="s">
        <v>494</v>
      </c>
      <c r="B18" s="367" t="str">
        <f>IF(B17&lt;870,"W.E.","")</f>
        <v>W.E.</v>
      </c>
      <c r="C18" s="367" t="str">
        <f>IF(C17&lt;870,"W.E.","")</f>
        <v>W.E.</v>
      </c>
      <c r="D18" s="367" t="str">
        <f>IF(D17&lt;870,"W.E.","")</f>
        <v>W.E.</v>
      </c>
      <c r="E18" s="367" t="str">
        <f>IF(E17&lt;870,"W.E.","")</f>
        <v>W.E.</v>
      </c>
      <c r="F18" s="367" t="str">
        <f>IF(F17&lt;870,"W.E.","")</f>
        <v>W.E.</v>
      </c>
      <c r="G18" s="623"/>
      <c r="H18" s="135"/>
      <c r="I18" s="135"/>
      <c r="J18" s="135"/>
      <c r="K18" s="604"/>
    </row>
    <row r="19" spans="1:11">
      <c r="B19" s="630"/>
      <c r="C19" s="631"/>
      <c r="D19" s="631"/>
      <c r="E19" s="631"/>
      <c r="F19" s="631"/>
      <c r="G19" s="623"/>
      <c r="H19" s="135"/>
      <c r="I19" s="135"/>
      <c r="J19" s="135"/>
      <c r="K19" s="604"/>
    </row>
    <row r="20" spans="1:11">
      <c r="A20" s="237" t="s">
        <v>472</v>
      </c>
      <c r="B20" s="632">
        <f>+'Reach 12'!H6</f>
        <v>17396.858323494693</v>
      </c>
      <c r="C20" s="632">
        <f>+'Reach 12'!I6</f>
        <v>19214.462809917342</v>
      </c>
      <c r="D20" s="632">
        <f>+'Reach 12'!J6</f>
        <v>9356.5462624778083</v>
      </c>
      <c r="E20" s="632">
        <f>+'Reach 12'!K6</f>
        <v>5474.5568214715331</v>
      </c>
      <c r="F20" s="632">
        <f>+'Reach 12'!L6</f>
        <v>4159.7344711010792</v>
      </c>
      <c r="G20" s="623" t="s">
        <v>562</v>
      </c>
      <c r="H20" s="135"/>
      <c r="I20" s="135"/>
      <c r="J20" s="135"/>
      <c r="K20" s="604"/>
    </row>
    <row r="21" spans="1:11">
      <c r="B21" s="419">
        <f>+B20*43560/60/60/24/30</f>
        <v>292.36386904761912</v>
      </c>
      <c r="C21" s="419">
        <f>+C20*43560/60/60/24/30</f>
        <v>322.909722222222</v>
      </c>
      <c r="D21" s="419">
        <f>+D20*43560/60/60/24/31</f>
        <v>152.16963679567405</v>
      </c>
      <c r="E21" s="419">
        <f>+E20*43560/60/60/24/30</f>
        <v>92.002968805285491</v>
      </c>
      <c r="F21" s="419">
        <f>+F20*43560/60/60/24/30</f>
        <v>69.906648750448696</v>
      </c>
      <c r="G21" s="623" t="s">
        <v>474</v>
      </c>
      <c r="H21" s="135"/>
      <c r="I21" s="135"/>
      <c r="J21" s="135"/>
      <c r="K21" s="604"/>
    </row>
    <row r="22" spans="1:11" ht="25.5">
      <c r="A22" s="365" t="s">
        <v>493</v>
      </c>
      <c r="B22" s="367" t="str">
        <f>IF(B21&lt;350,"W.E.","")</f>
        <v>W.E.</v>
      </c>
      <c r="C22" s="367" t="str">
        <f>IF(C21&lt;350,"W.E.","")</f>
        <v>W.E.</v>
      </c>
      <c r="D22" s="367" t="str">
        <f>IF(D21&lt;350,"W.E.","")</f>
        <v>W.E.</v>
      </c>
      <c r="E22" s="367" t="str">
        <f>IF(E21&lt;350,"W.E.","")</f>
        <v>W.E.</v>
      </c>
      <c r="F22" s="367" t="str">
        <f>IF(F21&lt;350,"W.E.","")</f>
        <v>W.E.</v>
      </c>
      <c r="G22" s="623"/>
      <c r="H22" s="135"/>
      <c r="I22" s="135"/>
      <c r="J22" s="135"/>
      <c r="K22" s="604"/>
    </row>
    <row r="23" spans="1:11">
      <c r="B23" s="373"/>
      <c r="C23" s="135"/>
      <c r="D23" s="135"/>
      <c r="E23" s="135"/>
      <c r="F23" s="135"/>
      <c r="G23" s="623"/>
      <c r="H23" s="135"/>
      <c r="I23" s="135"/>
      <c r="J23" s="135"/>
      <c r="K23" s="604"/>
    </row>
    <row r="24" spans="1:11">
      <c r="B24" s="633">
        <f>IF(OR(B21&lt;350,B17&lt;870),B16*0.43,"")</f>
        <v>13509.014199495341</v>
      </c>
      <c r="C24" s="633">
        <f>IF(OR(C21&lt;350,C17&lt;870),C16*0.43,"")</f>
        <v>17070.550119165819</v>
      </c>
      <c r="D24" s="633">
        <f>IF(OR(D21&lt;350,D17&lt;870),D16*0.43,"")</f>
        <v>10683.890281501386</v>
      </c>
      <c r="E24" s="633">
        <f>IF(OR(E21&lt;350,E17&lt;870),E16*0.43,"")</f>
        <v>6385.1686266098513</v>
      </c>
      <c r="F24" s="633">
        <f>IF(OR(F21&lt;350,F17&lt;870),F16*0.43,"")</f>
        <v>4389.4043849111067</v>
      </c>
      <c r="G24" s="623" t="s">
        <v>476</v>
      </c>
      <c r="H24" s="135"/>
      <c r="I24" s="135"/>
      <c r="J24" s="135"/>
      <c r="K24" s="604"/>
    </row>
    <row r="25" spans="1:11">
      <c r="B25" s="633">
        <f>IF(OR(B21&lt;350,B17&lt;870),B16*0.57,"")</f>
        <v>17907.297892354287</v>
      </c>
      <c r="C25" s="633">
        <f>IF(OR(C21&lt;350,C17&lt;870),C16*0.57,"")</f>
        <v>22628.403646336083</v>
      </c>
      <c r="D25" s="633">
        <f>IF(OR(D21&lt;350,D17&lt;870),D16*0.57,"")</f>
        <v>14162.366187106489</v>
      </c>
      <c r="E25" s="633">
        <f>IF(OR(E21&lt;350,E17&lt;870),E16*0.57,"")</f>
        <v>8464.060737599104</v>
      </c>
      <c r="F25" s="633">
        <f>IF(OR(F21&lt;350,F17&lt;870),F16*0.57,"")</f>
        <v>5818.5127893007684</v>
      </c>
      <c r="G25" s="623" t="s">
        <v>477</v>
      </c>
      <c r="H25" s="135"/>
      <c r="I25" s="135"/>
      <c r="J25" s="135"/>
      <c r="K25" s="604"/>
    </row>
    <row r="26" spans="1:11">
      <c r="B26" s="373"/>
      <c r="C26" s="135"/>
      <c r="D26" s="135"/>
      <c r="E26" s="135"/>
      <c r="F26" s="135"/>
      <c r="G26" s="135"/>
      <c r="H26" s="135"/>
      <c r="I26" s="135"/>
      <c r="J26" s="135"/>
      <c r="K26" s="604"/>
    </row>
    <row r="27" spans="1:11">
      <c r="B27" s="634" t="s">
        <v>494</v>
      </c>
      <c r="C27" s="135"/>
      <c r="D27" s="135"/>
      <c r="E27" s="135"/>
      <c r="F27" s="135"/>
      <c r="G27" s="135"/>
      <c r="H27" s="135"/>
      <c r="I27" s="135"/>
      <c r="J27" s="135"/>
      <c r="K27" s="604"/>
    </row>
    <row r="28" spans="1:11">
      <c r="B28" s="618" t="s">
        <v>493</v>
      </c>
      <c r="C28" s="294"/>
      <c r="D28" s="294"/>
      <c r="E28" s="294"/>
      <c r="F28" s="294"/>
      <c r="G28" s="294"/>
      <c r="H28" s="294"/>
      <c r="I28" s="294"/>
      <c r="J28" s="294"/>
      <c r="K28" s="619"/>
    </row>
  </sheetData>
  <sheetProtection objects="1" scenarios="1"/>
  <mergeCells count="2">
    <mergeCell ref="G3:K3"/>
    <mergeCell ref="G13:K14"/>
  </mergeCells>
  <phoneticPr fontId="0" type="noConversion"/>
  <pageMargins left="0.75" right="0.75" top="1" bottom="1" header="0.5" footer="0.5"/>
  <pageSetup scale="65" orientation="landscape" horizontalDpi="4294967292" verticalDpi="0" r:id="rId1"/>
  <headerFooter alignWithMargins="0">
    <oddHeader>&amp;C&amp;"Arial,Bold"&amp;12Bear River Spreadsheet Model
Dry Year Conditions</oddHeader>
    <oddFooter>&amp;L&amp;F &amp;A&amp;RAPPENDIX A (Page &amp;P of &amp;N)</oddFooter>
  </headerFooter>
  <legacyDrawing r:id="rId2"/>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28</vt:i4>
      </vt:variant>
      <vt:variant>
        <vt:lpstr>Named Ranges</vt:lpstr>
      </vt:variant>
      <vt:variant>
        <vt:i4>60</vt:i4>
      </vt:variant>
    </vt:vector>
  </HeadingPairs>
  <TitlesOfParts>
    <vt:vector size="88" baseType="lpstr">
      <vt:lpstr>Navigation</vt:lpstr>
      <vt:lpstr>BasinMap</vt:lpstr>
      <vt:lpstr>NodeList</vt:lpstr>
      <vt:lpstr>Reach 1</vt:lpstr>
      <vt:lpstr>Reach 2</vt:lpstr>
      <vt:lpstr>Reach 3</vt:lpstr>
      <vt:lpstr>Reach 4</vt:lpstr>
      <vt:lpstr>Reach 5</vt:lpstr>
      <vt:lpstr>Reach 6</vt:lpstr>
      <vt:lpstr>Reach 7</vt:lpstr>
      <vt:lpstr>Reach 8</vt:lpstr>
      <vt:lpstr>Reach 9</vt:lpstr>
      <vt:lpstr>Reach 10</vt:lpstr>
      <vt:lpstr>Reach 11</vt:lpstr>
      <vt:lpstr>Reach 12</vt:lpstr>
      <vt:lpstr>Irrigation Returns</vt:lpstr>
      <vt:lpstr>Evaporation</vt:lpstr>
      <vt:lpstr>Option Tables</vt:lpstr>
      <vt:lpstr>GainLoss</vt:lpstr>
      <vt:lpstr>GainLossCalcs</vt:lpstr>
      <vt:lpstr>ImportExport</vt:lpstr>
      <vt:lpstr>USGS Gages</vt:lpstr>
      <vt:lpstr>Diversion Data</vt:lpstr>
      <vt:lpstr>Summary Navigator</vt:lpstr>
      <vt:lpstr>Outflow Summary</vt:lpstr>
      <vt:lpstr>Diversion Summary</vt:lpstr>
      <vt:lpstr>Upper Division</vt:lpstr>
      <vt:lpstr>Central Division</vt:lpstr>
      <vt:lpstr>basinmap</vt:lpstr>
      <vt:lpstr>CalcDiversionReach</vt:lpstr>
      <vt:lpstr>CalcDiversionsNode</vt:lpstr>
      <vt:lpstr>CentralDivision</vt:lpstr>
      <vt:lpstr>define_node</vt:lpstr>
      <vt:lpstr>define_reach</vt:lpstr>
      <vt:lpstr>DiversionData</vt:lpstr>
      <vt:lpstr>EstHist</vt:lpstr>
      <vt:lpstr>GainLoss</vt:lpstr>
      <vt:lpstr>GainLossSummaryTables</vt:lpstr>
      <vt:lpstr>HELP</vt:lpstr>
      <vt:lpstr>HelpReturns</vt:lpstr>
      <vt:lpstr>ImportsExports</vt:lpstr>
      <vt:lpstr>Navigation</vt:lpstr>
      <vt:lpstr>NodeHelpScreen</vt:lpstr>
      <vt:lpstr>NodeMasterList</vt:lpstr>
      <vt:lpstr>openscreen</vt:lpstr>
      <vt:lpstr>OptionsTables</vt:lpstr>
      <vt:lpstr>OutflowNode</vt:lpstr>
      <vt:lpstr>'Diversion Data'!Print_Area</vt:lpstr>
      <vt:lpstr>GainLoss!Print_Area</vt:lpstr>
      <vt:lpstr>ImportExport!Print_Area</vt:lpstr>
      <vt:lpstr>'Irrigation Returns'!Print_Area</vt:lpstr>
      <vt:lpstr>Navigation!Print_Area</vt:lpstr>
      <vt:lpstr>'Outflow Summary'!Print_Area</vt:lpstr>
      <vt:lpstr>'Reach 1'!Print_Area</vt:lpstr>
      <vt:lpstr>'Reach 10'!Print_Area</vt:lpstr>
      <vt:lpstr>'Reach 11'!Print_Area</vt:lpstr>
      <vt:lpstr>'Reach 12'!Print_Area</vt:lpstr>
      <vt:lpstr>'Reach 2'!Print_Area</vt:lpstr>
      <vt:lpstr>'Reach 3'!Print_Area</vt:lpstr>
      <vt:lpstr>'Reach 4'!Print_Area</vt:lpstr>
      <vt:lpstr>'Reach 5'!Print_Area</vt:lpstr>
      <vt:lpstr>'Reach 6'!Print_Area</vt:lpstr>
      <vt:lpstr>'Reach 7'!Print_Area</vt:lpstr>
      <vt:lpstr>'Reach 8'!Print_Area</vt:lpstr>
      <vt:lpstr>'Reach 9'!Print_Area</vt:lpstr>
      <vt:lpstr>'Summary Navigator'!Print_Area</vt:lpstr>
      <vt:lpstr>Reach_1</vt:lpstr>
      <vt:lpstr>reach_10</vt:lpstr>
      <vt:lpstr>reach_11</vt:lpstr>
      <vt:lpstr>reach_12</vt:lpstr>
      <vt:lpstr>reach_2</vt:lpstr>
      <vt:lpstr>Reach_3</vt:lpstr>
      <vt:lpstr>Reach_4</vt:lpstr>
      <vt:lpstr>Reach_5</vt:lpstr>
      <vt:lpstr>reach_6</vt:lpstr>
      <vt:lpstr>reach_7</vt:lpstr>
      <vt:lpstr>Reach_8</vt:lpstr>
      <vt:lpstr>reach_9</vt:lpstr>
      <vt:lpstr>ReachTotalDiversions</vt:lpstr>
      <vt:lpstr>Reservoir_Evaporative_Losses</vt:lpstr>
      <vt:lpstr>ReturnFlows</vt:lpstr>
      <vt:lpstr>returnreachtotal</vt:lpstr>
      <vt:lpstr>returnsummary</vt:lpstr>
      <vt:lpstr>summaryReachOutflow</vt:lpstr>
      <vt:lpstr>SummaryTable</vt:lpstr>
      <vt:lpstr>topreturns</vt:lpstr>
      <vt:lpstr>UpperDivision</vt:lpstr>
      <vt:lpstr>USGSData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State of Wyoming</cp:lastModifiedBy>
  <cp:lastPrinted>2011-01-18T21:27:34Z</cp:lastPrinted>
  <dcterms:created xsi:type="dcterms:W3CDTF">2000-01-07T00:15:53Z</dcterms:created>
  <dcterms:modified xsi:type="dcterms:W3CDTF">2012-01-14T00:13:34Z</dcterms:modified>
</cp:coreProperties>
</file>